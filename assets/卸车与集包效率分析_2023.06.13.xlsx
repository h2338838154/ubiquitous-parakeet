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<sst xmlns="http://schemas.openxmlformats.org/spreadsheetml/2006/main" count="609" uniqueCount="61">
  <si>
    <t>日期</t>
  </si>
  <si>
    <t>时段</t>
  </si>
  <si>
    <t>班次</t>
  </si>
  <si>
    <t>频次</t>
  </si>
  <si>
    <t>卸车量</t>
  </si>
  <si>
    <t>环线量</t>
  </si>
  <si>
    <t>集包量</t>
  </si>
  <si>
    <t>管理</t>
  </si>
  <si>
    <t>管理薪资</t>
  </si>
  <si>
    <t>卸车人数</t>
  </si>
  <si>
    <t>卸车人效</t>
  </si>
  <si>
    <t>卸车薪资</t>
  </si>
  <si>
    <t>卸车盈亏</t>
  </si>
  <si>
    <t>集包人数</t>
  </si>
  <si>
    <t>集包人效</t>
  </si>
  <si>
    <t>集包单价</t>
  </si>
  <si>
    <t>集包收入</t>
  </si>
  <si>
    <t>集包薪资</t>
  </si>
  <si>
    <t>集包盈亏</t>
  </si>
  <si>
    <t>环线人数</t>
  </si>
  <si>
    <t>环线人效</t>
  </si>
  <si>
    <t>环线单价</t>
  </si>
  <si>
    <t>环线收入</t>
  </si>
  <si>
    <t>环线薪资</t>
  </si>
  <si>
    <t>文件人数</t>
  </si>
  <si>
    <t>发验人数</t>
  </si>
  <si>
    <t>客服人数</t>
  </si>
  <si>
    <t>接发员</t>
  </si>
  <si>
    <t>其他成本</t>
  </si>
  <si>
    <t>总盈亏</t>
  </si>
  <si>
    <t>人数验证</t>
  </si>
  <si>
    <t>总表人数</t>
  </si>
  <si>
    <t>0000-0100</t>
  </si>
  <si>
    <t>夜班</t>
  </si>
  <si>
    <t>进口</t>
  </si>
  <si>
    <t>0100-0200</t>
  </si>
  <si>
    <t>0200-0300</t>
  </si>
  <si>
    <t>0300-0400</t>
  </si>
  <si>
    <t>0400-0500</t>
  </si>
  <si>
    <t>0500-0600</t>
  </si>
  <si>
    <t>0600-0700</t>
  </si>
  <si>
    <t>0700-0800</t>
  </si>
  <si>
    <t>白班</t>
  </si>
  <si>
    <t>0800-0900</t>
  </si>
  <si>
    <t>0900-1000</t>
  </si>
  <si>
    <t>1000-1100</t>
  </si>
  <si>
    <t>1100-1200</t>
  </si>
  <si>
    <t>清场</t>
  </si>
  <si>
    <t>1200-1300</t>
  </si>
  <si>
    <t>出口</t>
  </si>
  <si>
    <t>1300-1400</t>
  </si>
  <si>
    <t>1400-1500</t>
  </si>
  <si>
    <t>1500-1600</t>
  </si>
  <si>
    <t>1600-1700</t>
  </si>
  <si>
    <t>1700-1800</t>
  </si>
  <si>
    <t>1800-1900</t>
  </si>
  <si>
    <t>1900-2000</t>
  </si>
  <si>
    <t>2000-2100</t>
  </si>
  <si>
    <t>2100-2200</t>
  </si>
  <si>
    <t>2200-2300</t>
  </si>
  <si>
    <t>2300-0000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</si>
</sst>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</numFmts>
  <fonts count="25">
    <font>
      <sz val="11"/>
      <color theme="1"/>
      <name val="宋体"/>
      <charset val="134"/>
      <scheme val="minor"/>
    </font>
    <font>
      <sz val="11"/>
      <name val="微软雅黑"/>
      <charset val="134"/>
    </font>
    <font>
      <b/>
      <sz val="11"/>
      <name val="微软雅黑"/>
      <charset val="134"/>
    </font>
    <font>
      <sz val="11"/>
      <color theme="1"/>
      <name val="微软雅黑"/>
      <charset val="134"/>
    </font>
    <font>
      <sz val="9"/>
      <color theme="1"/>
      <name val="微软雅黑"/>
      <charset val="134"/>
    </font>
    <font>
      <sz val="9"/>
      <color indexed="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20" fontId="2" fillId="0" borderId="1" xfId="0" applyNumberFormat="1" applyFont="1" applyFill="1" applyBorder="1" applyAlignment="1">
      <alignment horizontal="center" vertical="center" wrapText="1"/>
    </xf>
    <xf numFmtId="58" fontId="1" fillId="0" borderId="0" xfId="0" applyNumberFormat="1" applyFont="1" applyFill="1" applyAlignment="1">
      <alignment horizontal="center" vertical="center"/>
    </xf>
    <xf numFmtId="20" fontId="1" fillId="0" borderId="1" xfId="0" applyNumberFormat="1" applyFont="1" applyFill="1" applyBorder="1" applyAlignment="1">
      <alignment horizontal="center" vertical="center" wrapText="1"/>
    </xf>
    <xf numFmtId="20" fontId="1" fillId="0" borderId="2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3" fillId="0" borderId="1" xfId="0" applyNumberFormat="1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177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177" fontId="1" fillId="0" borderId="1" xfId="0" applyNumberFormat="1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2" xfId="0" applyNumberFormat="1" applyFont="1" applyFill="1" applyBorder="1" applyAlignment="1" applyProtection="1">
      <alignment horizontal="center" vertical="center"/>
    </xf>
    <xf numFmtId="0" fontId="4" fillId="0" borderId="1" xfId="0" applyNumberFormat="1" applyFont="1" applyFill="1" applyBorder="1" applyAlignment="1" applyProtection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 applyProtection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0644;&#27874;\&#26085;&#24120;&#24037;&#20316;&#20869;&#23481;\&#21508;&#29615;&#33410;&#20154;&#25928;&#32479;&#35745;&#34920;_2026040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卸车数据"/>
      <sheetName val="环线数据"/>
      <sheetName val="集包数据"/>
      <sheetName val="1"/>
      <sheetName val="2"/>
      <sheetName val="3"/>
      <sheetName val="4"/>
      <sheetName val="5"/>
      <sheetName val="6"/>
      <sheetName val="7"/>
      <sheetName val="8"/>
      <sheetName val="9"/>
      <sheetName val="展示表格"/>
      <sheetName val="Sheet2"/>
    </sheetNames>
    <sheetDataSet>
      <sheetData sheetId="0"/>
      <sheetData sheetId="1"/>
      <sheetData sheetId="2"/>
      <sheetData sheetId="3">
        <row r="3">
          <cell r="BH3">
            <v>95</v>
          </cell>
        </row>
        <row r="4">
          <cell r="BH4">
            <v>95</v>
          </cell>
        </row>
        <row r="5">
          <cell r="BH5">
            <v>95</v>
          </cell>
        </row>
        <row r="6">
          <cell r="BH6">
            <v>95</v>
          </cell>
        </row>
        <row r="7">
          <cell r="BH7">
            <v>95</v>
          </cell>
        </row>
        <row r="8">
          <cell r="BH8">
            <v>95</v>
          </cell>
        </row>
        <row r="9">
          <cell r="BH9">
            <v>95</v>
          </cell>
        </row>
        <row r="10">
          <cell r="BH10">
            <v>67</v>
          </cell>
        </row>
        <row r="11">
          <cell r="BH11">
            <v>67</v>
          </cell>
        </row>
        <row r="12">
          <cell r="BH12">
            <v>67</v>
          </cell>
        </row>
        <row r="13">
          <cell r="BH13">
            <v>67</v>
          </cell>
        </row>
        <row r="14">
          <cell r="BH14">
            <v>74</v>
          </cell>
        </row>
        <row r="15">
          <cell r="BH15">
            <v>74</v>
          </cell>
        </row>
        <row r="16">
          <cell r="BH16">
            <v>74</v>
          </cell>
        </row>
        <row r="17">
          <cell r="BH17">
            <v>74</v>
          </cell>
        </row>
        <row r="18">
          <cell r="BH18">
            <v>74</v>
          </cell>
        </row>
        <row r="19">
          <cell r="BH19">
            <v>74</v>
          </cell>
        </row>
        <row r="20">
          <cell r="BH20">
            <v>74</v>
          </cell>
        </row>
        <row r="21">
          <cell r="BH21">
            <v>101</v>
          </cell>
        </row>
        <row r="22">
          <cell r="BH22">
            <v>101</v>
          </cell>
        </row>
        <row r="23">
          <cell r="BH23">
            <v>101</v>
          </cell>
        </row>
        <row r="24">
          <cell r="BH24">
            <v>101</v>
          </cell>
        </row>
        <row r="25">
          <cell r="BH25">
            <v>101</v>
          </cell>
        </row>
        <row r="26">
          <cell r="BH26">
            <v>95</v>
          </cell>
        </row>
      </sheetData>
      <sheetData sheetId="4">
        <row r="3">
          <cell r="BH3">
            <v>96</v>
          </cell>
        </row>
        <row r="4">
          <cell r="BH4">
            <v>96</v>
          </cell>
        </row>
        <row r="5">
          <cell r="BH5">
            <v>96</v>
          </cell>
        </row>
        <row r="6">
          <cell r="BH6">
            <v>96</v>
          </cell>
        </row>
        <row r="7">
          <cell r="BH7">
            <v>96</v>
          </cell>
        </row>
        <row r="8">
          <cell r="BH8">
            <v>96</v>
          </cell>
        </row>
        <row r="9">
          <cell r="BH9">
            <v>96</v>
          </cell>
        </row>
        <row r="10">
          <cell r="BH10">
            <v>63</v>
          </cell>
        </row>
        <row r="11">
          <cell r="BH11">
            <v>63</v>
          </cell>
        </row>
        <row r="12">
          <cell r="BH12">
            <v>63</v>
          </cell>
        </row>
        <row r="13">
          <cell r="BH13">
            <v>63</v>
          </cell>
        </row>
        <row r="14">
          <cell r="BH14">
            <v>71</v>
          </cell>
        </row>
        <row r="15">
          <cell r="BH15">
            <v>71</v>
          </cell>
        </row>
        <row r="16">
          <cell r="BH16">
            <v>71</v>
          </cell>
        </row>
        <row r="17">
          <cell r="BH17">
            <v>71</v>
          </cell>
        </row>
        <row r="18">
          <cell r="BH18">
            <v>71</v>
          </cell>
        </row>
        <row r="19">
          <cell r="BH19">
            <v>71</v>
          </cell>
        </row>
        <row r="20">
          <cell r="BH20">
            <v>71</v>
          </cell>
        </row>
        <row r="21">
          <cell r="BH21">
            <v>104</v>
          </cell>
        </row>
        <row r="22">
          <cell r="BH22">
            <v>104</v>
          </cell>
        </row>
        <row r="23">
          <cell r="BH23">
            <v>104</v>
          </cell>
        </row>
        <row r="24">
          <cell r="BH24">
            <v>104</v>
          </cell>
        </row>
        <row r="25">
          <cell r="BH25">
            <v>104</v>
          </cell>
        </row>
        <row r="26">
          <cell r="BH26">
            <v>96</v>
          </cell>
        </row>
      </sheetData>
      <sheetData sheetId="5">
        <row r="3">
          <cell r="BH3">
            <v>96</v>
          </cell>
        </row>
        <row r="4">
          <cell r="BH4">
            <v>96</v>
          </cell>
        </row>
        <row r="5">
          <cell r="BH5">
            <v>96</v>
          </cell>
        </row>
        <row r="6">
          <cell r="BH6">
            <v>96</v>
          </cell>
        </row>
        <row r="7">
          <cell r="BH7">
            <v>96</v>
          </cell>
        </row>
        <row r="8">
          <cell r="BH8">
            <v>96</v>
          </cell>
        </row>
        <row r="9">
          <cell r="BH9">
            <v>96</v>
          </cell>
        </row>
        <row r="10">
          <cell r="BH10">
            <v>63</v>
          </cell>
        </row>
        <row r="11">
          <cell r="BH11">
            <v>63</v>
          </cell>
        </row>
        <row r="12">
          <cell r="BH12">
            <v>63</v>
          </cell>
        </row>
        <row r="13">
          <cell r="BH13">
            <v>63</v>
          </cell>
        </row>
        <row r="14">
          <cell r="BH14">
            <v>71</v>
          </cell>
        </row>
        <row r="15">
          <cell r="BH15">
            <v>71</v>
          </cell>
        </row>
        <row r="16">
          <cell r="BH16">
            <v>71</v>
          </cell>
        </row>
        <row r="17">
          <cell r="BH17">
            <v>71</v>
          </cell>
        </row>
        <row r="18">
          <cell r="BH18">
            <v>71</v>
          </cell>
        </row>
        <row r="19">
          <cell r="BH19">
            <v>71</v>
          </cell>
        </row>
        <row r="20">
          <cell r="BH20">
            <v>71</v>
          </cell>
        </row>
        <row r="21">
          <cell r="BH21">
            <v>104</v>
          </cell>
        </row>
        <row r="22">
          <cell r="BH22">
            <v>104</v>
          </cell>
        </row>
        <row r="23">
          <cell r="BH23">
            <v>104</v>
          </cell>
        </row>
        <row r="24">
          <cell r="BH24">
            <v>104</v>
          </cell>
        </row>
        <row r="25">
          <cell r="BH25">
            <v>104</v>
          </cell>
        </row>
        <row r="26">
          <cell r="BH26">
            <v>96</v>
          </cell>
        </row>
      </sheetData>
      <sheetData sheetId="6">
        <row r="3">
          <cell r="BH3">
            <v>95</v>
          </cell>
        </row>
        <row r="4">
          <cell r="BH4">
            <v>95</v>
          </cell>
        </row>
        <row r="5">
          <cell r="BH5">
            <v>95</v>
          </cell>
        </row>
        <row r="6">
          <cell r="BH6">
            <v>95</v>
          </cell>
        </row>
        <row r="7">
          <cell r="BH7">
            <v>95</v>
          </cell>
        </row>
        <row r="8">
          <cell r="BH8">
            <v>95</v>
          </cell>
        </row>
        <row r="9">
          <cell r="BH9">
            <v>95</v>
          </cell>
        </row>
        <row r="10">
          <cell r="BH10">
            <v>57</v>
          </cell>
        </row>
        <row r="11">
          <cell r="BH11">
            <v>57</v>
          </cell>
        </row>
        <row r="12">
          <cell r="BH12">
            <v>57</v>
          </cell>
        </row>
        <row r="13">
          <cell r="BH13">
            <v>57</v>
          </cell>
        </row>
        <row r="14">
          <cell r="BH14">
            <v>75</v>
          </cell>
        </row>
        <row r="15">
          <cell r="BH15">
            <v>75</v>
          </cell>
        </row>
        <row r="16">
          <cell r="BH16">
            <v>75</v>
          </cell>
        </row>
        <row r="17">
          <cell r="BH17">
            <v>75</v>
          </cell>
        </row>
        <row r="18">
          <cell r="BH18">
            <v>75</v>
          </cell>
        </row>
        <row r="19">
          <cell r="BH19">
            <v>75</v>
          </cell>
        </row>
        <row r="20">
          <cell r="BH20">
            <v>75</v>
          </cell>
        </row>
        <row r="21">
          <cell r="BH21">
            <v>115</v>
          </cell>
        </row>
        <row r="22">
          <cell r="BH22">
            <v>115</v>
          </cell>
        </row>
        <row r="23">
          <cell r="BH23">
            <v>115</v>
          </cell>
        </row>
        <row r="24">
          <cell r="BH24">
            <v>115</v>
          </cell>
        </row>
        <row r="25">
          <cell r="BH25">
            <v>115</v>
          </cell>
        </row>
        <row r="26">
          <cell r="BH26">
            <v>115</v>
          </cell>
        </row>
      </sheetData>
      <sheetData sheetId="7">
        <row r="3">
          <cell r="BH3">
            <v>95</v>
          </cell>
        </row>
        <row r="4">
          <cell r="BH4">
            <v>95</v>
          </cell>
        </row>
        <row r="5">
          <cell r="BH5">
            <v>95</v>
          </cell>
        </row>
        <row r="6">
          <cell r="BH6">
            <v>95</v>
          </cell>
        </row>
        <row r="7">
          <cell r="BH7">
            <v>95</v>
          </cell>
        </row>
        <row r="8">
          <cell r="BH8">
            <v>95</v>
          </cell>
        </row>
        <row r="9">
          <cell r="BH9">
            <v>95</v>
          </cell>
        </row>
        <row r="10">
          <cell r="BH10">
            <v>59</v>
          </cell>
        </row>
        <row r="11">
          <cell r="BH11">
            <v>59</v>
          </cell>
        </row>
        <row r="12">
          <cell r="BH12">
            <v>59</v>
          </cell>
        </row>
        <row r="13">
          <cell r="BH13">
            <v>59</v>
          </cell>
        </row>
        <row r="14">
          <cell r="BH14">
            <v>65</v>
          </cell>
        </row>
        <row r="15">
          <cell r="BH15">
            <v>65</v>
          </cell>
        </row>
        <row r="16">
          <cell r="BH16">
            <v>65</v>
          </cell>
        </row>
        <row r="17">
          <cell r="BH17">
            <v>65</v>
          </cell>
        </row>
        <row r="18">
          <cell r="BH18">
            <v>65</v>
          </cell>
        </row>
        <row r="19">
          <cell r="BH19">
            <v>65</v>
          </cell>
        </row>
        <row r="20">
          <cell r="BH20">
            <v>65</v>
          </cell>
        </row>
        <row r="21">
          <cell r="BH21">
            <v>112</v>
          </cell>
        </row>
        <row r="22">
          <cell r="BH22">
            <v>112</v>
          </cell>
        </row>
        <row r="23">
          <cell r="BH23">
            <v>112</v>
          </cell>
        </row>
        <row r="24">
          <cell r="BH24">
            <v>112</v>
          </cell>
        </row>
        <row r="25">
          <cell r="BH25">
            <v>112</v>
          </cell>
        </row>
        <row r="26">
          <cell r="BH26">
            <v>112</v>
          </cell>
        </row>
      </sheetData>
      <sheetData sheetId="8">
        <row r="3">
          <cell r="BH3">
            <v>93</v>
          </cell>
        </row>
        <row r="4">
          <cell r="BH4">
            <v>93</v>
          </cell>
        </row>
        <row r="5">
          <cell r="BH5">
            <v>93</v>
          </cell>
        </row>
        <row r="6">
          <cell r="BH6">
            <v>93</v>
          </cell>
        </row>
        <row r="7">
          <cell r="BH7">
            <v>93</v>
          </cell>
        </row>
        <row r="8">
          <cell r="BH8">
            <v>93</v>
          </cell>
        </row>
        <row r="9">
          <cell r="BH9">
            <v>93</v>
          </cell>
        </row>
        <row r="10">
          <cell r="BH10">
            <v>58</v>
          </cell>
        </row>
        <row r="11">
          <cell r="BH11">
            <v>58</v>
          </cell>
        </row>
        <row r="12">
          <cell r="BH12">
            <v>58</v>
          </cell>
        </row>
        <row r="13">
          <cell r="BH13">
            <v>58</v>
          </cell>
        </row>
        <row r="14">
          <cell r="BH14">
            <v>64</v>
          </cell>
        </row>
        <row r="15">
          <cell r="BH15">
            <v>64</v>
          </cell>
        </row>
        <row r="16">
          <cell r="BH16">
            <v>64</v>
          </cell>
        </row>
        <row r="17">
          <cell r="BH17">
            <v>64</v>
          </cell>
        </row>
        <row r="18">
          <cell r="BH18">
            <v>64</v>
          </cell>
        </row>
        <row r="19">
          <cell r="BH19">
            <v>64</v>
          </cell>
        </row>
        <row r="20">
          <cell r="BH20">
            <v>64</v>
          </cell>
        </row>
        <row r="21">
          <cell r="BH21">
            <v>99</v>
          </cell>
        </row>
        <row r="22">
          <cell r="BH22">
            <v>99</v>
          </cell>
        </row>
        <row r="23">
          <cell r="BH23">
            <v>99</v>
          </cell>
        </row>
        <row r="24">
          <cell r="BH24">
            <v>99</v>
          </cell>
        </row>
        <row r="25">
          <cell r="BH25">
            <v>99</v>
          </cell>
        </row>
        <row r="26">
          <cell r="BH26">
            <v>99</v>
          </cell>
        </row>
      </sheetData>
      <sheetData sheetId="9">
        <row r="3">
          <cell r="BH3">
            <v>96</v>
          </cell>
        </row>
        <row r="4">
          <cell r="BH4">
            <v>96</v>
          </cell>
        </row>
        <row r="5">
          <cell r="BH5">
            <v>96</v>
          </cell>
        </row>
        <row r="6">
          <cell r="BH6">
            <v>96</v>
          </cell>
        </row>
        <row r="7">
          <cell r="BH7">
            <v>96</v>
          </cell>
        </row>
        <row r="8">
          <cell r="BH8">
            <v>96</v>
          </cell>
        </row>
        <row r="9">
          <cell r="BH9">
            <v>96</v>
          </cell>
        </row>
        <row r="10">
          <cell r="BH10">
            <v>60</v>
          </cell>
        </row>
        <row r="11">
          <cell r="BH11">
            <v>60</v>
          </cell>
        </row>
        <row r="12">
          <cell r="BH12">
            <v>60</v>
          </cell>
        </row>
        <row r="13">
          <cell r="BH13">
            <v>60</v>
          </cell>
        </row>
        <row r="14">
          <cell r="BH14">
            <v>66</v>
          </cell>
        </row>
        <row r="15">
          <cell r="BH15">
            <v>66</v>
          </cell>
        </row>
        <row r="16">
          <cell r="BH16">
            <v>66</v>
          </cell>
        </row>
        <row r="17">
          <cell r="BH17">
            <v>66</v>
          </cell>
        </row>
        <row r="18">
          <cell r="BH18">
            <v>66</v>
          </cell>
        </row>
        <row r="19">
          <cell r="BH19">
            <v>66</v>
          </cell>
        </row>
        <row r="20">
          <cell r="BH20">
            <v>66</v>
          </cell>
        </row>
        <row r="21">
          <cell r="BH21">
            <v>104</v>
          </cell>
        </row>
        <row r="22">
          <cell r="BH22">
            <v>104</v>
          </cell>
        </row>
        <row r="23">
          <cell r="BH23">
            <v>104</v>
          </cell>
        </row>
        <row r="24">
          <cell r="BH24">
            <v>104</v>
          </cell>
        </row>
        <row r="25">
          <cell r="BH25">
            <v>104</v>
          </cell>
        </row>
        <row r="26">
          <cell r="BH26">
            <v>104</v>
          </cell>
        </row>
      </sheetData>
      <sheetData sheetId="10">
        <row r="3">
          <cell r="BH3">
            <v>94</v>
          </cell>
        </row>
        <row r="4">
          <cell r="BH4">
            <v>94</v>
          </cell>
        </row>
        <row r="5">
          <cell r="BH5">
            <v>94</v>
          </cell>
        </row>
        <row r="6">
          <cell r="BH6">
            <v>94</v>
          </cell>
        </row>
        <row r="7">
          <cell r="BH7">
            <v>94</v>
          </cell>
        </row>
        <row r="8">
          <cell r="BH8">
            <v>94</v>
          </cell>
        </row>
        <row r="9">
          <cell r="BH9">
            <v>94</v>
          </cell>
        </row>
        <row r="10">
          <cell r="BH10">
            <v>56</v>
          </cell>
        </row>
        <row r="11">
          <cell r="BH11">
            <v>56</v>
          </cell>
        </row>
        <row r="12">
          <cell r="BH12">
            <v>56</v>
          </cell>
        </row>
        <row r="13">
          <cell r="BH13">
            <v>56</v>
          </cell>
        </row>
        <row r="14">
          <cell r="BH14">
            <v>62</v>
          </cell>
        </row>
        <row r="15">
          <cell r="BH15">
            <v>62</v>
          </cell>
        </row>
        <row r="16">
          <cell r="BH16">
            <v>62</v>
          </cell>
        </row>
        <row r="17">
          <cell r="BH17">
            <v>62</v>
          </cell>
        </row>
        <row r="18">
          <cell r="BH18">
            <v>62</v>
          </cell>
        </row>
        <row r="19">
          <cell r="BH19">
            <v>62</v>
          </cell>
        </row>
        <row r="20">
          <cell r="BH20">
            <v>62</v>
          </cell>
        </row>
        <row r="21">
          <cell r="BH21">
            <v>100</v>
          </cell>
        </row>
        <row r="22">
          <cell r="BH22">
            <v>100</v>
          </cell>
        </row>
        <row r="23">
          <cell r="BH23">
            <v>100</v>
          </cell>
        </row>
        <row r="24">
          <cell r="BH24">
            <v>100</v>
          </cell>
        </row>
        <row r="25">
          <cell r="BH25">
            <v>100</v>
          </cell>
        </row>
        <row r="26">
          <cell r="BH26">
            <v>100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02"/>
  <sheetViews>
    <sheetView tabSelected="1" topLeftCell="S1" workbookViewId="0">
      <selection activeCell="AD1" sqref="AD$1:AD$1048576"/>
    </sheetView>
  </sheetViews>
  <sheetFormatPr defaultColWidth="8.88888888888889" defaultRowHeight="15.6"/>
  <cols>
    <col min="1" max="1" width="8.88888888888889" style="1"/>
    <col min="2" max="2" width="22.1111111111111" style="2" customWidth="1"/>
    <col min="3" max="7" width="9.55555555555556" style="2" customWidth="1"/>
    <col min="8" max="8" width="9" style="2" customWidth="1"/>
    <col min="9" max="9" width="9" style="3" customWidth="1"/>
    <col min="10" max="10" width="8.88888888888889" style="1"/>
    <col min="11" max="11" width="15.6666666666667" style="1"/>
    <col min="12" max="12" width="9" style="1"/>
    <col min="13" max="13" width="15.2222222222222" style="1"/>
    <col min="14" max="14" width="8.88888888888889" style="1"/>
    <col min="15" max="15" width="15.6666666666667" style="1"/>
    <col min="16" max="16" width="10.2222222222222" style="1" customWidth="1"/>
    <col min="17" max="17" width="12.7777777777778" style="1"/>
    <col min="18" max="18" width="9" style="1"/>
    <col min="19" max="19" width="15.2222222222222" style="1"/>
    <col min="20" max="20" width="8.88888888888889" style="1"/>
    <col min="21" max="21" width="14.3333333333333" style="1"/>
    <col min="22" max="22" width="11.5555555555556" style="1"/>
    <col min="23" max="23" width="12.7777777777778" style="1"/>
    <col min="24" max="24" width="9" style="1"/>
    <col min="25" max="29" width="14" style="1"/>
    <col min="30" max="30" width="15.6666666666667" style="1"/>
    <col min="31" max="31" width="17.1111111111111" style="1"/>
    <col min="32" max="33" width="9.66666666666667" style="1" customWidth="1"/>
    <col min="34" max="16384" width="8.88888888888889" style="1"/>
  </cols>
  <sheetData>
    <row r="1" s="1" customFormat="1" spans="1:34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12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6" t="s">
        <v>29</v>
      </c>
      <c r="AF1" s="1" t="s">
        <v>30</v>
      </c>
      <c r="AG1" s="1" t="s">
        <v>31</v>
      </c>
    </row>
    <row r="2" s="1" customFormat="1" spans="1:34">
      <c r="A2" s="4"/>
      <c r="B2" s="4"/>
      <c r="C2" s="7"/>
      <c r="D2" s="7"/>
      <c r="E2" s="7"/>
      <c r="F2" s="8"/>
      <c r="G2" s="8"/>
      <c r="H2" s="4"/>
      <c r="I2" s="4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7"/>
      <c r="AA2" s="7"/>
      <c r="AB2" s="7"/>
      <c r="AC2" s="7"/>
      <c r="AD2" s="7"/>
      <c r="AE2" s="6"/>
    </row>
    <row r="3" s="1" customFormat="1" spans="1:34">
      <c r="A3" s="9">
        <v>46113</v>
      </c>
      <c r="B3" s="10" t="s">
        <v>32</v>
      </c>
      <c r="C3" s="10" t="s">
        <v>33</v>
      </c>
      <c r="D3" s="11" t="s">
        <v>34</v>
      </c>
      <c r="E3" s="12">
        <v>16991</v>
      </c>
      <c r="F3" s="12">
        <v>1608</v>
      </c>
      <c r="G3" s="13">
        <v>6568</v>
      </c>
      <c r="H3" s="14">
        <v>2</v>
      </c>
      <c r="I3" s="14">
        <f t="shared" ref="I3:I26" si="0">IF(H3=2,21.79+16000/30/24,25.75+12000/30/24*2+30000/30/24)</f>
        <v>44.0122222222222</v>
      </c>
      <c r="J3" s="14">
        <v>17</v>
      </c>
      <c r="K3" s="15">
        <f t="shared" ref="K3:K26" si="1">E3/J3</f>
        <v>999.470588235294</v>
      </c>
      <c r="L3" s="14">
        <f t="shared" ref="L3:L9" si="2">J3*14.62+21</f>
        <v>269.54</v>
      </c>
      <c r="M3" s="16">
        <f t="shared" ref="M3:M26" si="3">0-L3</f>
        <v>-269.54</v>
      </c>
      <c r="N3" s="14">
        <v>25</v>
      </c>
      <c r="O3" s="15">
        <f t="shared" ref="O3:O26" si="4">G3/N3</f>
        <v>262.72</v>
      </c>
      <c r="P3" s="14">
        <f t="shared" ref="P3:P26" si="5">0.0722*0.95</f>
        <v>0.06859</v>
      </c>
      <c r="Q3" s="16">
        <f t="shared" ref="Q3:Q26" si="6">P3*G3*0.94</f>
        <v>423.4691728</v>
      </c>
      <c r="R3" s="14">
        <f t="shared" ref="R3:R9" si="7">(N3-13)*14.62+13*18+21</f>
        <v>430.44</v>
      </c>
      <c r="S3" s="16">
        <f t="shared" ref="S3:S26" si="8">Q3-R3</f>
        <v>-6.97082720000003</v>
      </c>
      <c r="T3" s="14">
        <v>45</v>
      </c>
      <c r="U3" s="15">
        <f t="shared" ref="U3:U26" si="9">F3/T3</f>
        <v>35.7333333333333</v>
      </c>
      <c r="V3" s="14">
        <f t="shared" ref="V3:V26" si="10">0.2909*0.95</f>
        <v>0.276355</v>
      </c>
      <c r="W3" s="16">
        <f t="shared" ref="W3:W26" si="11">V3*F3*0.94</f>
        <v>417.7161096</v>
      </c>
      <c r="X3" s="14">
        <f t="shared" ref="X3:X9" si="12">(T3-13)*14.62+13*18+42</f>
        <v>743.84</v>
      </c>
      <c r="Y3" s="16">
        <f t="shared" ref="Y3:Y26" si="13">W3-X3</f>
        <v>-326.1238904</v>
      </c>
      <c r="Z3" s="17">
        <v>4</v>
      </c>
      <c r="AA3" s="17">
        <v>3</v>
      </c>
      <c r="AB3" s="17">
        <v>0</v>
      </c>
      <c r="AC3" s="17">
        <v>1</v>
      </c>
      <c r="AD3" s="16">
        <f t="shared" ref="AD3:AD26" si="14">(Z3-1)*14.62+(9000/26/13)+(AA3-1)*14.54+7500/26/11+AB3*(4200/26/9)+AC3*(4000/26/11)+$AH$3/24</f>
        <v>223.110342478035</v>
      </c>
      <c r="AE3" s="18">
        <f t="shared" ref="AE3:AE26" si="15">M3+S3+Y3-I3-AD3</f>
        <v>-869.757282300257</v>
      </c>
      <c r="AF3" s="1">
        <f t="shared" ref="AF3:AF26" si="16">AB3+AA3+Z3+T3+N3+J3+AC3</f>
        <v>95</v>
      </c>
      <c r="AG3" s="1">
        <f>'[1]1'!BH3</f>
        <v>95</v>
      </c>
      <c r="AH3" s="1">
        <v>2000</v>
      </c>
    </row>
    <row r="4" s="1" customFormat="1" spans="1:34">
      <c r="A4" s="9">
        <v>46113</v>
      </c>
      <c r="B4" s="10" t="s">
        <v>35</v>
      </c>
      <c r="C4" s="10" t="s">
        <v>33</v>
      </c>
      <c r="D4" s="11" t="s">
        <v>34</v>
      </c>
      <c r="E4" s="12">
        <v>3241</v>
      </c>
      <c r="F4" s="12">
        <v>4607</v>
      </c>
      <c r="G4" s="13">
        <v>12491</v>
      </c>
      <c r="H4" s="14">
        <v>2</v>
      </c>
      <c r="I4" s="14">
        <f t="shared" si="0"/>
        <v>44.0122222222222</v>
      </c>
      <c r="J4" s="14">
        <v>17</v>
      </c>
      <c r="K4" s="15">
        <f t="shared" si="1"/>
        <v>190.647058823529</v>
      </c>
      <c r="L4" s="14">
        <f t="shared" si="2"/>
        <v>269.54</v>
      </c>
      <c r="M4" s="16">
        <f t="shared" si="3"/>
        <v>-269.54</v>
      </c>
      <c r="N4" s="14">
        <v>25</v>
      </c>
      <c r="O4" s="15">
        <f t="shared" si="4"/>
        <v>499.64</v>
      </c>
      <c r="P4" s="14">
        <f t="shared" si="5"/>
        <v>0.06859</v>
      </c>
      <c r="Q4" s="16">
        <f t="shared" si="6"/>
        <v>805.3522286</v>
      </c>
      <c r="R4" s="14">
        <f t="shared" si="7"/>
        <v>430.44</v>
      </c>
      <c r="S4" s="16">
        <f t="shared" si="8"/>
        <v>374.9122286</v>
      </c>
      <c r="T4" s="14">
        <v>45</v>
      </c>
      <c r="U4" s="15">
        <f t="shared" si="9"/>
        <v>102.377777777778</v>
      </c>
      <c r="V4" s="14">
        <f t="shared" si="10"/>
        <v>0.276355</v>
      </c>
      <c r="W4" s="16">
        <f t="shared" si="11"/>
        <v>1196.7774359</v>
      </c>
      <c r="X4" s="14">
        <f t="shared" si="12"/>
        <v>743.84</v>
      </c>
      <c r="Y4" s="16">
        <f t="shared" si="13"/>
        <v>452.9374359</v>
      </c>
      <c r="Z4" s="17">
        <v>4</v>
      </c>
      <c r="AA4" s="17">
        <v>3</v>
      </c>
      <c r="AB4" s="17">
        <v>0</v>
      </c>
      <c r="AC4" s="17">
        <v>1</v>
      </c>
      <c r="AD4" s="16">
        <f t="shared" si="14"/>
        <v>223.110342478035</v>
      </c>
      <c r="AE4" s="18">
        <f t="shared" si="15"/>
        <v>291.187099799743</v>
      </c>
      <c r="AF4" s="1">
        <f t="shared" si="16"/>
        <v>95</v>
      </c>
      <c r="AG4" s="1">
        <f>'[1]1'!BH4</f>
        <v>95</v>
      </c>
    </row>
    <row r="5" s="1" customFormat="1" spans="1:34">
      <c r="A5" s="9">
        <v>46113</v>
      </c>
      <c r="B5" s="10" t="s">
        <v>36</v>
      </c>
      <c r="C5" s="10" t="s">
        <v>33</v>
      </c>
      <c r="D5" s="11" t="s">
        <v>34</v>
      </c>
      <c r="E5" s="12">
        <v>0</v>
      </c>
      <c r="F5" s="12">
        <v>3701</v>
      </c>
      <c r="G5" s="13">
        <v>14519</v>
      </c>
      <c r="H5" s="14">
        <v>2</v>
      </c>
      <c r="I5" s="14">
        <f t="shared" si="0"/>
        <v>44.0122222222222</v>
      </c>
      <c r="J5" s="14">
        <v>17</v>
      </c>
      <c r="K5" s="15">
        <f t="shared" si="1"/>
        <v>0</v>
      </c>
      <c r="L5" s="14">
        <f t="shared" si="2"/>
        <v>269.54</v>
      </c>
      <c r="M5" s="16">
        <f t="shared" si="3"/>
        <v>-269.54</v>
      </c>
      <c r="N5" s="14">
        <v>25</v>
      </c>
      <c r="O5" s="15">
        <f t="shared" si="4"/>
        <v>580.76</v>
      </c>
      <c r="P5" s="14">
        <f t="shared" si="5"/>
        <v>0.06859</v>
      </c>
      <c r="Q5" s="16">
        <f t="shared" si="6"/>
        <v>936.1067174</v>
      </c>
      <c r="R5" s="14">
        <f t="shared" si="7"/>
        <v>430.44</v>
      </c>
      <c r="S5" s="16">
        <f t="shared" si="8"/>
        <v>505.6667174</v>
      </c>
      <c r="T5" s="14">
        <v>45</v>
      </c>
      <c r="U5" s="15">
        <f t="shared" si="9"/>
        <v>82.2444444444444</v>
      </c>
      <c r="V5" s="14">
        <f t="shared" si="10"/>
        <v>0.276355</v>
      </c>
      <c r="W5" s="16">
        <f t="shared" si="11"/>
        <v>961.4224637</v>
      </c>
      <c r="X5" s="14">
        <f t="shared" si="12"/>
        <v>743.84</v>
      </c>
      <c r="Y5" s="16">
        <f t="shared" si="13"/>
        <v>217.5824637</v>
      </c>
      <c r="Z5" s="17">
        <v>4</v>
      </c>
      <c r="AA5" s="17">
        <v>3</v>
      </c>
      <c r="AB5" s="17">
        <v>0</v>
      </c>
      <c r="AC5" s="17">
        <v>1</v>
      </c>
      <c r="AD5" s="16">
        <f t="shared" si="14"/>
        <v>223.110342478035</v>
      </c>
      <c r="AE5" s="18">
        <f t="shared" si="15"/>
        <v>186.586616399743</v>
      </c>
      <c r="AF5" s="1">
        <f t="shared" si="16"/>
        <v>95</v>
      </c>
      <c r="AG5" s="1">
        <f>'[1]1'!BH5</f>
        <v>95</v>
      </c>
    </row>
    <row r="6" s="1" customFormat="1" spans="1:34">
      <c r="A6" s="9">
        <v>46113</v>
      </c>
      <c r="B6" s="10" t="s">
        <v>37</v>
      </c>
      <c r="C6" s="10" t="s">
        <v>33</v>
      </c>
      <c r="D6" s="11" t="s">
        <v>34</v>
      </c>
      <c r="E6" s="12">
        <v>8615</v>
      </c>
      <c r="F6" s="12">
        <v>4838</v>
      </c>
      <c r="G6" s="13">
        <v>12593</v>
      </c>
      <c r="H6" s="14">
        <v>2</v>
      </c>
      <c r="I6" s="14">
        <f t="shared" si="0"/>
        <v>44.0122222222222</v>
      </c>
      <c r="J6" s="14">
        <v>17</v>
      </c>
      <c r="K6" s="15">
        <f t="shared" si="1"/>
        <v>506.764705882353</v>
      </c>
      <c r="L6" s="14">
        <f t="shared" si="2"/>
        <v>269.54</v>
      </c>
      <c r="M6" s="16">
        <f t="shared" si="3"/>
        <v>-269.54</v>
      </c>
      <c r="N6" s="14">
        <v>18</v>
      </c>
      <c r="O6" s="15">
        <f t="shared" si="4"/>
        <v>699.611111111111</v>
      </c>
      <c r="P6" s="14">
        <f t="shared" si="5"/>
        <v>0.06859</v>
      </c>
      <c r="Q6" s="16">
        <f t="shared" si="6"/>
        <v>811.9286378</v>
      </c>
      <c r="R6" s="14">
        <f t="shared" si="7"/>
        <v>328.1</v>
      </c>
      <c r="S6" s="16">
        <f t="shared" si="8"/>
        <v>483.8286378</v>
      </c>
      <c r="T6" s="14">
        <v>52</v>
      </c>
      <c r="U6" s="15">
        <f t="shared" si="9"/>
        <v>93.0384615384615</v>
      </c>
      <c r="V6" s="14">
        <f t="shared" si="10"/>
        <v>0.276355</v>
      </c>
      <c r="W6" s="16">
        <f t="shared" si="11"/>
        <v>1256.7851606</v>
      </c>
      <c r="X6" s="14">
        <f t="shared" si="12"/>
        <v>846.18</v>
      </c>
      <c r="Y6" s="16">
        <f t="shared" si="13"/>
        <v>410.6051606</v>
      </c>
      <c r="Z6" s="17">
        <v>4</v>
      </c>
      <c r="AA6" s="17">
        <v>3</v>
      </c>
      <c r="AB6" s="17">
        <v>0</v>
      </c>
      <c r="AC6" s="17">
        <v>1</v>
      </c>
      <c r="AD6" s="16">
        <f t="shared" si="14"/>
        <v>223.110342478035</v>
      </c>
      <c r="AE6" s="18">
        <f t="shared" si="15"/>
        <v>357.771233699743</v>
      </c>
      <c r="AF6" s="1">
        <f t="shared" si="16"/>
        <v>95</v>
      </c>
      <c r="AG6" s="1">
        <f>'[1]1'!BH6</f>
        <v>95</v>
      </c>
    </row>
    <row r="7" s="1" customFormat="1" spans="1:34">
      <c r="A7" s="9">
        <v>46113</v>
      </c>
      <c r="B7" s="10" t="s">
        <v>38</v>
      </c>
      <c r="C7" s="10" t="s">
        <v>33</v>
      </c>
      <c r="D7" s="11" t="s">
        <v>34</v>
      </c>
      <c r="E7" s="12">
        <v>26</v>
      </c>
      <c r="F7" s="12">
        <v>5326</v>
      </c>
      <c r="G7" s="13">
        <v>13297</v>
      </c>
      <c r="H7" s="14">
        <v>2</v>
      </c>
      <c r="I7" s="14">
        <f t="shared" si="0"/>
        <v>44.0122222222222</v>
      </c>
      <c r="J7" s="14">
        <v>17</v>
      </c>
      <c r="K7" s="15">
        <f t="shared" si="1"/>
        <v>1.52941176470588</v>
      </c>
      <c r="L7" s="14">
        <f t="shared" si="2"/>
        <v>269.54</v>
      </c>
      <c r="M7" s="16">
        <f t="shared" si="3"/>
        <v>-269.54</v>
      </c>
      <c r="N7" s="14">
        <v>25</v>
      </c>
      <c r="O7" s="15">
        <f t="shared" si="4"/>
        <v>531.88</v>
      </c>
      <c r="P7" s="14">
        <f t="shared" si="5"/>
        <v>0.06859</v>
      </c>
      <c r="Q7" s="16">
        <f t="shared" si="6"/>
        <v>857.3187562</v>
      </c>
      <c r="R7" s="14">
        <f t="shared" si="7"/>
        <v>430.44</v>
      </c>
      <c r="S7" s="16">
        <f t="shared" si="8"/>
        <v>426.8787562</v>
      </c>
      <c r="T7" s="14">
        <v>45</v>
      </c>
      <c r="U7" s="15">
        <f t="shared" si="9"/>
        <v>118.355555555556</v>
      </c>
      <c r="V7" s="14">
        <f t="shared" si="10"/>
        <v>0.276355</v>
      </c>
      <c r="W7" s="16">
        <f t="shared" si="11"/>
        <v>1383.5547262</v>
      </c>
      <c r="X7" s="14">
        <f t="shared" si="12"/>
        <v>743.84</v>
      </c>
      <c r="Y7" s="16">
        <f t="shared" si="13"/>
        <v>639.7147262</v>
      </c>
      <c r="Z7" s="17">
        <v>4</v>
      </c>
      <c r="AA7" s="17">
        <v>3</v>
      </c>
      <c r="AB7" s="17">
        <v>0</v>
      </c>
      <c r="AC7" s="17">
        <v>1</v>
      </c>
      <c r="AD7" s="16">
        <f t="shared" si="14"/>
        <v>223.110342478035</v>
      </c>
      <c r="AE7" s="18">
        <f t="shared" si="15"/>
        <v>529.930917699743</v>
      </c>
      <c r="AF7" s="1">
        <f t="shared" si="16"/>
        <v>95</v>
      </c>
      <c r="AG7" s="1">
        <f>'[1]1'!BH7</f>
        <v>95</v>
      </c>
    </row>
    <row r="8" s="1" customFormat="1" spans="1:34">
      <c r="A8" s="9">
        <v>46113</v>
      </c>
      <c r="B8" s="10" t="s">
        <v>39</v>
      </c>
      <c r="C8" s="10" t="s">
        <v>33</v>
      </c>
      <c r="D8" s="11" t="s">
        <v>34</v>
      </c>
      <c r="E8" s="12">
        <v>225</v>
      </c>
      <c r="F8" s="12">
        <v>3064</v>
      </c>
      <c r="G8" s="13">
        <v>8794</v>
      </c>
      <c r="H8" s="14">
        <v>2</v>
      </c>
      <c r="I8" s="14">
        <f t="shared" si="0"/>
        <v>44.0122222222222</v>
      </c>
      <c r="J8" s="14">
        <v>17</v>
      </c>
      <c r="K8" s="15">
        <f t="shared" si="1"/>
        <v>13.2352941176471</v>
      </c>
      <c r="L8" s="14">
        <f t="shared" si="2"/>
        <v>269.54</v>
      </c>
      <c r="M8" s="16">
        <f t="shared" si="3"/>
        <v>-269.54</v>
      </c>
      <c r="N8" s="14">
        <v>25</v>
      </c>
      <c r="O8" s="15">
        <f t="shared" si="4"/>
        <v>351.76</v>
      </c>
      <c r="P8" s="14">
        <f t="shared" si="5"/>
        <v>0.06859</v>
      </c>
      <c r="Q8" s="16">
        <f t="shared" si="6"/>
        <v>566.9896324</v>
      </c>
      <c r="R8" s="14">
        <f t="shared" si="7"/>
        <v>430.44</v>
      </c>
      <c r="S8" s="16">
        <f t="shared" si="8"/>
        <v>136.5496324</v>
      </c>
      <c r="T8" s="14">
        <v>45</v>
      </c>
      <c r="U8" s="15">
        <f t="shared" si="9"/>
        <v>68.0888888888889</v>
      </c>
      <c r="V8" s="14">
        <f t="shared" si="10"/>
        <v>0.276355</v>
      </c>
      <c r="W8" s="16">
        <f t="shared" si="11"/>
        <v>795.9466168</v>
      </c>
      <c r="X8" s="14">
        <f t="shared" si="12"/>
        <v>743.84</v>
      </c>
      <c r="Y8" s="16">
        <f t="shared" si="13"/>
        <v>52.1066167999999</v>
      </c>
      <c r="Z8" s="17">
        <v>4</v>
      </c>
      <c r="AA8" s="17">
        <v>3</v>
      </c>
      <c r="AB8" s="17">
        <v>0</v>
      </c>
      <c r="AC8" s="17">
        <v>1</v>
      </c>
      <c r="AD8" s="16">
        <f t="shared" si="14"/>
        <v>223.110342478035</v>
      </c>
      <c r="AE8" s="18">
        <f t="shared" si="15"/>
        <v>-348.006315500257</v>
      </c>
      <c r="AF8" s="1">
        <f t="shared" si="16"/>
        <v>95</v>
      </c>
      <c r="AG8" s="1">
        <f>'[1]1'!BH8</f>
        <v>95</v>
      </c>
    </row>
    <row r="9" s="1" customFormat="1" spans="1:34">
      <c r="A9" s="9">
        <v>46113</v>
      </c>
      <c r="B9" s="10" t="s">
        <v>40</v>
      </c>
      <c r="C9" s="10" t="s">
        <v>33</v>
      </c>
      <c r="D9" s="11" t="s">
        <v>34</v>
      </c>
      <c r="E9" s="12">
        <v>794</v>
      </c>
      <c r="F9" s="12">
        <v>1229</v>
      </c>
      <c r="G9" s="13">
        <v>113</v>
      </c>
      <c r="H9" s="14">
        <v>2</v>
      </c>
      <c r="I9" s="14">
        <f t="shared" si="0"/>
        <v>44.0122222222222</v>
      </c>
      <c r="J9" s="14">
        <v>17</v>
      </c>
      <c r="K9" s="15">
        <f t="shared" si="1"/>
        <v>46.7058823529412</v>
      </c>
      <c r="L9" s="14">
        <f t="shared" si="2"/>
        <v>269.54</v>
      </c>
      <c r="M9" s="16">
        <f t="shared" si="3"/>
        <v>-269.54</v>
      </c>
      <c r="N9" s="14">
        <v>25</v>
      </c>
      <c r="O9" s="15">
        <f t="shared" si="4"/>
        <v>4.52</v>
      </c>
      <c r="P9" s="14">
        <f t="shared" si="5"/>
        <v>0.06859</v>
      </c>
      <c r="Q9" s="16">
        <f t="shared" si="6"/>
        <v>7.2856298</v>
      </c>
      <c r="R9" s="14">
        <f t="shared" si="7"/>
        <v>430.44</v>
      </c>
      <c r="S9" s="16">
        <f t="shared" si="8"/>
        <v>-423.1543702</v>
      </c>
      <c r="T9" s="14">
        <v>45</v>
      </c>
      <c r="U9" s="15">
        <f t="shared" si="9"/>
        <v>27.3111111111111</v>
      </c>
      <c r="V9" s="14">
        <f t="shared" si="10"/>
        <v>0.276355</v>
      </c>
      <c r="W9" s="16">
        <f t="shared" si="11"/>
        <v>319.2618773</v>
      </c>
      <c r="X9" s="14">
        <f t="shared" si="12"/>
        <v>743.84</v>
      </c>
      <c r="Y9" s="16">
        <f t="shared" si="13"/>
        <v>-424.5781227</v>
      </c>
      <c r="Z9" s="17">
        <v>4</v>
      </c>
      <c r="AA9" s="17">
        <v>3</v>
      </c>
      <c r="AB9" s="17">
        <v>0</v>
      </c>
      <c r="AC9" s="17">
        <v>1</v>
      </c>
      <c r="AD9" s="16">
        <f t="shared" si="14"/>
        <v>223.110342478035</v>
      </c>
      <c r="AE9" s="18">
        <f t="shared" si="15"/>
        <v>-1384.39505760026</v>
      </c>
      <c r="AF9" s="1">
        <f t="shared" si="16"/>
        <v>95</v>
      </c>
      <c r="AG9" s="1">
        <f>'[1]1'!BH9</f>
        <v>95</v>
      </c>
    </row>
    <row r="10" s="1" customFormat="1" spans="1:34">
      <c r="A10" s="9">
        <v>46113</v>
      </c>
      <c r="B10" s="10" t="s">
        <v>41</v>
      </c>
      <c r="C10" s="10" t="s">
        <v>42</v>
      </c>
      <c r="D10" s="11" t="s">
        <v>34</v>
      </c>
      <c r="E10" s="12">
        <v>1064</v>
      </c>
      <c r="F10" s="19">
        <v>1528</v>
      </c>
      <c r="G10" s="20">
        <v>246</v>
      </c>
      <c r="H10" s="14">
        <v>4</v>
      </c>
      <c r="I10" s="14">
        <f t="shared" si="0"/>
        <v>100.75</v>
      </c>
      <c r="J10" s="14">
        <v>8</v>
      </c>
      <c r="K10" s="15">
        <f t="shared" si="1"/>
        <v>133</v>
      </c>
      <c r="L10" s="14">
        <f t="shared" ref="L10:L20" si="17">J10*14.54+21</f>
        <v>137.32</v>
      </c>
      <c r="M10" s="16">
        <f t="shared" si="3"/>
        <v>-137.32</v>
      </c>
      <c r="N10" s="14">
        <v>21</v>
      </c>
      <c r="O10" s="15">
        <f t="shared" si="4"/>
        <v>11.7142857142857</v>
      </c>
      <c r="P10" s="14">
        <f t="shared" si="5"/>
        <v>0.06859</v>
      </c>
      <c r="Q10" s="16">
        <f t="shared" si="6"/>
        <v>15.8607516</v>
      </c>
      <c r="R10" s="14">
        <f t="shared" ref="R10:R20" si="18">N10*14.54+21</f>
        <v>326.34</v>
      </c>
      <c r="S10" s="16">
        <f t="shared" si="8"/>
        <v>-310.4792484</v>
      </c>
      <c r="T10" s="14">
        <v>33</v>
      </c>
      <c r="U10" s="15">
        <f t="shared" si="9"/>
        <v>46.3030303030303</v>
      </c>
      <c r="V10" s="14">
        <f t="shared" si="10"/>
        <v>0.276355</v>
      </c>
      <c r="W10" s="16">
        <f t="shared" si="11"/>
        <v>396.9342136</v>
      </c>
      <c r="X10" s="14">
        <f t="shared" ref="X10:X20" si="19">T10*14.54+42</f>
        <v>521.82</v>
      </c>
      <c r="Y10" s="16">
        <f t="shared" si="13"/>
        <v>-124.8857864</v>
      </c>
      <c r="Z10" s="17">
        <v>0</v>
      </c>
      <c r="AA10" s="17">
        <v>2</v>
      </c>
      <c r="AB10" s="17">
        <v>2</v>
      </c>
      <c r="AC10" s="17">
        <v>1</v>
      </c>
      <c r="AD10" s="16">
        <f t="shared" si="14"/>
        <v>185.987778375471</v>
      </c>
      <c r="AE10" s="18">
        <f t="shared" si="15"/>
        <v>-859.422813175471</v>
      </c>
      <c r="AF10" s="1">
        <f t="shared" si="16"/>
        <v>67</v>
      </c>
      <c r="AG10" s="1">
        <f>'[1]1'!BH10</f>
        <v>67</v>
      </c>
    </row>
    <row r="11" s="1" customFormat="1" spans="1:34">
      <c r="A11" s="9">
        <v>46113</v>
      </c>
      <c r="B11" s="10" t="s">
        <v>43</v>
      </c>
      <c r="C11" s="10" t="s">
        <v>42</v>
      </c>
      <c r="D11" s="11" t="s">
        <v>34</v>
      </c>
      <c r="E11" s="12">
        <v>5592</v>
      </c>
      <c r="F11" s="19">
        <v>3243</v>
      </c>
      <c r="G11" s="21">
        <v>4179</v>
      </c>
      <c r="H11" s="14">
        <v>4</v>
      </c>
      <c r="I11" s="14">
        <f t="shared" si="0"/>
        <v>100.75</v>
      </c>
      <c r="J11" s="14">
        <v>8</v>
      </c>
      <c r="K11" s="15">
        <f t="shared" si="1"/>
        <v>699</v>
      </c>
      <c r="L11" s="14">
        <f t="shared" si="17"/>
        <v>137.32</v>
      </c>
      <c r="M11" s="16">
        <f t="shared" si="3"/>
        <v>-137.32</v>
      </c>
      <c r="N11" s="14">
        <v>21</v>
      </c>
      <c r="O11" s="15">
        <f t="shared" si="4"/>
        <v>199</v>
      </c>
      <c r="P11" s="14">
        <f t="shared" si="5"/>
        <v>0.06859</v>
      </c>
      <c r="Q11" s="16">
        <f t="shared" si="6"/>
        <v>269.4393534</v>
      </c>
      <c r="R11" s="14">
        <f t="shared" si="18"/>
        <v>326.34</v>
      </c>
      <c r="S11" s="16">
        <f t="shared" si="8"/>
        <v>-56.9006466</v>
      </c>
      <c r="T11" s="14">
        <v>33</v>
      </c>
      <c r="U11" s="15">
        <f t="shared" si="9"/>
        <v>98.2727272727273</v>
      </c>
      <c r="V11" s="14">
        <f t="shared" si="10"/>
        <v>0.276355</v>
      </c>
      <c r="W11" s="16">
        <f t="shared" si="11"/>
        <v>842.4461091</v>
      </c>
      <c r="X11" s="14">
        <f t="shared" si="19"/>
        <v>521.82</v>
      </c>
      <c r="Y11" s="16">
        <f t="shared" si="13"/>
        <v>320.6261091</v>
      </c>
      <c r="Z11" s="17">
        <v>0</v>
      </c>
      <c r="AA11" s="17">
        <v>2</v>
      </c>
      <c r="AB11" s="17">
        <v>2</v>
      </c>
      <c r="AC11" s="17">
        <v>1</v>
      </c>
      <c r="AD11" s="16">
        <f t="shared" si="14"/>
        <v>185.987778375471</v>
      </c>
      <c r="AE11" s="18">
        <f t="shared" si="15"/>
        <v>-160.332315875471</v>
      </c>
      <c r="AF11" s="1">
        <f t="shared" si="16"/>
        <v>67</v>
      </c>
      <c r="AG11" s="1">
        <f>'[1]1'!BH11</f>
        <v>67</v>
      </c>
    </row>
    <row r="12" s="1" customFormat="1" spans="1:34">
      <c r="A12" s="9">
        <v>46113</v>
      </c>
      <c r="B12" s="10" t="s">
        <v>44</v>
      </c>
      <c r="C12" s="10" t="s">
        <v>42</v>
      </c>
      <c r="D12" s="11" t="s">
        <v>34</v>
      </c>
      <c r="E12" s="12">
        <v>1711</v>
      </c>
      <c r="F12" s="12">
        <v>3163</v>
      </c>
      <c r="G12" s="21">
        <v>14973</v>
      </c>
      <c r="H12" s="14">
        <v>4</v>
      </c>
      <c r="I12" s="14">
        <f t="shared" si="0"/>
        <v>100.75</v>
      </c>
      <c r="J12" s="14">
        <v>13</v>
      </c>
      <c r="K12" s="15">
        <f t="shared" si="1"/>
        <v>131.615384615385</v>
      </c>
      <c r="L12" s="14">
        <f t="shared" si="17"/>
        <v>210.02</v>
      </c>
      <c r="M12" s="16">
        <f t="shared" si="3"/>
        <v>-210.02</v>
      </c>
      <c r="N12" s="14">
        <v>21</v>
      </c>
      <c r="O12" s="15">
        <f t="shared" si="4"/>
        <v>713</v>
      </c>
      <c r="P12" s="14">
        <f t="shared" si="5"/>
        <v>0.06859</v>
      </c>
      <c r="Q12" s="16">
        <f t="shared" si="6"/>
        <v>965.3781858</v>
      </c>
      <c r="R12" s="14">
        <f t="shared" si="18"/>
        <v>326.34</v>
      </c>
      <c r="S12" s="16">
        <f t="shared" si="8"/>
        <v>639.0381858</v>
      </c>
      <c r="T12" s="14">
        <v>28</v>
      </c>
      <c r="U12" s="15">
        <f t="shared" si="9"/>
        <v>112.964285714286</v>
      </c>
      <c r="V12" s="14">
        <f t="shared" si="10"/>
        <v>0.276355</v>
      </c>
      <c r="W12" s="16">
        <f t="shared" si="11"/>
        <v>821.6642131</v>
      </c>
      <c r="X12" s="14">
        <f t="shared" si="19"/>
        <v>449.12</v>
      </c>
      <c r="Y12" s="16">
        <f t="shared" si="13"/>
        <v>372.5442131</v>
      </c>
      <c r="Z12" s="17">
        <v>0</v>
      </c>
      <c r="AA12" s="17">
        <v>2</v>
      </c>
      <c r="AB12" s="17">
        <v>2</v>
      </c>
      <c r="AC12" s="17">
        <v>1</v>
      </c>
      <c r="AD12" s="16">
        <f t="shared" si="14"/>
        <v>185.987778375471</v>
      </c>
      <c r="AE12" s="18">
        <f t="shared" si="15"/>
        <v>514.824620524529</v>
      </c>
      <c r="AF12" s="1">
        <f t="shared" si="16"/>
        <v>67</v>
      </c>
      <c r="AG12" s="1">
        <f>'[1]1'!BH12</f>
        <v>67</v>
      </c>
    </row>
    <row r="13" s="1" customFormat="1" spans="1:34">
      <c r="A13" s="9">
        <v>46113</v>
      </c>
      <c r="B13" s="10" t="s">
        <v>45</v>
      </c>
      <c r="C13" s="10" t="s">
        <v>42</v>
      </c>
      <c r="D13" s="11" t="s">
        <v>34</v>
      </c>
      <c r="E13" s="12">
        <v>493</v>
      </c>
      <c r="F13" s="12">
        <v>763</v>
      </c>
      <c r="G13" s="21">
        <v>325</v>
      </c>
      <c r="H13" s="14">
        <v>4</v>
      </c>
      <c r="I13" s="14">
        <f t="shared" si="0"/>
        <v>100.75</v>
      </c>
      <c r="J13" s="14">
        <v>13</v>
      </c>
      <c r="K13" s="15">
        <f t="shared" si="1"/>
        <v>37.9230769230769</v>
      </c>
      <c r="L13" s="14">
        <f t="shared" si="17"/>
        <v>210.02</v>
      </c>
      <c r="M13" s="16">
        <f t="shared" si="3"/>
        <v>-210.02</v>
      </c>
      <c r="N13" s="14">
        <v>21</v>
      </c>
      <c r="O13" s="15">
        <f t="shared" si="4"/>
        <v>15.4761904761905</v>
      </c>
      <c r="P13" s="14">
        <f t="shared" si="5"/>
        <v>0.06859</v>
      </c>
      <c r="Q13" s="16">
        <f t="shared" si="6"/>
        <v>20.954245</v>
      </c>
      <c r="R13" s="14">
        <f t="shared" si="18"/>
        <v>326.34</v>
      </c>
      <c r="S13" s="16">
        <f t="shared" si="8"/>
        <v>-305.385755</v>
      </c>
      <c r="T13" s="14">
        <v>28</v>
      </c>
      <c r="U13" s="15">
        <f t="shared" si="9"/>
        <v>27.25</v>
      </c>
      <c r="V13" s="14">
        <f t="shared" si="10"/>
        <v>0.276355</v>
      </c>
      <c r="W13" s="16">
        <f t="shared" si="11"/>
        <v>198.2073331</v>
      </c>
      <c r="X13" s="14">
        <f t="shared" si="19"/>
        <v>449.12</v>
      </c>
      <c r="Y13" s="16">
        <f t="shared" si="13"/>
        <v>-250.9126669</v>
      </c>
      <c r="Z13" s="17">
        <v>0</v>
      </c>
      <c r="AA13" s="17">
        <v>2</v>
      </c>
      <c r="AB13" s="17">
        <v>2</v>
      </c>
      <c r="AC13" s="17">
        <v>1</v>
      </c>
      <c r="AD13" s="16">
        <f t="shared" si="14"/>
        <v>185.987778375471</v>
      </c>
      <c r="AE13" s="18">
        <f t="shared" si="15"/>
        <v>-1053.05620027547</v>
      </c>
      <c r="AF13" s="1">
        <f t="shared" si="16"/>
        <v>67</v>
      </c>
      <c r="AG13" s="1">
        <f>'[1]1'!BH13</f>
        <v>67</v>
      </c>
    </row>
    <row r="14" s="1" customFormat="1" spans="1:34">
      <c r="A14" s="9">
        <v>46113</v>
      </c>
      <c r="B14" s="10" t="s">
        <v>46</v>
      </c>
      <c r="C14" s="10" t="s">
        <v>42</v>
      </c>
      <c r="D14" s="10" t="s">
        <v>47</v>
      </c>
      <c r="E14" s="12">
        <v>2033</v>
      </c>
      <c r="F14" s="12">
        <v>520</v>
      </c>
      <c r="G14" s="21">
        <v>48</v>
      </c>
      <c r="H14" s="14">
        <v>4</v>
      </c>
      <c r="I14" s="14">
        <f t="shared" si="0"/>
        <v>100.75</v>
      </c>
      <c r="J14" s="14">
        <v>15</v>
      </c>
      <c r="K14" s="15">
        <f t="shared" si="1"/>
        <v>135.533333333333</v>
      </c>
      <c r="L14" s="14">
        <f t="shared" si="17"/>
        <v>239.1</v>
      </c>
      <c r="M14" s="16">
        <f t="shared" si="3"/>
        <v>-239.1</v>
      </c>
      <c r="N14" s="14">
        <v>21</v>
      </c>
      <c r="O14" s="15">
        <f t="shared" si="4"/>
        <v>2.28571428571429</v>
      </c>
      <c r="P14" s="14">
        <f t="shared" si="5"/>
        <v>0.06859</v>
      </c>
      <c r="Q14" s="16">
        <f t="shared" si="6"/>
        <v>3.0947808</v>
      </c>
      <c r="R14" s="14">
        <f t="shared" si="18"/>
        <v>326.34</v>
      </c>
      <c r="S14" s="16">
        <f t="shared" si="8"/>
        <v>-323.2452192</v>
      </c>
      <c r="T14" s="14">
        <v>33</v>
      </c>
      <c r="U14" s="15">
        <f t="shared" si="9"/>
        <v>15.7575757575758</v>
      </c>
      <c r="V14" s="14">
        <f t="shared" si="10"/>
        <v>0.276355</v>
      </c>
      <c r="W14" s="16">
        <f t="shared" si="11"/>
        <v>135.082324</v>
      </c>
      <c r="X14" s="14">
        <f t="shared" si="19"/>
        <v>521.82</v>
      </c>
      <c r="Y14" s="16">
        <f t="shared" si="13"/>
        <v>-386.737676</v>
      </c>
      <c r="Z14" s="17">
        <v>0</v>
      </c>
      <c r="AA14" s="17">
        <v>2</v>
      </c>
      <c r="AB14" s="17">
        <v>2</v>
      </c>
      <c r="AC14" s="17">
        <v>1</v>
      </c>
      <c r="AD14" s="16">
        <f t="shared" si="14"/>
        <v>185.987778375471</v>
      </c>
      <c r="AE14" s="18">
        <f t="shared" si="15"/>
        <v>-1235.82067357547</v>
      </c>
      <c r="AF14" s="1">
        <f t="shared" si="16"/>
        <v>74</v>
      </c>
      <c r="AG14" s="1">
        <f>'[1]1'!BH14</f>
        <v>74</v>
      </c>
    </row>
    <row r="15" s="1" customFormat="1" spans="1:34">
      <c r="A15" s="9">
        <v>46113</v>
      </c>
      <c r="B15" s="10" t="s">
        <v>48</v>
      </c>
      <c r="C15" s="10" t="s">
        <v>42</v>
      </c>
      <c r="D15" s="10" t="s">
        <v>49</v>
      </c>
      <c r="E15" s="12">
        <v>18883</v>
      </c>
      <c r="F15" s="22">
        <v>7662</v>
      </c>
      <c r="G15" s="21">
        <v>15</v>
      </c>
      <c r="H15" s="14">
        <v>4</v>
      </c>
      <c r="I15" s="14">
        <f t="shared" si="0"/>
        <v>100.75</v>
      </c>
      <c r="J15" s="14">
        <v>20</v>
      </c>
      <c r="K15" s="15">
        <f t="shared" si="1"/>
        <v>944.15</v>
      </c>
      <c r="L15" s="14">
        <f t="shared" si="17"/>
        <v>311.8</v>
      </c>
      <c r="M15" s="16">
        <f t="shared" si="3"/>
        <v>-311.8</v>
      </c>
      <c r="N15" s="14">
        <v>4</v>
      </c>
      <c r="O15" s="15">
        <f t="shared" si="4"/>
        <v>3.75</v>
      </c>
      <c r="P15" s="14">
        <f t="shared" si="5"/>
        <v>0.06859</v>
      </c>
      <c r="Q15" s="16">
        <f t="shared" si="6"/>
        <v>0.967119</v>
      </c>
      <c r="R15" s="14">
        <f t="shared" si="18"/>
        <v>79.16</v>
      </c>
      <c r="S15" s="16">
        <f t="shared" si="8"/>
        <v>-78.192881</v>
      </c>
      <c r="T15" s="14">
        <v>45</v>
      </c>
      <c r="U15" s="15">
        <f t="shared" si="9"/>
        <v>170.266666666667</v>
      </c>
      <c r="V15" s="14">
        <f t="shared" si="10"/>
        <v>0.276355</v>
      </c>
      <c r="W15" s="16">
        <f t="shared" si="11"/>
        <v>1990.3860894</v>
      </c>
      <c r="X15" s="14">
        <f t="shared" si="19"/>
        <v>696.3</v>
      </c>
      <c r="Y15" s="16">
        <f t="shared" si="13"/>
        <v>1294.0860894</v>
      </c>
      <c r="Z15" s="17">
        <v>0</v>
      </c>
      <c r="AA15" s="17">
        <v>2</v>
      </c>
      <c r="AB15" s="17">
        <v>2</v>
      </c>
      <c r="AC15" s="17">
        <v>1</v>
      </c>
      <c r="AD15" s="16">
        <f t="shared" si="14"/>
        <v>185.987778375471</v>
      </c>
      <c r="AE15" s="18">
        <f t="shared" si="15"/>
        <v>617.355430024529</v>
      </c>
      <c r="AF15" s="1">
        <f t="shared" si="16"/>
        <v>74</v>
      </c>
      <c r="AG15" s="1">
        <f>'[1]1'!BH15</f>
        <v>74</v>
      </c>
    </row>
    <row r="16" s="1" customFormat="1" spans="1:34">
      <c r="A16" s="9">
        <v>46113</v>
      </c>
      <c r="B16" s="10" t="s">
        <v>50</v>
      </c>
      <c r="C16" s="10" t="s">
        <v>42</v>
      </c>
      <c r="D16" s="10" t="s">
        <v>49</v>
      </c>
      <c r="E16" s="12">
        <v>9384</v>
      </c>
      <c r="F16" s="22">
        <v>4201</v>
      </c>
      <c r="G16" s="21">
        <v>4314</v>
      </c>
      <c r="H16" s="14">
        <v>4</v>
      </c>
      <c r="I16" s="14">
        <f t="shared" si="0"/>
        <v>100.75</v>
      </c>
      <c r="J16" s="14">
        <v>13</v>
      </c>
      <c r="K16" s="15">
        <f t="shared" si="1"/>
        <v>721.846153846154</v>
      </c>
      <c r="L16" s="14">
        <f t="shared" si="17"/>
        <v>210.02</v>
      </c>
      <c r="M16" s="16">
        <f t="shared" si="3"/>
        <v>-210.02</v>
      </c>
      <c r="N16" s="14">
        <v>27</v>
      </c>
      <c r="O16" s="15">
        <f t="shared" si="4"/>
        <v>159.777777777778</v>
      </c>
      <c r="P16" s="14">
        <f t="shared" si="5"/>
        <v>0.06859</v>
      </c>
      <c r="Q16" s="16">
        <f t="shared" si="6"/>
        <v>278.1434244</v>
      </c>
      <c r="R16" s="14">
        <f t="shared" si="18"/>
        <v>413.58</v>
      </c>
      <c r="S16" s="16">
        <f t="shared" si="8"/>
        <v>-135.4365756</v>
      </c>
      <c r="T16" s="14">
        <v>29</v>
      </c>
      <c r="U16" s="15">
        <f t="shared" si="9"/>
        <v>144.862068965517</v>
      </c>
      <c r="V16" s="14">
        <f t="shared" si="10"/>
        <v>0.276355</v>
      </c>
      <c r="W16" s="16">
        <f t="shared" si="11"/>
        <v>1091.3093137</v>
      </c>
      <c r="X16" s="14">
        <f t="shared" si="19"/>
        <v>463.66</v>
      </c>
      <c r="Y16" s="16">
        <f t="shared" si="13"/>
        <v>627.6493137</v>
      </c>
      <c r="Z16" s="17">
        <v>0</v>
      </c>
      <c r="AA16" s="17">
        <v>2</v>
      </c>
      <c r="AB16" s="17">
        <v>2</v>
      </c>
      <c r="AC16" s="17">
        <v>1</v>
      </c>
      <c r="AD16" s="16">
        <f t="shared" si="14"/>
        <v>185.987778375471</v>
      </c>
      <c r="AE16" s="18">
        <f t="shared" si="15"/>
        <v>-4.54504027547097</v>
      </c>
      <c r="AF16" s="1">
        <f t="shared" si="16"/>
        <v>74</v>
      </c>
      <c r="AG16" s="1">
        <f>'[1]1'!BH16</f>
        <v>74</v>
      </c>
    </row>
    <row r="17" s="1" customFormat="1" spans="1:33">
      <c r="A17" s="9">
        <v>46113</v>
      </c>
      <c r="B17" s="10" t="s">
        <v>51</v>
      </c>
      <c r="C17" s="10" t="s">
        <v>42</v>
      </c>
      <c r="D17" s="10" t="s">
        <v>49</v>
      </c>
      <c r="E17" s="12">
        <v>6307</v>
      </c>
      <c r="F17" s="22">
        <v>1069</v>
      </c>
      <c r="G17" s="21">
        <v>10046</v>
      </c>
      <c r="H17" s="14">
        <v>4</v>
      </c>
      <c r="I17" s="14">
        <f t="shared" si="0"/>
        <v>100.75</v>
      </c>
      <c r="J17" s="14">
        <v>13</v>
      </c>
      <c r="K17" s="15">
        <f t="shared" si="1"/>
        <v>485.153846153846</v>
      </c>
      <c r="L17" s="14">
        <f t="shared" si="17"/>
        <v>210.02</v>
      </c>
      <c r="M17" s="16">
        <f t="shared" si="3"/>
        <v>-210.02</v>
      </c>
      <c r="N17" s="14">
        <v>27</v>
      </c>
      <c r="O17" s="15">
        <f t="shared" si="4"/>
        <v>372.074074074074</v>
      </c>
      <c r="P17" s="14">
        <f t="shared" si="5"/>
        <v>0.06859</v>
      </c>
      <c r="Q17" s="16">
        <f t="shared" si="6"/>
        <v>647.7118316</v>
      </c>
      <c r="R17" s="14">
        <f t="shared" si="18"/>
        <v>413.58</v>
      </c>
      <c r="S17" s="16">
        <f t="shared" si="8"/>
        <v>234.1318316</v>
      </c>
      <c r="T17" s="14">
        <v>29</v>
      </c>
      <c r="U17" s="15">
        <f t="shared" si="9"/>
        <v>36.8620689655172</v>
      </c>
      <c r="V17" s="14">
        <f t="shared" si="10"/>
        <v>0.276355</v>
      </c>
      <c r="W17" s="16">
        <f t="shared" si="11"/>
        <v>277.6980853</v>
      </c>
      <c r="X17" s="14">
        <f t="shared" si="19"/>
        <v>463.66</v>
      </c>
      <c r="Y17" s="16">
        <f t="shared" si="13"/>
        <v>-185.9619147</v>
      </c>
      <c r="Z17" s="17">
        <v>0</v>
      </c>
      <c r="AA17" s="17">
        <v>2</v>
      </c>
      <c r="AB17" s="17">
        <v>2</v>
      </c>
      <c r="AC17" s="17">
        <v>1</v>
      </c>
      <c r="AD17" s="16">
        <f t="shared" si="14"/>
        <v>185.987778375471</v>
      </c>
      <c r="AE17" s="18">
        <f t="shared" si="15"/>
        <v>-448.587861475471</v>
      </c>
      <c r="AF17" s="1">
        <f t="shared" si="16"/>
        <v>74</v>
      </c>
      <c r="AG17" s="1">
        <f>'[1]1'!BH17</f>
        <v>74</v>
      </c>
    </row>
    <row r="18" s="1" customFormat="1" spans="1:33">
      <c r="A18" s="9">
        <v>46113</v>
      </c>
      <c r="B18" s="10" t="s">
        <v>52</v>
      </c>
      <c r="C18" s="10" t="s">
        <v>42</v>
      </c>
      <c r="D18" s="11" t="s">
        <v>34</v>
      </c>
      <c r="E18" s="12">
        <v>0</v>
      </c>
      <c r="F18" s="22">
        <v>3796</v>
      </c>
      <c r="G18" s="21">
        <v>9093</v>
      </c>
      <c r="H18" s="14">
        <v>4</v>
      </c>
      <c r="I18" s="14">
        <f t="shared" si="0"/>
        <v>100.75</v>
      </c>
      <c r="J18" s="14">
        <v>17</v>
      </c>
      <c r="K18" s="15">
        <f t="shared" si="1"/>
        <v>0</v>
      </c>
      <c r="L18" s="14">
        <f t="shared" si="17"/>
        <v>268.18</v>
      </c>
      <c r="M18" s="16">
        <f t="shared" si="3"/>
        <v>-268.18</v>
      </c>
      <c r="N18" s="14">
        <v>23</v>
      </c>
      <c r="O18" s="15">
        <f t="shared" si="4"/>
        <v>395.347826086957</v>
      </c>
      <c r="P18" s="14">
        <f t="shared" si="5"/>
        <v>0.06859</v>
      </c>
      <c r="Q18" s="16">
        <f t="shared" si="6"/>
        <v>586.2675378</v>
      </c>
      <c r="R18" s="14">
        <f t="shared" si="18"/>
        <v>355.42</v>
      </c>
      <c r="S18" s="16">
        <f t="shared" si="8"/>
        <v>230.8475378</v>
      </c>
      <c r="T18" s="14">
        <v>29</v>
      </c>
      <c r="U18" s="15">
        <f t="shared" si="9"/>
        <v>130.896551724138</v>
      </c>
      <c r="V18" s="14">
        <f t="shared" si="10"/>
        <v>0.276355</v>
      </c>
      <c r="W18" s="16">
        <f t="shared" si="11"/>
        <v>986.1009652</v>
      </c>
      <c r="X18" s="14">
        <f t="shared" si="19"/>
        <v>463.66</v>
      </c>
      <c r="Y18" s="16">
        <f t="shared" si="13"/>
        <v>522.4409652</v>
      </c>
      <c r="Z18" s="17">
        <v>0</v>
      </c>
      <c r="AA18" s="17">
        <v>2</v>
      </c>
      <c r="AB18" s="17">
        <v>2</v>
      </c>
      <c r="AC18" s="17">
        <v>1</v>
      </c>
      <c r="AD18" s="16">
        <f t="shared" si="14"/>
        <v>185.987778375471</v>
      </c>
      <c r="AE18" s="18">
        <f t="shared" si="15"/>
        <v>198.370724624529</v>
      </c>
      <c r="AF18" s="1">
        <f t="shared" si="16"/>
        <v>74</v>
      </c>
      <c r="AG18" s="1">
        <f>'[1]1'!BH18</f>
        <v>74</v>
      </c>
    </row>
    <row r="19" s="1" customFormat="1" spans="1:33">
      <c r="A19" s="9">
        <v>46113</v>
      </c>
      <c r="B19" s="10" t="s">
        <v>53</v>
      </c>
      <c r="C19" s="10" t="s">
        <v>42</v>
      </c>
      <c r="D19" s="11" t="s">
        <v>34</v>
      </c>
      <c r="E19" s="12">
        <v>786</v>
      </c>
      <c r="F19" s="22">
        <v>3310</v>
      </c>
      <c r="G19" s="21">
        <v>14333</v>
      </c>
      <c r="H19" s="14">
        <v>4</v>
      </c>
      <c r="I19" s="14">
        <f t="shared" si="0"/>
        <v>100.75</v>
      </c>
      <c r="J19" s="14">
        <v>17</v>
      </c>
      <c r="K19" s="15">
        <f t="shared" si="1"/>
        <v>46.2352941176471</v>
      </c>
      <c r="L19" s="14">
        <f t="shared" si="17"/>
        <v>268.18</v>
      </c>
      <c r="M19" s="16">
        <f t="shared" si="3"/>
        <v>-268.18</v>
      </c>
      <c r="N19" s="14">
        <v>23</v>
      </c>
      <c r="O19" s="15">
        <f t="shared" si="4"/>
        <v>623.173913043478</v>
      </c>
      <c r="P19" s="14">
        <f t="shared" si="5"/>
        <v>0.06859</v>
      </c>
      <c r="Q19" s="16">
        <f t="shared" si="6"/>
        <v>924.1144418</v>
      </c>
      <c r="R19" s="14">
        <f t="shared" si="18"/>
        <v>355.42</v>
      </c>
      <c r="S19" s="16">
        <f t="shared" si="8"/>
        <v>568.6944418</v>
      </c>
      <c r="T19" s="14">
        <v>29</v>
      </c>
      <c r="U19" s="15">
        <f t="shared" si="9"/>
        <v>114.137931034483</v>
      </c>
      <c r="V19" s="14">
        <f t="shared" si="10"/>
        <v>0.276355</v>
      </c>
      <c r="W19" s="16">
        <f t="shared" si="11"/>
        <v>859.850947</v>
      </c>
      <c r="X19" s="14">
        <f t="shared" si="19"/>
        <v>463.66</v>
      </c>
      <c r="Y19" s="16">
        <f t="shared" si="13"/>
        <v>396.190947</v>
      </c>
      <c r="Z19" s="17">
        <v>0</v>
      </c>
      <c r="AA19" s="17">
        <v>2</v>
      </c>
      <c r="AB19" s="17">
        <v>2</v>
      </c>
      <c r="AC19" s="17">
        <v>1</v>
      </c>
      <c r="AD19" s="16">
        <f t="shared" si="14"/>
        <v>185.987778375471</v>
      </c>
      <c r="AE19" s="18">
        <f t="shared" si="15"/>
        <v>409.967610424529</v>
      </c>
      <c r="AF19" s="1">
        <f t="shared" si="16"/>
        <v>74</v>
      </c>
      <c r="AG19" s="1">
        <f>'[1]1'!BH19</f>
        <v>74</v>
      </c>
    </row>
    <row r="20" s="1" customFormat="1" spans="1:33">
      <c r="A20" s="9">
        <v>46113</v>
      </c>
      <c r="B20" s="10" t="s">
        <v>54</v>
      </c>
      <c r="C20" s="10" t="s">
        <v>42</v>
      </c>
      <c r="D20" s="10" t="s">
        <v>49</v>
      </c>
      <c r="E20" s="12">
        <v>8467</v>
      </c>
      <c r="F20" s="22">
        <v>4220</v>
      </c>
      <c r="G20" s="21">
        <v>31</v>
      </c>
      <c r="H20" s="14">
        <v>4</v>
      </c>
      <c r="I20" s="14">
        <f t="shared" si="0"/>
        <v>100.75</v>
      </c>
      <c r="J20" s="14">
        <v>17</v>
      </c>
      <c r="K20" s="15">
        <f t="shared" si="1"/>
        <v>498.058823529412</v>
      </c>
      <c r="L20" s="14">
        <f t="shared" si="17"/>
        <v>268.18</v>
      </c>
      <c r="M20" s="16">
        <f t="shared" si="3"/>
        <v>-268.18</v>
      </c>
      <c r="N20" s="14">
        <v>23</v>
      </c>
      <c r="O20" s="15">
        <f t="shared" si="4"/>
        <v>1.34782608695652</v>
      </c>
      <c r="P20" s="14">
        <f t="shared" si="5"/>
        <v>0.06859</v>
      </c>
      <c r="Q20" s="16">
        <f t="shared" si="6"/>
        <v>1.9987126</v>
      </c>
      <c r="R20" s="14">
        <f t="shared" si="18"/>
        <v>355.42</v>
      </c>
      <c r="S20" s="16">
        <f t="shared" si="8"/>
        <v>-353.4212874</v>
      </c>
      <c r="T20" s="14">
        <v>29</v>
      </c>
      <c r="U20" s="15">
        <f t="shared" si="9"/>
        <v>145.51724137931</v>
      </c>
      <c r="V20" s="14">
        <f t="shared" si="10"/>
        <v>0.276355</v>
      </c>
      <c r="W20" s="16">
        <f t="shared" si="11"/>
        <v>1096.245014</v>
      </c>
      <c r="X20" s="14">
        <f t="shared" si="19"/>
        <v>463.66</v>
      </c>
      <c r="Y20" s="16">
        <f t="shared" si="13"/>
        <v>632.585014</v>
      </c>
      <c r="Z20" s="17">
        <v>0</v>
      </c>
      <c r="AA20" s="17">
        <v>2</v>
      </c>
      <c r="AB20" s="17">
        <v>2</v>
      </c>
      <c r="AC20" s="17">
        <v>1</v>
      </c>
      <c r="AD20" s="16">
        <f t="shared" si="14"/>
        <v>185.987778375471</v>
      </c>
      <c r="AE20" s="18">
        <f t="shared" si="15"/>
        <v>-275.754051775471</v>
      </c>
      <c r="AF20" s="1">
        <f t="shared" si="16"/>
        <v>74</v>
      </c>
      <c r="AG20" s="1">
        <f>'[1]1'!BH20</f>
        <v>74</v>
      </c>
    </row>
    <row r="21" s="1" customFormat="1" spans="1:33">
      <c r="A21" s="9">
        <v>46113</v>
      </c>
      <c r="B21" s="10" t="s">
        <v>55</v>
      </c>
      <c r="C21" s="10" t="s">
        <v>33</v>
      </c>
      <c r="D21" s="10" t="s">
        <v>49</v>
      </c>
      <c r="E21" s="12">
        <v>16740</v>
      </c>
      <c r="F21" s="23">
        <v>5114</v>
      </c>
      <c r="G21" s="21">
        <v>4803</v>
      </c>
      <c r="H21" s="14">
        <v>2</v>
      </c>
      <c r="I21" s="14">
        <f t="shared" si="0"/>
        <v>44.0122222222222</v>
      </c>
      <c r="J21" s="14">
        <v>21</v>
      </c>
      <c r="K21" s="15">
        <f t="shared" si="1"/>
        <v>797.142857142857</v>
      </c>
      <c r="L21" s="14">
        <f t="shared" ref="L21:L26" si="20">J21*14.62+21</f>
        <v>328.02</v>
      </c>
      <c r="M21" s="16">
        <f t="shared" si="3"/>
        <v>-328.02</v>
      </c>
      <c r="N21" s="14">
        <v>15</v>
      </c>
      <c r="O21" s="15">
        <f t="shared" si="4"/>
        <v>320.2</v>
      </c>
      <c r="P21" s="14">
        <f t="shared" si="5"/>
        <v>0.06859</v>
      </c>
      <c r="Q21" s="16">
        <f t="shared" si="6"/>
        <v>309.6715038</v>
      </c>
      <c r="R21" s="14">
        <f t="shared" ref="R21:R26" si="21">(N21-13)*14.62+13*18+21</f>
        <v>284.24</v>
      </c>
      <c r="S21" s="16">
        <f t="shared" si="8"/>
        <v>25.4315038</v>
      </c>
      <c r="T21" s="14">
        <v>57</v>
      </c>
      <c r="U21" s="15">
        <f t="shared" si="9"/>
        <v>89.719298245614</v>
      </c>
      <c r="V21" s="14">
        <f t="shared" si="10"/>
        <v>0.276355</v>
      </c>
      <c r="W21" s="16">
        <f t="shared" si="11"/>
        <v>1328.4827018</v>
      </c>
      <c r="X21" s="14">
        <f t="shared" ref="X21:X26" si="22">(T21-13)*14.62+13*18+42</f>
        <v>919.28</v>
      </c>
      <c r="Y21" s="16">
        <f t="shared" si="13"/>
        <v>409.2027018</v>
      </c>
      <c r="Z21" s="17">
        <v>4</v>
      </c>
      <c r="AA21" s="17">
        <v>3</v>
      </c>
      <c r="AB21" s="17">
        <v>0</v>
      </c>
      <c r="AC21" s="17">
        <v>1</v>
      </c>
      <c r="AD21" s="16">
        <f t="shared" si="14"/>
        <v>223.110342478035</v>
      </c>
      <c r="AE21" s="18">
        <f t="shared" si="15"/>
        <v>-160.508359100257</v>
      </c>
      <c r="AF21" s="1">
        <f t="shared" si="16"/>
        <v>101</v>
      </c>
      <c r="AG21" s="1">
        <f>'[1]1'!BH21</f>
        <v>101</v>
      </c>
    </row>
    <row r="22" s="1" customFormat="1" spans="1:33">
      <c r="A22" s="9">
        <v>46113</v>
      </c>
      <c r="B22" s="10" t="s">
        <v>56</v>
      </c>
      <c r="C22" s="10" t="s">
        <v>33</v>
      </c>
      <c r="D22" s="10" t="s">
        <v>49</v>
      </c>
      <c r="E22" s="12">
        <v>30064</v>
      </c>
      <c r="F22" s="23">
        <v>5639</v>
      </c>
      <c r="G22" s="21">
        <v>14123</v>
      </c>
      <c r="H22" s="14">
        <v>2</v>
      </c>
      <c r="I22" s="14">
        <f t="shared" si="0"/>
        <v>44.0122222222222</v>
      </c>
      <c r="J22" s="14">
        <v>19</v>
      </c>
      <c r="K22" s="15">
        <f t="shared" si="1"/>
        <v>1582.31578947368</v>
      </c>
      <c r="L22" s="14">
        <f t="shared" si="20"/>
        <v>298.78</v>
      </c>
      <c r="M22" s="16">
        <f t="shared" si="3"/>
        <v>-298.78</v>
      </c>
      <c r="N22" s="14">
        <v>30</v>
      </c>
      <c r="O22" s="15">
        <f t="shared" si="4"/>
        <v>470.766666666667</v>
      </c>
      <c r="P22" s="14">
        <f t="shared" si="5"/>
        <v>0.06859</v>
      </c>
      <c r="Q22" s="16">
        <f t="shared" si="6"/>
        <v>910.5747758</v>
      </c>
      <c r="R22" s="14">
        <f t="shared" si="21"/>
        <v>503.54</v>
      </c>
      <c r="S22" s="16">
        <f t="shared" si="8"/>
        <v>407.0347758</v>
      </c>
      <c r="T22" s="14">
        <v>44</v>
      </c>
      <c r="U22" s="15">
        <f t="shared" si="9"/>
        <v>128.159090909091</v>
      </c>
      <c r="V22" s="14">
        <f t="shared" si="10"/>
        <v>0.276355</v>
      </c>
      <c r="W22" s="16">
        <f t="shared" si="11"/>
        <v>1464.8638943</v>
      </c>
      <c r="X22" s="14">
        <f t="shared" si="22"/>
        <v>729.22</v>
      </c>
      <c r="Y22" s="16">
        <f t="shared" si="13"/>
        <v>735.6438943</v>
      </c>
      <c r="Z22" s="17">
        <v>4</v>
      </c>
      <c r="AA22" s="17">
        <v>3</v>
      </c>
      <c r="AB22" s="17">
        <v>0</v>
      </c>
      <c r="AC22" s="17">
        <v>1</v>
      </c>
      <c r="AD22" s="16">
        <f t="shared" si="14"/>
        <v>223.110342478035</v>
      </c>
      <c r="AE22" s="18">
        <f t="shared" si="15"/>
        <v>576.776105399743</v>
      </c>
      <c r="AF22" s="1">
        <f t="shared" si="16"/>
        <v>101</v>
      </c>
      <c r="AG22" s="1">
        <f>'[1]1'!BH22</f>
        <v>101</v>
      </c>
    </row>
    <row r="23" s="1" customFormat="1" spans="1:33">
      <c r="A23" s="9">
        <v>46113</v>
      </c>
      <c r="B23" s="10" t="s">
        <v>57</v>
      </c>
      <c r="C23" s="10" t="s">
        <v>33</v>
      </c>
      <c r="D23" s="10" t="s">
        <v>49</v>
      </c>
      <c r="E23" s="12">
        <v>13963</v>
      </c>
      <c r="F23" s="23">
        <v>4949</v>
      </c>
      <c r="G23" s="13">
        <v>14447</v>
      </c>
      <c r="H23" s="14">
        <v>2</v>
      </c>
      <c r="I23" s="14">
        <f t="shared" si="0"/>
        <v>44.0122222222222</v>
      </c>
      <c r="J23" s="14">
        <v>19</v>
      </c>
      <c r="K23" s="15">
        <f t="shared" si="1"/>
        <v>734.894736842105</v>
      </c>
      <c r="L23" s="14">
        <f t="shared" si="20"/>
        <v>298.78</v>
      </c>
      <c r="M23" s="16">
        <f t="shared" si="3"/>
        <v>-298.78</v>
      </c>
      <c r="N23" s="14">
        <v>30</v>
      </c>
      <c r="O23" s="15">
        <f t="shared" si="4"/>
        <v>481.566666666667</v>
      </c>
      <c r="P23" s="14">
        <f t="shared" si="5"/>
        <v>0.06859</v>
      </c>
      <c r="Q23" s="16">
        <f t="shared" si="6"/>
        <v>931.4645462</v>
      </c>
      <c r="R23" s="14">
        <f t="shared" si="21"/>
        <v>503.54</v>
      </c>
      <c r="S23" s="16">
        <f t="shared" si="8"/>
        <v>427.9245462</v>
      </c>
      <c r="T23" s="14">
        <v>44</v>
      </c>
      <c r="U23" s="15">
        <f t="shared" si="9"/>
        <v>112.477272727273</v>
      </c>
      <c r="V23" s="14">
        <f t="shared" si="10"/>
        <v>0.276355</v>
      </c>
      <c r="W23" s="16">
        <f t="shared" si="11"/>
        <v>1285.6200413</v>
      </c>
      <c r="X23" s="14">
        <f t="shared" si="22"/>
        <v>729.22</v>
      </c>
      <c r="Y23" s="16">
        <f t="shared" si="13"/>
        <v>556.4000413</v>
      </c>
      <c r="Z23" s="17">
        <v>4</v>
      </c>
      <c r="AA23" s="17">
        <v>3</v>
      </c>
      <c r="AB23" s="17">
        <v>0</v>
      </c>
      <c r="AC23" s="17">
        <v>1</v>
      </c>
      <c r="AD23" s="16">
        <f t="shared" si="14"/>
        <v>223.110342478035</v>
      </c>
      <c r="AE23" s="18">
        <f t="shared" si="15"/>
        <v>418.422022799743</v>
      </c>
      <c r="AF23" s="1">
        <f t="shared" si="16"/>
        <v>101</v>
      </c>
      <c r="AG23" s="1">
        <f>'[1]1'!BH23</f>
        <v>101</v>
      </c>
    </row>
    <row r="24" s="1" customFormat="1" spans="1:33">
      <c r="A24" s="9">
        <v>46113</v>
      </c>
      <c r="B24" s="10" t="s">
        <v>58</v>
      </c>
      <c r="C24" s="10" t="s">
        <v>33</v>
      </c>
      <c r="D24" s="10" t="s">
        <v>49</v>
      </c>
      <c r="E24" s="12">
        <v>2570</v>
      </c>
      <c r="F24" s="23">
        <v>5056</v>
      </c>
      <c r="G24" s="13">
        <v>15492</v>
      </c>
      <c r="H24" s="14">
        <v>2</v>
      </c>
      <c r="I24" s="14">
        <f t="shared" si="0"/>
        <v>44.0122222222222</v>
      </c>
      <c r="J24" s="14">
        <v>19</v>
      </c>
      <c r="K24" s="15">
        <f t="shared" si="1"/>
        <v>135.263157894737</v>
      </c>
      <c r="L24" s="14">
        <f t="shared" si="20"/>
        <v>298.78</v>
      </c>
      <c r="M24" s="16">
        <f t="shared" si="3"/>
        <v>-298.78</v>
      </c>
      <c r="N24" s="14">
        <v>30</v>
      </c>
      <c r="O24" s="15">
        <f t="shared" si="4"/>
        <v>516.4</v>
      </c>
      <c r="P24" s="14">
        <f t="shared" si="5"/>
        <v>0.06859</v>
      </c>
      <c r="Q24" s="16">
        <f t="shared" si="6"/>
        <v>998.8405032</v>
      </c>
      <c r="R24" s="14">
        <f t="shared" si="21"/>
        <v>503.54</v>
      </c>
      <c r="S24" s="16">
        <f t="shared" si="8"/>
        <v>495.3005032</v>
      </c>
      <c r="T24" s="14">
        <v>44</v>
      </c>
      <c r="U24" s="15">
        <f t="shared" si="9"/>
        <v>114.909090909091</v>
      </c>
      <c r="V24" s="14">
        <f t="shared" si="10"/>
        <v>0.276355</v>
      </c>
      <c r="W24" s="16">
        <f t="shared" si="11"/>
        <v>1313.4158272</v>
      </c>
      <c r="X24" s="14">
        <f t="shared" si="22"/>
        <v>729.22</v>
      </c>
      <c r="Y24" s="16">
        <f t="shared" si="13"/>
        <v>584.1958272</v>
      </c>
      <c r="Z24" s="17">
        <v>4</v>
      </c>
      <c r="AA24" s="17">
        <v>3</v>
      </c>
      <c r="AB24" s="17">
        <v>0</v>
      </c>
      <c r="AC24" s="17">
        <v>1</v>
      </c>
      <c r="AD24" s="16">
        <f t="shared" si="14"/>
        <v>223.110342478035</v>
      </c>
      <c r="AE24" s="18">
        <f t="shared" si="15"/>
        <v>513.593765699743</v>
      </c>
      <c r="AF24" s="1">
        <f t="shared" si="16"/>
        <v>101</v>
      </c>
      <c r="AG24" s="1">
        <f>'[1]1'!BH24</f>
        <v>101</v>
      </c>
    </row>
    <row r="25" s="1" customFormat="1" spans="1:33">
      <c r="A25" s="9">
        <v>46113</v>
      </c>
      <c r="B25" s="10" t="s">
        <v>59</v>
      </c>
      <c r="C25" s="10" t="s">
        <v>33</v>
      </c>
      <c r="D25" s="10" t="s">
        <v>49</v>
      </c>
      <c r="E25" s="12">
        <v>6932</v>
      </c>
      <c r="F25" s="23">
        <v>1608</v>
      </c>
      <c r="G25" s="13">
        <v>4913</v>
      </c>
      <c r="H25" s="14">
        <v>2</v>
      </c>
      <c r="I25" s="14">
        <f t="shared" si="0"/>
        <v>44.0122222222222</v>
      </c>
      <c r="J25" s="14">
        <v>19</v>
      </c>
      <c r="K25" s="15">
        <f t="shared" si="1"/>
        <v>364.842105263158</v>
      </c>
      <c r="L25" s="14">
        <f t="shared" si="20"/>
        <v>298.78</v>
      </c>
      <c r="M25" s="16">
        <f t="shared" si="3"/>
        <v>-298.78</v>
      </c>
      <c r="N25" s="14">
        <v>30</v>
      </c>
      <c r="O25" s="15">
        <f t="shared" si="4"/>
        <v>163.766666666667</v>
      </c>
      <c r="P25" s="14">
        <f t="shared" si="5"/>
        <v>0.06859</v>
      </c>
      <c r="Q25" s="16">
        <f t="shared" si="6"/>
        <v>316.7637098</v>
      </c>
      <c r="R25" s="14">
        <f t="shared" si="21"/>
        <v>503.54</v>
      </c>
      <c r="S25" s="16">
        <f t="shared" si="8"/>
        <v>-186.7762902</v>
      </c>
      <c r="T25" s="14">
        <v>44</v>
      </c>
      <c r="U25" s="15">
        <f t="shared" si="9"/>
        <v>36.5454545454545</v>
      </c>
      <c r="V25" s="14">
        <f t="shared" si="10"/>
        <v>0.276355</v>
      </c>
      <c r="W25" s="16">
        <f t="shared" si="11"/>
        <v>417.7161096</v>
      </c>
      <c r="X25" s="14">
        <f t="shared" si="22"/>
        <v>729.22</v>
      </c>
      <c r="Y25" s="16">
        <f t="shared" si="13"/>
        <v>-311.5038904</v>
      </c>
      <c r="Z25" s="17">
        <v>4</v>
      </c>
      <c r="AA25" s="17">
        <v>3</v>
      </c>
      <c r="AB25" s="17">
        <v>0</v>
      </c>
      <c r="AC25" s="17">
        <v>1</v>
      </c>
      <c r="AD25" s="16">
        <f t="shared" si="14"/>
        <v>223.110342478035</v>
      </c>
      <c r="AE25" s="18">
        <f t="shared" si="15"/>
        <v>-1064.18274530026</v>
      </c>
      <c r="AF25" s="1">
        <f t="shared" si="16"/>
        <v>101</v>
      </c>
      <c r="AG25" s="1">
        <f>'[1]1'!BH25</f>
        <v>101</v>
      </c>
    </row>
    <row r="26" s="1" customFormat="1" spans="1:33">
      <c r="A26" s="9">
        <v>46113</v>
      </c>
      <c r="B26" s="10" t="s">
        <v>60</v>
      </c>
      <c r="C26" s="10" t="s">
        <v>33</v>
      </c>
      <c r="D26" s="11" t="s">
        <v>47</v>
      </c>
      <c r="E26" s="12">
        <v>0</v>
      </c>
      <c r="F26" s="23">
        <v>4959</v>
      </c>
      <c r="G26" s="13">
        <v>10612</v>
      </c>
      <c r="H26" s="14">
        <v>2</v>
      </c>
      <c r="I26" s="14">
        <f t="shared" si="0"/>
        <v>44.0122222222222</v>
      </c>
      <c r="J26" s="14">
        <v>17</v>
      </c>
      <c r="K26" s="15">
        <f t="shared" si="1"/>
        <v>0</v>
      </c>
      <c r="L26" s="14">
        <f t="shared" si="20"/>
        <v>269.54</v>
      </c>
      <c r="M26" s="16">
        <f t="shared" si="3"/>
        <v>-269.54</v>
      </c>
      <c r="N26" s="14">
        <v>25</v>
      </c>
      <c r="O26" s="15">
        <f t="shared" si="4"/>
        <v>424.48</v>
      </c>
      <c r="P26" s="14">
        <f t="shared" si="5"/>
        <v>0.06859</v>
      </c>
      <c r="Q26" s="16">
        <f t="shared" si="6"/>
        <v>684.2044552</v>
      </c>
      <c r="R26" s="14">
        <f t="shared" si="21"/>
        <v>430.44</v>
      </c>
      <c r="S26" s="16">
        <f t="shared" si="8"/>
        <v>253.7644552</v>
      </c>
      <c r="T26" s="14">
        <v>45</v>
      </c>
      <c r="U26" s="15">
        <f t="shared" si="9"/>
        <v>110.2</v>
      </c>
      <c r="V26" s="14">
        <f t="shared" si="10"/>
        <v>0.276355</v>
      </c>
      <c r="W26" s="16">
        <f t="shared" si="11"/>
        <v>1288.2177783</v>
      </c>
      <c r="X26" s="14">
        <f t="shared" si="22"/>
        <v>743.84</v>
      </c>
      <c r="Y26" s="16">
        <f t="shared" si="13"/>
        <v>544.3777783</v>
      </c>
      <c r="Z26" s="17">
        <v>4</v>
      </c>
      <c r="AA26" s="17">
        <v>3</v>
      </c>
      <c r="AB26" s="17">
        <v>0</v>
      </c>
      <c r="AC26" s="17">
        <v>1</v>
      </c>
      <c r="AD26" s="16">
        <f t="shared" si="14"/>
        <v>223.110342478035</v>
      </c>
      <c r="AE26" s="18">
        <f t="shared" si="15"/>
        <v>261.479668799743</v>
      </c>
      <c r="AF26" s="1">
        <f t="shared" si="16"/>
        <v>95</v>
      </c>
      <c r="AG26" s="1">
        <f>'[1]1'!BH26</f>
        <v>95</v>
      </c>
    </row>
    <row r="27" s="1" customFormat="1" spans="1:33">
      <c r="A27" s="9"/>
      <c r="B27" s="10"/>
      <c r="C27" s="10"/>
      <c r="D27" s="11"/>
      <c r="E27" s="12"/>
      <c r="F27" s="23"/>
      <c r="G27" s="13"/>
      <c r="H27" s="14"/>
      <c r="I27" s="14"/>
      <c r="J27" s="14"/>
      <c r="K27" s="15"/>
      <c r="L27" s="14"/>
      <c r="M27" s="16"/>
      <c r="N27" s="14"/>
      <c r="O27" s="15"/>
      <c r="P27" s="14"/>
      <c r="Q27" s="16"/>
      <c r="R27" s="14"/>
      <c r="S27" s="16"/>
      <c r="T27" s="14"/>
      <c r="U27" s="15"/>
      <c r="V27" s="14"/>
      <c r="W27" s="16"/>
      <c r="X27" s="14"/>
      <c r="Y27" s="16"/>
      <c r="Z27" s="17"/>
      <c r="AA27" s="17"/>
      <c r="AB27" s="17"/>
      <c r="AC27" s="17"/>
      <c r="AD27" s="16"/>
      <c r="AE27" s="18">
        <f>SUM(AE3:AE26)</f>
        <v>-2988.10290033352</v>
      </c>
    </row>
    <row r="28" s="1" customFormat="1" spans="1:33">
      <c r="A28" s="9">
        <v>46114</v>
      </c>
      <c r="B28" s="10" t="s">
        <v>32</v>
      </c>
      <c r="C28" s="10" t="s">
        <v>33</v>
      </c>
      <c r="D28" s="11" t="s">
        <v>34</v>
      </c>
      <c r="E28" s="12">
        <v>15846</v>
      </c>
      <c r="F28" s="12">
        <v>1431</v>
      </c>
      <c r="G28" s="13">
        <v>4923</v>
      </c>
      <c r="H28" s="14">
        <v>2</v>
      </c>
      <c r="I28" s="14">
        <f t="shared" ref="I28:I51" si="23">IF(H28=2,21.79+16000/30/24,25.75+12000/30/24*2+30000/30/24)</f>
        <v>44.0122222222222</v>
      </c>
      <c r="J28" s="14">
        <v>17</v>
      </c>
      <c r="K28" s="15">
        <f t="shared" ref="K28:K51" si="24">E28/J28</f>
        <v>932.117647058824</v>
      </c>
      <c r="L28" s="14">
        <f t="shared" ref="L28:L34" si="25">J28*14.62+21</f>
        <v>269.54</v>
      </c>
      <c r="M28" s="16">
        <f t="shared" ref="M28:M51" si="26">0-L28</f>
        <v>-269.54</v>
      </c>
      <c r="N28" s="14">
        <v>25</v>
      </c>
      <c r="O28" s="15">
        <f t="shared" ref="O28:O51" si="27">G28/N28</f>
        <v>196.92</v>
      </c>
      <c r="P28" s="14">
        <f t="shared" ref="P28:P51" si="28">0.0722*0.95</f>
        <v>0.06859</v>
      </c>
      <c r="Q28" s="16">
        <f t="shared" ref="Q28:Q51" si="29">P28*G28*0.94</f>
        <v>317.4084558</v>
      </c>
      <c r="R28" s="14">
        <f t="shared" ref="R28:R34" si="30">(N28-13)*14.62+13*18+21</f>
        <v>430.44</v>
      </c>
      <c r="S28" s="16">
        <f t="shared" ref="S28:S51" si="31">Q28-R28</f>
        <v>-113.0315442</v>
      </c>
      <c r="T28" s="14">
        <v>46</v>
      </c>
      <c r="U28" s="15">
        <f t="shared" ref="U28:U51" si="32">F28/T28</f>
        <v>31.1086956521739</v>
      </c>
      <c r="V28" s="14">
        <f t="shared" ref="V28:V51" si="33">0.2909*0.95</f>
        <v>0.276355</v>
      </c>
      <c r="W28" s="16">
        <f t="shared" ref="W28:W51" si="34">V28*F28*0.94</f>
        <v>371.7361647</v>
      </c>
      <c r="X28" s="14">
        <f t="shared" ref="X28:X34" si="35">(T28-13)*14.62+13*18+42</f>
        <v>758.46</v>
      </c>
      <c r="Y28" s="16">
        <f t="shared" ref="Y28:Y51" si="36">W28-X28</f>
        <v>-386.7238353</v>
      </c>
      <c r="Z28" s="17">
        <v>4</v>
      </c>
      <c r="AA28" s="17">
        <v>0</v>
      </c>
      <c r="AB28" s="17">
        <v>0</v>
      </c>
      <c r="AC28" s="17">
        <v>0</v>
      </c>
      <c r="AD28" s="16">
        <f t="shared" ref="AD28:AD51" si="37">(Z28-1)*14.62+(9000/26/13)+(AA28-1)*14.54+7500/26/11+AB28*(4200/26/9)+AC28*(4000/26/11)+$AH$3/24</f>
        <v>165.504328492021</v>
      </c>
      <c r="AE28" s="18">
        <f t="shared" ref="AE28:AE51" si="38">M28+S28+Y28-I28-AD28</f>
        <v>-978.811930214243</v>
      </c>
      <c r="AF28" s="1">
        <f t="shared" ref="AF28:AF51" si="39">AB28+AA28+Z28+T28+N28+J28+AC28</f>
        <v>92</v>
      </c>
      <c r="AG28" s="1">
        <f>'[1]2'!BH3</f>
        <v>96</v>
      </c>
    </row>
    <row r="29" s="1" customFormat="1" spans="1:33">
      <c r="A29" s="9">
        <v>46114</v>
      </c>
      <c r="B29" s="10" t="s">
        <v>35</v>
      </c>
      <c r="C29" s="10" t="s">
        <v>33</v>
      </c>
      <c r="D29" s="11" t="s">
        <v>34</v>
      </c>
      <c r="E29" s="12">
        <v>0</v>
      </c>
      <c r="F29" s="12">
        <v>3938</v>
      </c>
      <c r="G29" s="13">
        <v>13433</v>
      </c>
      <c r="H29" s="14">
        <v>2</v>
      </c>
      <c r="I29" s="14">
        <f t="shared" si="23"/>
        <v>44.0122222222222</v>
      </c>
      <c r="J29" s="14">
        <v>17</v>
      </c>
      <c r="K29" s="15">
        <f t="shared" si="24"/>
        <v>0</v>
      </c>
      <c r="L29" s="14">
        <f t="shared" si="25"/>
        <v>269.54</v>
      </c>
      <c r="M29" s="16">
        <f t="shared" si="26"/>
        <v>-269.54</v>
      </c>
      <c r="N29" s="14">
        <v>25</v>
      </c>
      <c r="O29" s="15">
        <f t="shared" si="27"/>
        <v>537.32</v>
      </c>
      <c r="P29" s="14">
        <f t="shared" si="28"/>
        <v>0.06859</v>
      </c>
      <c r="Q29" s="16">
        <f t="shared" si="29"/>
        <v>866.0873018</v>
      </c>
      <c r="R29" s="14">
        <f t="shared" si="30"/>
        <v>430.44</v>
      </c>
      <c r="S29" s="16">
        <f t="shared" si="31"/>
        <v>435.6473018</v>
      </c>
      <c r="T29" s="14">
        <v>46</v>
      </c>
      <c r="U29" s="15">
        <f t="shared" si="32"/>
        <v>85.6086956521739</v>
      </c>
      <c r="V29" s="14">
        <f t="shared" si="33"/>
        <v>0.276355</v>
      </c>
      <c r="W29" s="16">
        <f t="shared" si="34"/>
        <v>1022.9888306</v>
      </c>
      <c r="X29" s="14">
        <f t="shared" si="35"/>
        <v>758.46</v>
      </c>
      <c r="Y29" s="16">
        <f t="shared" si="36"/>
        <v>264.5288306</v>
      </c>
      <c r="Z29" s="17">
        <v>4</v>
      </c>
      <c r="AA29" s="17">
        <v>0</v>
      </c>
      <c r="AB29" s="17">
        <v>0</v>
      </c>
      <c r="AC29" s="17">
        <v>0</v>
      </c>
      <c r="AD29" s="16">
        <f t="shared" si="37"/>
        <v>165.504328492021</v>
      </c>
      <c r="AE29" s="18">
        <f t="shared" si="38"/>
        <v>221.119581685757</v>
      </c>
      <c r="AF29" s="1">
        <f t="shared" si="39"/>
        <v>92</v>
      </c>
      <c r="AG29" s="1">
        <f>'[1]2'!BH4</f>
        <v>96</v>
      </c>
    </row>
    <row r="30" s="1" customFormat="1" spans="1:33">
      <c r="A30" s="9">
        <v>46114</v>
      </c>
      <c r="B30" s="10" t="s">
        <v>36</v>
      </c>
      <c r="C30" s="10" t="s">
        <v>33</v>
      </c>
      <c r="D30" s="11" t="s">
        <v>34</v>
      </c>
      <c r="E30" s="12">
        <v>0</v>
      </c>
      <c r="F30" s="12">
        <v>4248</v>
      </c>
      <c r="G30" s="13">
        <v>14370</v>
      </c>
      <c r="H30" s="14">
        <v>2</v>
      </c>
      <c r="I30" s="14">
        <f t="shared" si="23"/>
        <v>44.0122222222222</v>
      </c>
      <c r="J30" s="14">
        <v>17</v>
      </c>
      <c r="K30" s="15">
        <f t="shared" si="24"/>
        <v>0</v>
      </c>
      <c r="L30" s="14">
        <f t="shared" si="25"/>
        <v>269.54</v>
      </c>
      <c r="M30" s="16">
        <f t="shared" si="26"/>
        <v>-269.54</v>
      </c>
      <c r="N30" s="14">
        <v>25</v>
      </c>
      <c r="O30" s="15">
        <f t="shared" si="27"/>
        <v>574.8</v>
      </c>
      <c r="P30" s="14">
        <f t="shared" si="28"/>
        <v>0.06859</v>
      </c>
      <c r="Q30" s="16">
        <f t="shared" si="29"/>
        <v>926.500002</v>
      </c>
      <c r="R30" s="14">
        <f t="shared" si="30"/>
        <v>430.44</v>
      </c>
      <c r="S30" s="16">
        <f t="shared" si="31"/>
        <v>496.060002</v>
      </c>
      <c r="T30" s="14">
        <v>46</v>
      </c>
      <c r="U30" s="15">
        <f t="shared" si="32"/>
        <v>92.3478260869565</v>
      </c>
      <c r="V30" s="14">
        <f t="shared" si="33"/>
        <v>0.276355</v>
      </c>
      <c r="W30" s="16">
        <f t="shared" si="34"/>
        <v>1103.5186776</v>
      </c>
      <c r="X30" s="14">
        <f t="shared" si="35"/>
        <v>758.46</v>
      </c>
      <c r="Y30" s="16">
        <f t="shared" si="36"/>
        <v>345.0586776</v>
      </c>
      <c r="Z30" s="17">
        <v>4</v>
      </c>
      <c r="AA30" s="17">
        <v>0</v>
      </c>
      <c r="AB30" s="17">
        <v>0</v>
      </c>
      <c r="AC30" s="17">
        <v>0</v>
      </c>
      <c r="AD30" s="16">
        <f t="shared" si="37"/>
        <v>165.504328492021</v>
      </c>
      <c r="AE30" s="18">
        <f t="shared" si="38"/>
        <v>362.062128885757</v>
      </c>
      <c r="AF30" s="1">
        <f t="shared" si="39"/>
        <v>92</v>
      </c>
      <c r="AG30" s="1">
        <f>'[1]2'!BH5</f>
        <v>96</v>
      </c>
    </row>
    <row r="31" s="1" customFormat="1" spans="1:33">
      <c r="A31" s="9">
        <v>46114</v>
      </c>
      <c r="B31" s="10" t="s">
        <v>37</v>
      </c>
      <c r="C31" s="10" t="s">
        <v>33</v>
      </c>
      <c r="D31" s="11" t="s">
        <v>34</v>
      </c>
      <c r="E31" s="12">
        <v>4568</v>
      </c>
      <c r="F31" s="12">
        <v>4104</v>
      </c>
      <c r="G31" s="13">
        <v>4626</v>
      </c>
      <c r="H31" s="14">
        <v>2</v>
      </c>
      <c r="I31" s="14">
        <f t="shared" si="23"/>
        <v>44.0122222222222</v>
      </c>
      <c r="J31" s="14">
        <v>17</v>
      </c>
      <c r="K31" s="15">
        <f t="shared" si="24"/>
        <v>268.705882352941</v>
      </c>
      <c r="L31" s="14">
        <f t="shared" si="25"/>
        <v>269.54</v>
      </c>
      <c r="M31" s="16">
        <f t="shared" si="26"/>
        <v>-269.54</v>
      </c>
      <c r="N31" s="14">
        <v>18</v>
      </c>
      <c r="O31" s="15">
        <f t="shared" si="27"/>
        <v>257</v>
      </c>
      <c r="P31" s="14">
        <f t="shared" si="28"/>
        <v>0.06859</v>
      </c>
      <c r="Q31" s="16">
        <f t="shared" si="29"/>
        <v>298.2594996</v>
      </c>
      <c r="R31" s="14">
        <f t="shared" si="30"/>
        <v>328.1</v>
      </c>
      <c r="S31" s="16">
        <f t="shared" si="31"/>
        <v>-29.8405004</v>
      </c>
      <c r="T31" s="14">
        <v>53</v>
      </c>
      <c r="U31" s="15">
        <f t="shared" si="32"/>
        <v>77.4339622641509</v>
      </c>
      <c r="V31" s="14">
        <f t="shared" si="33"/>
        <v>0.276355</v>
      </c>
      <c r="W31" s="16">
        <f t="shared" si="34"/>
        <v>1066.1112648</v>
      </c>
      <c r="X31" s="14">
        <f t="shared" si="35"/>
        <v>860.8</v>
      </c>
      <c r="Y31" s="16">
        <f t="shared" si="36"/>
        <v>205.3112648</v>
      </c>
      <c r="Z31" s="17">
        <v>4</v>
      </c>
      <c r="AA31" s="17">
        <v>0</v>
      </c>
      <c r="AB31" s="17">
        <v>0</v>
      </c>
      <c r="AC31" s="17">
        <v>0</v>
      </c>
      <c r="AD31" s="16">
        <f t="shared" si="37"/>
        <v>165.504328492021</v>
      </c>
      <c r="AE31" s="18">
        <f t="shared" si="38"/>
        <v>-303.585786314243</v>
      </c>
      <c r="AF31" s="1">
        <f t="shared" si="39"/>
        <v>92</v>
      </c>
      <c r="AG31" s="1">
        <f>'[1]2'!BH6</f>
        <v>96</v>
      </c>
    </row>
    <row r="32" s="1" customFormat="1" spans="1:33">
      <c r="A32" s="9">
        <v>46114</v>
      </c>
      <c r="B32" s="10" t="s">
        <v>38</v>
      </c>
      <c r="C32" s="10" t="s">
        <v>33</v>
      </c>
      <c r="D32" s="11" t="s">
        <v>34</v>
      </c>
      <c r="E32" s="12">
        <v>0</v>
      </c>
      <c r="F32" s="12">
        <v>4682</v>
      </c>
      <c r="G32" s="13">
        <v>8586</v>
      </c>
      <c r="H32" s="14">
        <v>2</v>
      </c>
      <c r="I32" s="14">
        <f t="shared" si="23"/>
        <v>44.0122222222222</v>
      </c>
      <c r="J32" s="14">
        <v>17</v>
      </c>
      <c r="K32" s="15">
        <f t="shared" si="24"/>
        <v>0</v>
      </c>
      <c r="L32" s="14">
        <f t="shared" si="25"/>
        <v>269.54</v>
      </c>
      <c r="M32" s="16">
        <f t="shared" si="26"/>
        <v>-269.54</v>
      </c>
      <c r="N32" s="14">
        <v>25</v>
      </c>
      <c r="O32" s="15">
        <f t="shared" si="27"/>
        <v>343.44</v>
      </c>
      <c r="P32" s="14">
        <f t="shared" si="28"/>
        <v>0.06859</v>
      </c>
      <c r="Q32" s="16">
        <f t="shared" si="29"/>
        <v>553.5789156</v>
      </c>
      <c r="R32" s="14">
        <f t="shared" si="30"/>
        <v>430.44</v>
      </c>
      <c r="S32" s="16">
        <f t="shared" si="31"/>
        <v>123.1389156</v>
      </c>
      <c r="T32" s="14">
        <v>46</v>
      </c>
      <c r="U32" s="15">
        <f t="shared" si="32"/>
        <v>101.782608695652</v>
      </c>
      <c r="V32" s="14">
        <f t="shared" si="33"/>
        <v>0.276355</v>
      </c>
      <c r="W32" s="16">
        <f t="shared" si="34"/>
        <v>1216.2604634</v>
      </c>
      <c r="X32" s="14">
        <f t="shared" si="35"/>
        <v>758.46</v>
      </c>
      <c r="Y32" s="16">
        <f t="shared" si="36"/>
        <v>457.8004634</v>
      </c>
      <c r="Z32" s="17">
        <v>4</v>
      </c>
      <c r="AA32" s="17">
        <v>0</v>
      </c>
      <c r="AB32" s="17">
        <v>0</v>
      </c>
      <c r="AC32" s="17">
        <v>0</v>
      </c>
      <c r="AD32" s="16">
        <f t="shared" si="37"/>
        <v>165.504328492021</v>
      </c>
      <c r="AE32" s="18">
        <f t="shared" si="38"/>
        <v>101.882828285757</v>
      </c>
      <c r="AF32" s="1">
        <f t="shared" si="39"/>
        <v>92</v>
      </c>
      <c r="AG32" s="1">
        <f>'[1]2'!BH7</f>
        <v>96</v>
      </c>
    </row>
    <row r="33" s="1" customFormat="1" spans="1:33">
      <c r="A33" s="9">
        <v>46114</v>
      </c>
      <c r="B33" s="10" t="s">
        <v>39</v>
      </c>
      <c r="C33" s="10" t="s">
        <v>33</v>
      </c>
      <c r="D33" s="11" t="s">
        <v>34</v>
      </c>
      <c r="E33" s="12">
        <v>228</v>
      </c>
      <c r="F33" s="12">
        <v>2297</v>
      </c>
      <c r="G33" s="13">
        <v>11020</v>
      </c>
      <c r="H33" s="14">
        <v>2</v>
      </c>
      <c r="I33" s="14">
        <f t="shared" si="23"/>
        <v>44.0122222222222</v>
      </c>
      <c r="J33" s="14">
        <v>17</v>
      </c>
      <c r="K33" s="15">
        <f t="shared" si="24"/>
        <v>13.4117647058824</v>
      </c>
      <c r="L33" s="14">
        <f t="shared" si="25"/>
        <v>269.54</v>
      </c>
      <c r="M33" s="16">
        <f t="shared" si="26"/>
        <v>-269.54</v>
      </c>
      <c r="N33" s="14">
        <v>25</v>
      </c>
      <c r="O33" s="15">
        <f t="shared" si="27"/>
        <v>440.8</v>
      </c>
      <c r="P33" s="14">
        <f t="shared" si="28"/>
        <v>0.06859</v>
      </c>
      <c r="Q33" s="16">
        <f t="shared" si="29"/>
        <v>710.510092</v>
      </c>
      <c r="R33" s="14">
        <f t="shared" si="30"/>
        <v>430.44</v>
      </c>
      <c r="S33" s="16">
        <f t="shared" si="31"/>
        <v>280.070092</v>
      </c>
      <c r="T33" s="14">
        <v>46</v>
      </c>
      <c r="U33" s="15">
        <f t="shared" si="32"/>
        <v>49.9347826086956</v>
      </c>
      <c r="V33" s="14">
        <f t="shared" si="33"/>
        <v>0.276355</v>
      </c>
      <c r="W33" s="16">
        <f t="shared" si="34"/>
        <v>596.7001889</v>
      </c>
      <c r="X33" s="14">
        <f t="shared" si="35"/>
        <v>758.46</v>
      </c>
      <c r="Y33" s="16">
        <f t="shared" si="36"/>
        <v>-161.7598111</v>
      </c>
      <c r="Z33" s="17">
        <v>4</v>
      </c>
      <c r="AA33" s="17">
        <v>0</v>
      </c>
      <c r="AB33" s="17">
        <v>0</v>
      </c>
      <c r="AC33" s="17">
        <v>0</v>
      </c>
      <c r="AD33" s="16">
        <f t="shared" si="37"/>
        <v>165.504328492021</v>
      </c>
      <c r="AE33" s="18">
        <f t="shared" si="38"/>
        <v>-360.746269814243</v>
      </c>
      <c r="AF33" s="1">
        <f t="shared" si="39"/>
        <v>92</v>
      </c>
      <c r="AG33" s="1">
        <f>'[1]2'!BH8</f>
        <v>96</v>
      </c>
    </row>
    <row r="34" s="1" customFormat="1" spans="1:33">
      <c r="A34" s="9">
        <v>46114</v>
      </c>
      <c r="B34" s="10" t="s">
        <v>40</v>
      </c>
      <c r="C34" s="10" t="s">
        <v>33</v>
      </c>
      <c r="D34" s="11" t="s">
        <v>34</v>
      </c>
      <c r="E34" s="12">
        <v>3600</v>
      </c>
      <c r="F34" s="12">
        <v>964</v>
      </c>
      <c r="G34" s="13">
        <v>221</v>
      </c>
      <c r="H34" s="14">
        <v>2</v>
      </c>
      <c r="I34" s="14">
        <f t="shared" si="23"/>
        <v>44.0122222222222</v>
      </c>
      <c r="J34" s="14">
        <v>17</v>
      </c>
      <c r="K34" s="15">
        <f t="shared" si="24"/>
        <v>211.764705882353</v>
      </c>
      <c r="L34" s="14">
        <f t="shared" si="25"/>
        <v>269.54</v>
      </c>
      <c r="M34" s="16">
        <f t="shared" si="26"/>
        <v>-269.54</v>
      </c>
      <c r="N34" s="14">
        <v>25</v>
      </c>
      <c r="O34" s="15">
        <f t="shared" si="27"/>
        <v>8.84</v>
      </c>
      <c r="P34" s="14">
        <f t="shared" si="28"/>
        <v>0.06859</v>
      </c>
      <c r="Q34" s="16">
        <f t="shared" si="29"/>
        <v>14.2488866</v>
      </c>
      <c r="R34" s="14">
        <f t="shared" si="30"/>
        <v>430.44</v>
      </c>
      <c r="S34" s="16">
        <f t="shared" si="31"/>
        <v>-416.1911134</v>
      </c>
      <c r="T34" s="14">
        <v>46</v>
      </c>
      <c r="U34" s="15">
        <f t="shared" si="32"/>
        <v>20.9565217391304</v>
      </c>
      <c r="V34" s="14">
        <f t="shared" si="33"/>
        <v>0.276355</v>
      </c>
      <c r="W34" s="16">
        <f t="shared" si="34"/>
        <v>250.4218468</v>
      </c>
      <c r="X34" s="14">
        <f t="shared" si="35"/>
        <v>758.46</v>
      </c>
      <c r="Y34" s="16">
        <f t="shared" si="36"/>
        <v>-508.0381532</v>
      </c>
      <c r="Z34" s="17">
        <v>4</v>
      </c>
      <c r="AA34" s="17">
        <v>0</v>
      </c>
      <c r="AB34" s="17">
        <v>0</v>
      </c>
      <c r="AC34" s="17">
        <v>0</v>
      </c>
      <c r="AD34" s="16">
        <f t="shared" si="37"/>
        <v>165.504328492021</v>
      </c>
      <c r="AE34" s="18">
        <f t="shared" si="38"/>
        <v>-1403.28581731424</v>
      </c>
      <c r="AF34" s="1">
        <f t="shared" si="39"/>
        <v>92</v>
      </c>
      <c r="AG34" s="1">
        <f>'[1]2'!BH9</f>
        <v>96</v>
      </c>
    </row>
    <row r="35" s="1" customFormat="1" spans="1:33">
      <c r="A35" s="9">
        <v>46114</v>
      </c>
      <c r="B35" s="10" t="s">
        <v>41</v>
      </c>
      <c r="C35" s="10" t="s">
        <v>42</v>
      </c>
      <c r="D35" s="11" t="s">
        <v>34</v>
      </c>
      <c r="E35" s="12">
        <v>1005</v>
      </c>
      <c r="F35" s="19">
        <v>3316</v>
      </c>
      <c r="G35" s="20">
        <v>244</v>
      </c>
      <c r="H35" s="14">
        <v>4</v>
      </c>
      <c r="I35" s="14">
        <f t="shared" si="23"/>
        <v>100.75</v>
      </c>
      <c r="J35" s="14">
        <v>9</v>
      </c>
      <c r="K35" s="15">
        <f t="shared" si="24"/>
        <v>111.666666666667</v>
      </c>
      <c r="L35" s="14">
        <f t="shared" ref="L35:L45" si="40">J35*14.54+21</f>
        <v>151.86</v>
      </c>
      <c r="M35" s="16">
        <f t="shared" si="26"/>
        <v>-151.86</v>
      </c>
      <c r="N35" s="14">
        <v>16</v>
      </c>
      <c r="O35" s="15">
        <f t="shared" si="27"/>
        <v>15.25</v>
      </c>
      <c r="P35" s="14">
        <f t="shared" si="28"/>
        <v>0.06859</v>
      </c>
      <c r="Q35" s="16">
        <f t="shared" si="29"/>
        <v>15.7318024</v>
      </c>
      <c r="R35" s="14">
        <f t="shared" ref="R35:R45" si="41">N35*14.54+21</f>
        <v>253.64</v>
      </c>
      <c r="S35" s="16">
        <f t="shared" si="31"/>
        <v>-237.9081976</v>
      </c>
      <c r="T35" s="14">
        <v>33</v>
      </c>
      <c r="U35" s="15">
        <f t="shared" si="32"/>
        <v>100.484848484848</v>
      </c>
      <c r="V35" s="14">
        <f t="shared" si="33"/>
        <v>0.276355</v>
      </c>
      <c r="W35" s="16">
        <f t="shared" si="34"/>
        <v>861.4095892</v>
      </c>
      <c r="X35" s="14">
        <f t="shared" ref="X35:X45" si="42">T35*14.54+42</f>
        <v>521.82</v>
      </c>
      <c r="Y35" s="16">
        <f t="shared" si="36"/>
        <v>339.5895892</v>
      </c>
      <c r="Z35" s="17">
        <v>0</v>
      </c>
      <c r="AA35" s="17">
        <v>0</v>
      </c>
      <c r="AB35" s="17">
        <v>0</v>
      </c>
      <c r="AC35" s="17">
        <v>0</v>
      </c>
      <c r="AD35" s="16">
        <f t="shared" si="37"/>
        <v>107.024328492021</v>
      </c>
      <c r="AE35" s="18">
        <f t="shared" si="38"/>
        <v>-257.952936892021</v>
      </c>
      <c r="AF35" s="1">
        <f t="shared" si="39"/>
        <v>58</v>
      </c>
      <c r="AG35" s="1">
        <f>'[1]2'!BH10</f>
        <v>63</v>
      </c>
    </row>
    <row r="36" s="1" customFormat="1" spans="1:33">
      <c r="A36" s="9">
        <v>46114</v>
      </c>
      <c r="B36" s="10" t="s">
        <v>43</v>
      </c>
      <c r="C36" s="10" t="s">
        <v>42</v>
      </c>
      <c r="D36" s="11" t="s">
        <v>34</v>
      </c>
      <c r="E36" s="12">
        <v>2151</v>
      </c>
      <c r="F36" s="19">
        <v>2330</v>
      </c>
      <c r="G36" s="21">
        <v>9785</v>
      </c>
      <c r="H36" s="14">
        <v>4</v>
      </c>
      <c r="I36" s="14">
        <f t="shared" si="23"/>
        <v>100.75</v>
      </c>
      <c r="J36" s="14">
        <v>9</v>
      </c>
      <c r="K36" s="15">
        <f t="shared" si="24"/>
        <v>239</v>
      </c>
      <c r="L36" s="14">
        <f t="shared" si="40"/>
        <v>151.86</v>
      </c>
      <c r="M36" s="16">
        <f t="shared" si="26"/>
        <v>-151.86</v>
      </c>
      <c r="N36" s="14">
        <v>16</v>
      </c>
      <c r="O36" s="15">
        <f t="shared" si="27"/>
        <v>611.5625</v>
      </c>
      <c r="P36" s="14">
        <f t="shared" si="28"/>
        <v>0.06859</v>
      </c>
      <c r="Q36" s="16">
        <f t="shared" si="29"/>
        <v>630.883961</v>
      </c>
      <c r="R36" s="14">
        <f t="shared" si="41"/>
        <v>253.64</v>
      </c>
      <c r="S36" s="16">
        <f t="shared" si="31"/>
        <v>377.243961</v>
      </c>
      <c r="T36" s="14">
        <v>33</v>
      </c>
      <c r="U36" s="15">
        <f t="shared" si="32"/>
        <v>70.6060606060606</v>
      </c>
      <c r="V36" s="14">
        <f t="shared" si="33"/>
        <v>0.276355</v>
      </c>
      <c r="W36" s="16">
        <f t="shared" si="34"/>
        <v>605.272721</v>
      </c>
      <c r="X36" s="14">
        <f t="shared" si="42"/>
        <v>521.82</v>
      </c>
      <c r="Y36" s="16">
        <f t="shared" si="36"/>
        <v>83.4527209999999</v>
      </c>
      <c r="Z36" s="17">
        <v>0</v>
      </c>
      <c r="AA36" s="17">
        <v>0</v>
      </c>
      <c r="AB36" s="17">
        <v>0</v>
      </c>
      <c r="AC36" s="17">
        <v>0</v>
      </c>
      <c r="AD36" s="16">
        <f t="shared" si="37"/>
        <v>107.024328492021</v>
      </c>
      <c r="AE36" s="18">
        <f t="shared" si="38"/>
        <v>101.062353507979</v>
      </c>
      <c r="AF36" s="1">
        <f t="shared" si="39"/>
        <v>58</v>
      </c>
      <c r="AG36" s="1">
        <f>'[1]2'!BH11</f>
        <v>63</v>
      </c>
    </row>
    <row r="37" s="1" customFormat="1" spans="1:33">
      <c r="A37" s="9">
        <v>46114</v>
      </c>
      <c r="B37" s="10" t="s">
        <v>44</v>
      </c>
      <c r="C37" s="10" t="s">
        <v>42</v>
      </c>
      <c r="D37" s="11" t="s">
        <v>34</v>
      </c>
      <c r="E37" s="12">
        <v>2187</v>
      </c>
      <c r="F37" s="12">
        <v>1307</v>
      </c>
      <c r="G37" s="21">
        <v>1193</v>
      </c>
      <c r="H37" s="14">
        <v>4</v>
      </c>
      <c r="I37" s="14">
        <f t="shared" si="23"/>
        <v>100.75</v>
      </c>
      <c r="J37" s="14">
        <v>12</v>
      </c>
      <c r="K37" s="15">
        <f t="shared" si="24"/>
        <v>182.25</v>
      </c>
      <c r="L37" s="14">
        <f t="shared" si="40"/>
        <v>195.48</v>
      </c>
      <c r="M37" s="16">
        <f t="shared" si="26"/>
        <v>-195.48</v>
      </c>
      <c r="N37" s="14">
        <v>18</v>
      </c>
      <c r="O37" s="15">
        <f t="shared" si="27"/>
        <v>66.2777777777778</v>
      </c>
      <c r="P37" s="14">
        <f t="shared" si="28"/>
        <v>0.06859</v>
      </c>
      <c r="Q37" s="16">
        <f t="shared" si="29"/>
        <v>76.9181978</v>
      </c>
      <c r="R37" s="14">
        <f t="shared" si="41"/>
        <v>282.72</v>
      </c>
      <c r="S37" s="16">
        <f t="shared" si="31"/>
        <v>-205.8018022</v>
      </c>
      <c r="T37" s="14">
        <v>28</v>
      </c>
      <c r="U37" s="15">
        <f t="shared" si="32"/>
        <v>46.6785714285714</v>
      </c>
      <c r="V37" s="14">
        <f t="shared" si="33"/>
        <v>0.276355</v>
      </c>
      <c r="W37" s="16">
        <f t="shared" si="34"/>
        <v>339.5242259</v>
      </c>
      <c r="X37" s="14">
        <f t="shared" si="42"/>
        <v>449.12</v>
      </c>
      <c r="Y37" s="16">
        <f t="shared" si="36"/>
        <v>-109.5957741</v>
      </c>
      <c r="Z37" s="17">
        <v>0</v>
      </c>
      <c r="AA37" s="17">
        <v>0</v>
      </c>
      <c r="AB37" s="17">
        <v>0</v>
      </c>
      <c r="AC37" s="17">
        <v>0</v>
      </c>
      <c r="AD37" s="16">
        <f t="shared" si="37"/>
        <v>107.024328492021</v>
      </c>
      <c r="AE37" s="18">
        <f t="shared" si="38"/>
        <v>-718.651904792021</v>
      </c>
      <c r="AF37" s="1">
        <f t="shared" si="39"/>
        <v>58</v>
      </c>
      <c r="AG37" s="1">
        <f>'[1]2'!BH12</f>
        <v>63</v>
      </c>
    </row>
    <row r="38" s="1" customFormat="1" spans="1:33">
      <c r="A38" s="9">
        <v>46114</v>
      </c>
      <c r="B38" s="10" t="s">
        <v>45</v>
      </c>
      <c r="C38" s="10" t="s">
        <v>42</v>
      </c>
      <c r="D38" s="11" t="s">
        <v>34</v>
      </c>
      <c r="E38" s="12">
        <v>1905</v>
      </c>
      <c r="F38" s="12">
        <v>2124</v>
      </c>
      <c r="G38" s="21">
        <v>9398</v>
      </c>
      <c r="H38" s="14">
        <v>4</v>
      </c>
      <c r="I38" s="14">
        <f t="shared" si="23"/>
        <v>100.75</v>
      </c>
      <c r="J38" s="14">
        <v>12</v>
      </c>
      <c r="K38" s="15">
        <f t="shared" si="24"/>
        <v>158.75</v>
      </c>
      <c r="L38" s="14">
        <f t="shared" si="40"/>
        <v>195.48</v>
      </c>
      <c r="M38" s="16">
        <f t="shared" si="26"/>
        <v>-195.48</v>
      </c>
      <c r="N38" s="14">
        <v>18</v>
      </c>
      <c r="O38" s="15">
        <f t="shared" si="27"/>
        <v>522.111111111111</v>
      </c>
      <c r="P38" s="14">
        <f t="shared" si="28"/>
        <v>0.06859</v>
      </c>
      <c r="Q38" s="16">
        <f t="shared" si="29"/>
        <v>605.9322908</v>
      </c>
      <c r="R38" s="14">
        <f t="shared" si="41"/>
        <v>282.72</v>
      </c>
      <c r="S38" s="16">
        <f t="shared" si="31"/>
        <v>323.2122908</v>
      </c>
      <c r="T38" s="14">
        <v>28</v>
      </c>
      <c r="U38" s="15">
        <f t="shared" si="32"/>
        <v>75.8571428571429</v>
      </c>
      <c r="V38" s="14">
        <f t="shared" si="33"/>
        <v>0.276355</v>
      </c>
      <c r="W38" s="16">
        <f t="shared" si="34"/>
        <v>551.7593388</v>
      </c>
      <c r="X38" s="14">
        <f t="shared" si="42"/>
        <v>449.12</v>
      </c>
      <c r="Y38" s="16">
        <f t="shared" si="36"/>
        <v>102.6393388</v>
      </c>
      <c r="Z38" s="17">
        <v>0</v>
      </c>
      <c r="AA38" s="17">
        <v>0</v>
      </c>
      <c r="AB38" s="17">
        <v>0</v>
      </c>
      <c r="AC38" s="17">
        <v>0</v>
      </c>
      <c r="AD38" s="16">
        <f t="shared" si="37"/>
        <v>107.024328492021</v>
      </c>
      <c r="AE38" s="18">
        <f t="shared" si="38"/>
        <v>22.5973011079792</v>
      </c>
      <c r="AF38" s="1">
        <f t="shared" si="39"/>
        <v>58</v>
      </c>
      <c r="AG38" s="1">
        <f>'[1]2'!BH13</f>
        <v>63</v>
      </c>
    </row>
    <row r="39" s="1" customFormat="1" spans="1:33">
      <c r="A39" s="9">
        <v>46114</v>
      </c>
      <c r="B39" s="10" t="s">
        <v>46</v>
      </c>
      <c r="C39" s="10" t="s">
        <v>42</v>
      </c>
      <c r="D39" s="10" t="s">
        <v>47</v>
      </c>
      <c r="E39" s="12">
        <v>8737</v>
      </c>
      <c r="F39" s="12">
        <v>3981</v>
      </c>
      <c r="G39" s="21">
        <v>65</v>
      </c>
      <c r="H39" s="14">
        <v>4</v>
      </c>
      <c r="I39" s="14">
        <f t="shared" si="23"/>
        <v>100.75</v>
      </c>
      <c r="J39" s="14">
        <v>15</v>
      </c>
      <c r="K39" s="15">
        <f t="shared" si="24"/>
        <v>582.466666666667</v>
      </c>
      <c r="L39" s="14">
        <f t="shared" si="40"/>
        <v>239.1</v>
      </c>
      <c r="M39" s="16">
        <f t="shared" si="26"/>
        <v>-239.1</v>
      </c>
      <c r="N39" s="14">
        <v>20</v>
      </c>
      <c r="O39" s="15">
        <f t="shared" si="27"/>
        <v>3.25</v>
      </c>
      <c r="P39" s="14">
        <f t="shared" si="28"/>
        <v>0.06859</v>
      </c>
      <c r="Q39" s="16">
        <f t="shared" si="29"/>
        <v>4.190849</v>
      </c>
      <c r="R39" s="14">
        <f t="shared" si="41"/>
        <v>311.8</v>
      </c>
      <c r="S39" s="16">
        <f t="shared" si="31"/>
        <v>-307.609151</v>
      </c>
      <c r="T39" s="14">
        <v>31</v>
      </c>
      <c r="U39" s="15">
        <f t="shared" si="32"/>
        <v>128.41935483871</v>
      </c>
      <c r="V39" s="14">
        <f t="shared" si="33"/>
        <v>0.276355</v>
      </c>
      <c r="W39" s="16">
        <f t="shared" si="34"/>
        <v>1034.1590997</v>
      </c>
      <c r="X39" s="14">
        <f t="shared" si="42"/>
        <v>492.74</v>
      </c>
      <c r="Y39" s="16">
        <f t="shared" si="36"/>
        <v>541.4190997</v>
      </c>
      <c r="Z39" s="17">
        <v>0</v>
      </c>
      <c r="AA39" s="17">
        <v>0</v>
      </c>
      <c r="AB39" s="17">
        <v>0</v>
      </c>
      <c r="AC39" s="17">
        <v>0</v>
      </c>
      <c r="AD39" s="16">
        <f t="shared" si="37"/>
        <v>107.024328492021</v>
      </c>
      <c r="AE39" s="18">
        <f t="shared" si="38"/>
        <v>-213.064379792021</v>
      </c>
      <c r="AF39" s="1">
        <f t="shared" si="39"/>
        <v>66</v>
      </c>
      <c r="AG39" s="1">
        <f>'[1]2'!BH14</f>
        <v>71</v>
      </c>
    </row>
    <row r="40" s="1" customFormat="1" spans="1:33">
      <c r="A40" s="9">
        <v>46114</v>
      </c>
      <c r="B40" s="10" t="s">
        <v>48</v>
      </c>
      <c r="C40" s="10" t="s">
        <v>42</v>
      </c>
      <c r="D40" s="10" t="s">
        <v>49</v>
      </c>
      <c r="E40" s="12">
        <v>8748</v>
      </c>
      <c r="F40" s="22">
        <v>6097</v>
      </c>
      <c r="G40" s="21">
        <v>21</v>
      </c>
      <c r="H40" s="14">
        <v>4</v>
      </c>
      <c r="I40" s="14">
        <f t="shared" si="23"/>
        <v>100.75</v>
      </c>
      <c r="J40" s="14">
        <v>19</v>
      </c>
      <c r="K40" s="15">
        <f t="shared" si="24"/>
        <v>460.421052631579</v>
      </c>
      <c r="L40" s="14">
        <f t="shared" si="40"/>
        <v>297.26</v>
      </c>
      <c r="M40" s="16">
        <f t="shared" si="26"/>
        <v>-297.26</v>
      </c>
      <c r="N40" s="14">
        <v>4</v>
      </c>
      <c r="O40" s="15">
        <f t="shared" si="27"/>
        <v>5.25</v>
      </c>
      <c r="P40" s="14">
        <f t="shared" si="28"/>
        <v>0.06859</v>
      </c>
      <c r="Q40" s="16">
        <f t="shared" si="29"/>
        <v>1.3539666</v>
      </c>
      <c r="R40" s="14">
        <f t="shared" si="41"/>
        <v>79.16</v>
      </c>
      <c r="S40" s="16">
        <f t="shared" si="31"/>
        <v>-77.8060334</v>
      </c>
      <c r="T40" s="14">
        <v>43</v>
      </c>
      <c r="U40" s="15">
        <f t="shared" si="32"/>
        <v>141.790697674419</v>
      </c>
      <c r="V40" s="14">
        <f t="shared" si="33"/>
        <v>0.276355</v>
      </c>
      <c r="W40" s="16">
        <f t="shared" si="34"/>
        <v>1583.8402489</v>
      </c>
      <c r="X40" s="14">
        <f t="shared" si="42"/>
        <v>667.22</v>
      </c>
      <c r="Y40" s="16">
        <f t="shared" si="36"/>
        <v>916.6202489</v>
      </c>
      <c r="Z40" s="17">
        <v>0</v>
      </c>
      <c r="AA40" s="17">
        <v>0</v>
      </c>
      <c r="AB40" s="17">
        <v>0</v>
      </c>
      <c r="AC40" s="17">
        <v>0</v>
      </c>
      <c r="AD40" s="16">
        <f t="shared" si="37"/>
        <v>107.024328492021</v>
      </c>
      <c r="AE40" s="18">
        <f t="shared" si="38"/>
        <v>333.779887007979</v>
      </c>
      <c r="AF40" s="1">
        <f t="shared" si="39"/>
        <v>66</v>
      </c>
      <c r="AG40" s="1">
        <f>'[1]2'!BH15</f>
        <v>71</v>
      </c>
    </row>
    <row r="41" s="1" customFormat="1" spans="1:33">
      <c r="A41" s="9">
        <v>46114</v>
      </c>
      <c r="B41" s="10" t="s">
        <v>50</v>
      </c>
      <c r="C41" s="10" t="s">
        <v>42</v>
      </c>
      <c r="D41" s="10" t="s">
        <v>49</v>
      </c>
      <c r="E41" s="12">
        <v>5814</v>
      </c>
      <c r="F41" s="22">
        <v>1735</v>
      </c>
      <c r="G41" s="21">
        <v>5781</v>
      </c>
      <c r="H41" s="14">
        <v>4</v>
      </c>
      <c r="I41" s="14">
        <f t="shared" si="23"/>
        <v>100.75</v>
      </c>
      <c r="J41" s="14">
        <v>12</v>
      </c>
      <c r="K41" s="15">
        <f t="shared" si="24"/>
        <v>484.5</v>
      </c>
      <c r="L41" s="14">
        <f t="shared" si="40"/>
        <v>195.48</v>
      </c>
      <c r="M41" s="16">
        <f t="shared" si="26"/>
        <v>-195.48</v>
      </c>
      <c r="N41" s="14">
        <v>23</v>
      </c>
      <c r="O41" s="15">
        <f t="shared" si="27"/>
        <v>251.347826086957</v>
      </c>
      <c r="P41" s="14">
        <f t="shared" si="28"/>
        <v>0.06859</v>
      </c>
      <c r="Q41" s="16">
        <f t="shared" si="29"/>
        <v>372.7276626</v>
      </c>
      <c r="R41" s="14">
        <f t="shared" si="41"/>
        <v>355.42</v>
      </c>
      <c r="S41" s="16">
        <f t="shared" si="31"/>
        <v>17.3076626</v>
      </c>
      <c r="T41" s="14">
        <v>31</v>
      </c>
      <c r="U41" s="15">
        <f t="shared" si="32"/>
        <v>55.9677419354839</v>
      </c>
      <c r="V41" s="14">
        <f t="shared" si="33"/>
        <v>0.276355</v>
      </c>
      <c r="W41" s="16">
        <f t="shared" si="34"/>
        <v>450.7073695</v>
      </c>
      <c r="X41" s="14">
        <f t="shared" si="42"/>
        <v>492.74</v>
      </c>
      <c r="Y41" s="16">
        <f t="shared" si="36"/>
        <v>-42.0326305</v>
      </c>
      <c r="Z41" s="17">
        <v>0</v>
      </c>
      <c r="AA41" s="17">
        <v>0</v>
      </c>
      <c r="AB41" s="17">
        <v>0</v>
      </c>
      <c r="AC41" s="17">
        <v>0</v>
      </c>
      <c r="AD41" s="16">
        <f t="shared" si="37"/>
        <v>107.024328492021</v>
      </c>
      <c r="AE41" s="18">
        <f t="shared" si="38"/>
        <v>-427.979296392021</v>
      </c>
      <c r="AF41" s="1">
        <f t="shared" si="39"/>
        <v>66</v>
      </c>
      <c r="AG41" s="1">
        <f>'[1]2'!BH16</f>
        <v>71</v>
      </c>
    </row>
    <row r="42" s="1" customFormat="1" spans="1:33">
      <c r="A42" s="9">
        <v>46114</v>
      </c>
      <c r="B42" s="10" t="s">
        <v>51</v>
      </c>
      <c r="C42" s="10" t="s">
        <v>42</v>
      </c>
      <c r="D42" s="10" t="s">
        <v>49</v>
      </c>
      <c r="E42" s="12">
        <v>5555</v>
      </c>
      <c r="F42" s="22">
        <v>1811</v>
      </c>
      <c r="G42" s="21">
        <v>9249</v>
      </c>
      <c r="H42" s="14">
        <v>4</v>
      </c>
      <c r="I42" s="14">
        <f t="shared" si="23"/>
        <v>100.75</v>
      </c>
      <c r="J42" s="14">
        <v>12</v>
      </c>
      <c r="K42" s="15">
        <f t="shared" si="24"/>
        <v>462.916666666667</v>
      </c>
      <c r="L42" s="14">
        <f t="shared" si="40"/>
        <v>195.48</v>
      </c>
      <c r="M42" s="16">
        <f t="shared" si="26"/>
        <v>-195.48</v>
      </c>
      <c r="N42" s="14">
        <v>23</v>
      </c>
      <c r="O42" s="15">
        <f t="shared" si="27"/>
        <v>402.130434782609</v>
      </c>
      <c r="P42" s="14">
        <f t="shared" si="28"/>
        <v>0.06859</v>
      </c>
      <c r="Q42" s="16">
        <f t="shared" si="29"/>
        <v>596.3255754</v>
      </c>
      <c r="R42" s="14">
        <f t="shared" si="41"/>
        <v>355.42</v>
      </c>
      <c r="S42" s="16">
        <f t="shared" si="31"/>
        <v>240.9055754</v>
      </c>
      <c r="T42" s="14">
        <v>31</v>
      </c>
      <c r="U42" s="15">
        <f t="shared" si="32"/>
        <v>58.4193548387097</v>
      </c>
      <c r="V42" s="14">
        <f t="shared" si="33"/>
        <v>0.276355</v>
      </c>
      <c r="W42" s="16">
        <f t="shared" si="34"/>
        <v>470.4501707</v>
      </c>
      <c r="X42" s="14">
        <f t="shared" si="42"/>
        <v>492.74</v>
      </c>
      <c r="Y42" s="16">
        <f t="shared" si="36"/>
        <v>-22.2898293</v>
      </c>
      <c r="Z42" s="17">
        <v>0</v>
      </c>
      <c r="AA42" s="17">
        <v>0</v>
      </c>
      <c r="AB42" s="17">
        <v>0</v>
      </c>
      <c r="AC42" s="17">
        <v>0</v>
      </c>
      <c r="AD42" s="16">
        <f t="shared" si="37"/>
        <v>107.024328492021</v>
      </c>
      <c r="AE42" s="18">
        <f t="shared" si="38"/>
        <v>-184.638582392021</v>
      </c>
      <c r="AF42" s="1">
        <f t="shared" si="39"/>
        <v>66</v>
      </c>
      <c r="AG42" s="1">
        <f>'[1]2'!BH17</f>
        <v>71</v>
      </c>
    </row>
    <row r="43" s="1" customFormat="1" spans="1:33">
      <c r="A43" s="9">
        <v>46114</v>
      </c>
      <c r="B43" s="10" t="s">
        <v>52</v>
      </c>
      <c r="C43" s="10" t="s">
        <v>42</v>
      </c>
      <c r="D43" s="11" t="s">
        <v>34</v>
      </c>
      <c r="E43" s="12">
        <v>0</v>
      </c>
      <c r="F43" s="22">
        <v>4367</v>
      </c>
      <c r="G43" s="21">
        <v>10842</v>
      </c>
      <c r="H43" s="14">
        <v>4</v>
      </c>
      <c r="I43" s="14">
        <f t="shared" si="23"/>
        <v>100.75</v>
      </c>
      <c r="J43" s="14">
        <v>12</v>
      </c>
      <c r="K43" s="15">
        <f t="shared" si="24"/>
        <v>0</v>
      </c>
      <c r="L43" s="14">
        <f t="shared" si="40"/>
        <v>195.48</v>
      </c>
      <c r="M43" s="16">
        <f t="shared" si="26"/>
        <v>-195.48</v>
      </c>
      <c r="N43" s="14">
        <v>23</v>
      </c>
      <c r="O43" s="15">
        <f t="shared" si="27"/>
        <v>471.391304347826</v>
      </c>
      <c r="P43" s="14">
        <f t="shared" si="28"/>
        <v>0.06859</v>
      </c>
      <c r="Q43" s="16">
        <f t="shared" si="29"/>
        <v>699.0336132</v>
      </c>
      <c r="R43" s="14">
        <f t="shared" si="41"/>
        <v>355.42</v>
      </c>
      <c r="S43" s="16">
        <f t="shared" si="31"/>
        <v>343.6136132</v>
      </c>
      <c r="T43" s="14">
        <v>31</v>
      </c>
      <c r="U43" s="15">
        <f t="shared" si="32"/>
        <v>140.870967741935</v>
      </c>
      <c r="V43" s="14">
        <f t="shared" si="33"/>
        <v>0.276355</v>
      </c>
      <c r="W43" s="16">
        <f t="shared" si="34"/>
        <v>1134.4317479</v>
      </c>
      <c r="X43" s="14">
        <f t="shared" si="42"/>
        <v>492.74</v>
      </c>
      <c r="Y43" s="16">
        <f t="shared" si="36"/>
        <v>641.6917479</v>
      </c>
      <c r="Z43" s="17">
        <v>0</v>
      </c>
      <c r="AA43" s="17">
        <v>0</v>
      </c>
      <c r="AB43" s="17">
        <v>0</v>
      </c>
      <c r="AC43" s="17">
        <v>0</v>
      </c>
      <c r="AD43" s="16">
        <f t="shared" si="37"/>
        <v>107.024328492021</v>
      </c>
      <c r="AE43" s="18">
        <f t="shared" si="38"/>
        <v>582.051032607979</v>
      </c>
      <c r="AF43" s="1">
        <f t="shared" si="39"/>
        <v>66</v>
      </c>
      <c r="AG43" s="1">
        <f>'[1]2'!BH18</f>
        <v>71</v>
      </c>
    </row>
    <row r="44" s="1" customFormat="1" spans="1:33">
      <c r="A44" s="9">
        <v>46114</v>
      </c>
      <c r="B44" s="10" t="s">
        <v>53</v>
      </c>
      <c r="C44" s="10" t="s">
        <v>42</v>
      </c>
      <c r="D44" s="11" t="s">
        <v>34</v>
      </c>
      <c r="E44" s="12">
        <v>5283</v>
      </c>
      <c r="F44" s="22">
        <v>3251</v>
      </c>
      <c r="G44" s="21">
        <v>7308</v>
      </c>
      <c r="H44" s="14">
        <v>4</v>
      </c>
      <c r="I44" s="14">
        <f t="shared" si="23"/>
        <v>100.75</v>
      </c>
      <c r="J44" s="14">
        <v>12</v>
      </c>
      <c r="K44" s="15">
        <f t="shared" si="24"/>
        <v>440.25</v>
      </c>
      <c r="L44" s="14">
        <f t="shared" si="40"/>
        <v>195.48</v>
      </c>
      <c r="M44" s="16">
        <f t="shared" si="26"/>
        <v>-195.48</v>
      </c>
      <c r="N44" s="14">
        <v>23</v>
      </c>
      <c r="O44" s="15">
        <f t="shared" si="27"/>
        <v>317.739130434783</v>
      </c>
      <c r="P44" s="14">
        <f t="shared" si="28"/>
        <v>0.06859</v>
      </c>
      <c r="Q44" s="16">
        <f t="shared" si="29"/>
        <v>471.1803768</v>
      </c>
      <c r="R44" s="14">
        <f t="shared" si="41"/>
        <v>355.42</v>
      </c>
      <c r="S44" s="16">
        <f t="shared" si="31"/>
        <v>115.7603768</v>
      </c>
      <c r="T44" s="14">
        <v>31</v>
      </c>
      <c r="U44" s="15">
        <f t="shared" si="32"/>
        <v>104.870967741935</v>
      </c>
      <c r="V44" s="14">
        <f t="shared" si="33"/>
        <v>0.276355</v>
      </c>
      <c r="W44" s="16">
        <f t="shared" si="34"/>
        <v>844.5242987</v>
      </c>
      <c r="X44" s="14">
        <f t="shared" si="42"/>
        <v>492.74</v>
      </c>
      <c r="Y44" s="16">
        <f t="shared" si="36"/>
        <v>351.7842987</v>
      </c>
      <c r="Z44" s="17">
        <v>0</v>
      </c>
      <c r="AA44" s="17">
        <v>0</v>
      </c>
      <c r="AB44" s="17">
        <v>0</v>
      </c>
      <c r="AC44" s="17">
        <v>0</v>
      </c>
      <c r="AD44" s="16">
        <f t="shared" si="37"/>
        <v>107.024328492021</v>
      </c>
      <c r="AE44" s="18">
        <f t="shared" si="38"/>
        <v>64.2903470079792</v>
      </c>
      <c r="AF44" s="1">
        <f t="shared" si="39"/>
        <v>66</v>
      </c>
      <c r="AG44" s="1">
        <f>'[1]2'!BH19</f>
        <v>71</v>
      </c>
    </row>
    <row r="45" s="1" customFormat="1" spans="1:33">
      <c r="A45" s="9">
        <v>46114</v>
      </c>
      <c r="B45" s="10" t="s">
        <v>54</v>
      </c>
      <c r="C45" s="10" t="s">
        <v>42</v>
      </c>
      <c r="D45" s="10" t="s">
        <v>49</v>
      </c>
      <c r="E45" s="12">
        <v>173</v>
      </c>
      <c r="F45" s="22">
        <v>605</v>
      </c>
      <c r="G45" s="21">
        <v>0</v>
      </c>
      <c r="H45" s="14">
        <v>4</v>
      </c>
      <c r="I45" s="14">
        <f t="shared" si="23"/>
        <v>100.75</v>
      </c>
      <c r="J45" s="14">
        <v>12</v>
      </c>
      <c r="K45" s="15">
        <f t="shared" si="24"/>
        <v>14.4166666666667</v>
      </c>
      <c r="L45" s="14">
        <f t="shared" si="40"/>
        <v>195.48</v>
      </c>
      <c r="M45" s="16">
        <f t="shared" si="26"/>
        <v>-195.48</v>
      </c>
      <c r="N45" s="14">
        <v>23</v>
      </c>
      <c r="O45" s="15">
        <f t="shared" si="27"/>
        <v>0</v>
      </c>
      <c r="P45" s="14">
        <f t="shared" si="28"/>
        <v>0.06859</v>
      </c>
      <c r="Q45" s="16">
        <f t="shared" si="29"/>
        <v>0</v>
      </c>
      <c r="R45" s="14">
        <f t="shared" si="41"/>
        <v>355.42</v>
      </c>
      <c r="S45" s="16">
        <f t="shared" si="31"/>
        <v>-355.42</v>
      </c>
      <c r="T45" s="14">
        <v>31</v>
      </c>
      <c r="U45" s="15">
        <f t="shared" si="32"/>
        <v>19.5161290322581</v>
      </c>
      <c r="V45" s="14">
        <f t="shared" si="33"/>
        <v>0.276355</v>
      </c>
      <c r="W45" s="16">
        <f t="shared" si="34"/>
        <v>157.1630885</v>
      </c>
      <c r="X45" s="14">
        <f t="shared" si="42"/>
        <v>492.74</v>
      </c>
      <c r="Y45" s="16">
        <f t="shared" si="36"/>
        <v>-335.5769115</v>
      </c>
      <c r="Z45" s="17">
        <v>0</v>
      </c>
      <c r="AA45" s="17">
        <v>0</v>
      </c>
      <c r="AB45" s="17">
        <v>0</v>
      </c>
      <c r="AC45" s="17">
        <v>0</v>
      </c>
      <c r="AD45" s="16">
        <f t="shared" si="37"/>
        <v>107.024328492021</v>
      </c>
      <c r="AE45" s="18">
        <f t="shared" si="38"/>
        <v>-1094.25123999202</v>
      </c>
      <c r="AF45" s="1">
        <f t="shared" si="39"/>
        <v>66</v>
      </c>
      <c r="AG45" s="1">
        <f>'[1]2'!BH20</f>
        <v>71</v>
      </c>
    </row>
    <row r="46" s="1" customFormat="1" spans="1:33">
      <c r="A46" s="9">
        <v>46114</v>
      </c>
      <c r="B46" s="10" t="s">
        <v>55</v>
      </c>
      <c r="C46" s="10" t="s">
        <v>33</v>
      </c>
      <c r="D46" s="10" t="s">
        <v>49</v>
      </c>
      <c r="E46" s="12">
        <v>16761</v>
      </c>
      <c r="F46" s="23">
        <v>4222</v>
      </c>
      <c r="G46" s="21">
        <v>730</v>
      </c>
      <c r="H46" s="14">
        <v>2</v>
      </c>
      <c r="I46" s="14">
        <f t="shared" si="23"/>
        <v>44.0122222222222</v>
      </c>
      <c r="J46" s="14">
        <v>24</v>
      </c>
      <c r="K46" s="15">
        <f t="shared" si="24"/>
        <v>698.375</v>
      </c>
      <c r="L46" s="14">
        <f t="shared" ref="L46:L51" si="43">J46*14.62+21</f>
        <v>371.88</v>
      </c>
      <c r="M46" s="16">
        <f t="shared" si="26"/>
        <v>-371.88</v>
      </c>
      <c r="N46" s="14">
        <v>15</v>
      </c>
      <c r="O46" s="15">
        <f t="shared" si="27"/>
        <v>48.6666666666667</v>
      </c>
      <c r="P46" s="14">
        <f t="shared" si="28"/>
        <v>0.06859</v>
      </c>
      <c r="Q46" s="16">
        <f t="shared" si="29"/>
        <v>47.066458</v>
      </c>
      <c r="R46" s="14">
        <f t="shared" ref="R46:R51" si="44">(N46-13)*14.62+13*18+21</f>
        <v>284.24</v>
      </c>
      <c r="S46" s="16">
        <f t="shared" si="31"/>
        <v>-237.173542</v>
      </c>
      <c r="T46" s="14">
        <v>57</v>
      </c>
      <c r="U46" s="15">
        <f t="shared" si="32"/>
        <v>74.0701754385965</v>
      </c>
      <c r="V46" s="14">
        <f t="shared" si="33"/>
        <v>0.276355</v>
      </c>
      <c r="W46" s="16">
        <f t="shared" si="34"/>
        <v>1096.7645614</v>
      </c>
      <c r="X46" s="14">
        <f t="shared" ref="X46:X51" si="45">(T46-13)*14.62+13*18+42</f>
        <v>919.28</v>
      </c>
      <c r="Y46" s="16">
        <f t="shared" si="36"/>
        <v>177.4845614</v>
      </c>
      <c r="Z46" s="17">
        <v>4</v>
      </c>
      <c r="AA46" s="17">
        <v>0</v>
      </c>
      <c r="AB46" s="17">
        <v>0</v>
      </c>
      <c r="AC46" s="17">
        <v>0</v>
      </c>
      <c r="AD46" s="16">
        <f t="shared" si="37"/>
        <v>165.504328492021</v>
      </c>
      <c r="AE46" s="18">
        <f t="shared" si="38"/>
        <v>-641.085531314243</v>
      </c>
      <c r="AF46" s="1">
        <f t="shared" si="39"/>
        <v>100</v>
      </c>
      <c r="AG46" s="1">
        <f>'[1]2'!BH21</f>
        <v>104</v>
      </c>
    </row>
    <row r="47" s="1" customFormat="1" spans="1:33">
      <c r="A47" s="9">
        <v>46114</v>
      </c>
      <c r="B47" s="10" t="s">
        <v>56</v>
      </c>
      <c r="C47" s="10" t="s">
        <v>33</v>
      </c>
      <c r="D47" s="10" t="s">
        <v>49</v>
      </c>
      <c r="E47" s="12">
        <v>32462</v>
      </c>
      <c r="F47" s="23">
        <v>5872</v>
      </c>
      <c r="G47" s="21">
        <v>12913</v>
      </c>
      <c r="H47" s="14">
        <v>2</v>
      </c>
      <c r="I47" s="14">
        <f t="shared" si="23"/>
        <v>44.0122222222222</v>
      </c>
      <c r="J47" s="14">
        <v>22</v>
      </c>
      <c r="K47" s="15">
        <f t="shared" si="24"/>
        <v>1475.54545454545</v>
      </c>
      <c r="L47" s="14">
        <f t="shared" si="43"/>
        <v>342.64</v>
      </c>
      <c r="M47" s="16">
        <f t="shared" si="26"/>
        <v>-342.64</v>
      </c>
      <c r="N47" s="14">
        <v>30</v>
      </c>
      <c r="O47" s="15">
        <f t="shared" si="27"/>
        <v>430.433333333333</v>
      </c>
      <c r="P47" s="14">
        <f t="shared" si="28"/>
        <v>0.06859</v>
      </c>
      <c r="Q47" s="16">
        <f t="shared" si="29"/>
        <v>832.5605098</v>
      </c>
      <c r="R47" s="14">
        <f t="shared" si="44"/>
        <v>503.54</v>
      </c>
      <c r="S47" s="16">
        <f t="shared" si="31"/>
        <v>329.0205098</v>
      </c>
      <c r="T47" s="14">
        <v>44</v>
      </c>
      <c r="U47" s="15">
        <f t="shared" si="32"/>
        <v>133.454545454545</v>
      </c>
      <c r="V47" s="14">
        <f t="shared" si="33"/>
        <v>0.276355</v>
      </c>
      <c r="W47" s="16">
        <f t="shared" si="34"/>
        <v>1525.3911664</v>
      </c>
      <c r="X47" s="14">
        <f t="shared" si="45"/>
        <v>729.22</v>
      </c>
      <c r="Y47" s="16">
        <f t="shared" si="36"/>
        <v>796.1711664</v>
      </c>
      <c r="Z47" s="17">
        <v>4</v>
      </c>
      <c r="AA47" s="17">
        <v>0</v>
      </c>
      <c r="AB47" s="17">
        <v>0</v>
      </c>
      <c r="AC47" s="17">
        <v>0</v>
      </c>
      <c r="AD47" s="16">
        <f t="shared" si="37"/>
        <v>165.504328492021</v>
      </c>
      <c r="AE47" s="18">
        <f t="shared" si="38"/>
        <v>573.035125485757</v>
      </c>
      <c r="AF47" s="1">
        <f t="shared" si="39"/>
        <v>100</v>
      </c>
      <c r="AG47" s="1">
        <f>'[1]2'!BH22</f>
        <v>104</v>
      </c>
    </row>
    <row r="48" s="1" customFormat="1" spans="1:33">
      <c r="A48" s="9">
        <v>46114</v>
      </c>
      <c r="B48" s="10" t="s">
        <v>57</v>
      </c>
      <c r="C48" s="10" t="s">
        <v>33</v>
      </c>
      <c r="D48" s="10" t="s">
        <v>49</v>
      </c>
      <c r="E48" s="12">
        <v>17152</v>
      </c>
      <c r="F48" s="23">
        <v>5882</v>
      </c>
      <c r="G48" s="13">
        <v>13576</v>
      </c>
      <c r="H48" s="14">
        <v>2</v>
      </c>
      <c r="I48" s="14">
        <f t="shared" si="23"/>
        <v>44.0122222222222</v>
      </c>
      <c r="J48" s="14">
        <v>22</v>
      </c>
      <c r="K48" s="15">
        <f t="shared" si="24"/>
        <v>779.636363636364</v>
      </c>
      <c r="L48" s="14">
        <f t="shared" si="43"/>
        <v>342.64</v>
      </c>
      <c r="M48" s="16">
        <f t="shared" si="26"/>
        <v>-342.64</v>
      </c>
      <c r="N48" s="14">
        <v>30</v>
      </c>
      <c r="O48" s="15">
        <f t="shared" si="27"/>
        <v>452.533333333333</v>
      </c>
      <c r="P48" s="14">
        <f t="shared" si="28"/>
        <v>0.06859</v>
      </c>
      <c r="Q48" s="16">
        <f t="shared" si="29"/>
        <v>875.3071696</v>
      </c>
      <c r="R48" s="14">
        <f t="shared" si="44"/>
        <v>503.54</v>
      </c>
      <c r="S48" s="16">
        <f t="shared" si="31"/>
        <v>371.7671696</v>
      </c>
      <c r="T48" s="14">
        <v>44</v>
      </c>
      <c r="U48" s="15">
        <f t="shared" si="32"/>
        <v>133.681818181818</v>
      </c>
      <c r="V48" s="14">
        <f t="shared" si="33"/>
        <v>0.276355</v>
      </c>
      <c r="W48" s="16">
        <f t="shared" si="34"/>
        <v>1527.9889034</v>
      </c>
      <c r="X48" s="14">
        <f t="shared" si="45"/>
        <v>729.22</v>
      </c>
      <c r="Y48" s="16">
        <f t="shared" si="36"/>
        <v>798.7689034</v>
      </c>
      <c r="Z48" s="17">
        <v>4</v>
      </c>
      <c r="AA48" s="17">
        <v>0</v>
      </c>
      <c r="AB48" s="17">
        <v>0</v>
      </c>
      <c r="AC48" s="17">
        <v>0</v>
      </c>
      <c r="AD48" s="16">
        <f t="shared" si="37"/>
        <v>165.504328492021</v>
      </c>
      <c r="AE48" s="18">
        <f t="shared" si="38"/>
        <v>618.379522285756</v>
      </c>
      <c r="AF48" s="1">
        <f t="shared" si="39"/>
        <v>100</v>
      </c>
      <c r="AG48" s="1">
        <f>'[1]2'!BH23</f>
        <v>104</v>
      </c>
    </row>
    <row r="49" s="1" customFormat="1" spans="1:33">
      <c r="A49" s="9">
        <v>46114</v>
      </c>
      <c r="B49" s="10" t="s">
        <v>58</v>
      </c>
      <c r="C49" s="10" t="s">
        <v>33</v>
      </c>
      <c r="D49" s="10" t="s">
        <v>49</v>
      </c>
      <c r="E49" s="12">
        <v>5</v>
      </c>
      <c r="F49" s="23">
        <v>5669</v>
      </c>
      <c r="G49" s="13">
        <v>15137</v>
      </c>
      <c r="H49" s="14">
        <v>2</v>
      </c>
      <c r="I49" s="14">
        <f t="shared" si="23"/>
        <v>44.0122222222222</v>
      </c>
      <c r="J49" s="14">
        <v>22</v>
      </c>
      <c r="K49" s="15">
        <f t="shared" si="24"/>
        <v>0.227272727272727</v>
      </c>
      <c r="L49" s="14">
        <f t="shared" si="43"/>
        <v>342.64</v>
      </c>
      <c r="M49" s="16">
        <f t="shared" si="26"/>
        <v>-342.64</v>
      </c>
      <c r="N49" s="14">
        <v>30</v>
      </c>
      <c r="O49" s="15">
        <f t="shared" si="27"/>
        <v>504.566666666667</v>
      </c>
      <c r="P49" s="14">
        <f t="shared" si="28"/>
        <v>0.06859</v>
      </c>
      <c r="Q49" s="16">
        <f t="shared" si="29"/>
        <v>975.9520202</v>
      </c>
      <c r="R49" s="14">
        <f t="shared" si="44"/>
        <v>503.54</v>
      </c>
      <c r="S49" s="16">
        <f t="shared" si="31"/>
        <v>472.4120202</v>
      </c>
      <c r="T49" s="14">
        <v>44</v>
      </c>
      <c r="U49" s="15">
        <f t="shared" si="32"/>
        <v>128.840909090909</v>
      </c>
      <c r="V49" s="14">
        <f t="shared" si="33"/>
        <v>0.276355</v>
      </c>
      <c r="W49" s="16">
        <f t="shared" si="34"/>
        <v>1472.6571053</v>
      </c>
      <c r="X49" s="14">
        <f t="shared" si="45"/>
        <v>729.22</v>
      </c>
      <c r="Y49" s="16">
        <f t="shared" si="36"/>
        <v>743.4371053</v>
      </c>
      <c r="Z49" s="17">
        <v>4</v>
      </c>
      <c r="AA49" s="17">
        <v>0</v>
      </c>
      <c r="AB49" s="17">
        <v>0</v>
      </c>
      <c r="AC49" s="17">
        <v>0</v>
      </c>
      <c r="AD49" s="16">
        <f t="shared" si="37"/>
        <v>165.504328492021</v>
      </c>
      <c r="AE49" s="18">
        <f t="shared" si="38"/>
        <v>663.692574785757</v>
      </c>
      <c r="AF49" s="1">
        <f t="shared" si="39"/>
        <v>100</v>
      </c>
      <c r="AG49" s="1">
        <f>'[1]2'!BH24</f>
        <v>104</v>
      </c>
    </row>
    <row r="50" s="1" customFormat="1" spans="1:33">
      <c r="A50" s="9">
        <v>46114</v>
      </c>
      <c r="B50" s="10" t="s">
        <v>59</v>
      </c>
      <c r="C50" s="10" t="s">
        <v>33</v>
      </c>
      <c r="D50" s="10" t="s">
        <v>49</v>
      </c>
      <c r="E50" s="12">
        <v>6512</v>
      </c>
      <c r="F50" s="23">
        <v>3017</v>
      </c>
      <c r="G50" s="13">
        <v>5730</v>
      </c>
      <c r="H50" s="14">
        <v>2</v>
      </c>
      <c r="I50" s="14">
        <f t="shared" si="23"/>
        <v>44.0122222222222</v>
      </c>
      <c r="J50" s="14">
        <v>22</v>
      </c>
      <c r="K50" s="15">
        <f t="shared" si="24"/>
        <v>296</v>
      </c>
      <c r="L50" s="14">
        <f t="shared" si="43"/>
        <v>342.64</v>
      </c>
      <c r="M50" s="16">
        <f t="shared" si="26"/>
        <v>-342.64</v>
      </c>
      <c r="N50" s="14">
        <v>30</v>
      </c>
      <c r="O50" s="15">
        <f t="shared" si="27"/>
        <v>191</v>
      </c>
      <c r="P50" s="14">
        <f t="shared" si="28"/>
        <v>0.06859</v>
      </c>
      <c r="Q50" s="16">
        <f t="shared" si="29"/>
        <v>369.439458</v>
      </c>
      <c r="R50" s="14">
        <f t="shared" si="44"/>
        <v>503.54</v>
      </c>
      <c r="S50" s="16">
        <f t="shared" si="31"/>
        <v>-134.100542</v>
      </c>
      <c r="T50" s="14">
        <v>44</v>
      </c>
      <c r="U50" s="15">
        <f t="shared" si="32"/>
        <v>68.5681818181818</v>
      </c>
      <c r="V50" s="14">
        <f t="shared" si="33"/>
        <v>0.276355</v>
      </c>
      <c r="W50" s="16">
        <f t="shared" si="34"/>
        <v>783.7372529</v>
      </c>
      <c r="X50" s="14">
        <f t="shared" si="45"/>
        <v>729.22</v>
      </c>
      <c r="Y50" s="16">
        <f t="shared" si="36"/>
        <v>54.5172528999998</v>
      </c>
      <c r="Z50" s="17">
        <v>4</v>
      </c>
      <c r="AA50" s="17">
        <v>0</v>
      </c>
      <c r="AB50" s="17">
        <v>0</v>
      </c>
      <c r="AC50" s="17">
        <v>0</v>
      </c>
      <c r="AD50" s="16">
        <f t="shared" si="37"/>
        <v>165.504328492021</v>
      </c>
      <c r="AE50" s="18">
        <f t="shared" si="38"/>
        <v>-631.739839814243</v>
      </c>
      <c r="AF50" s="1">
        <f t="shared" si="39"/>
        <v>100</v>
      </c>
      <c r="AG50" s="1">
        <f>'[1]2'!BH25</f>
        <v>104</v>
      </c>
    </row>
    <row r="51" s="1" customFormat="1" spans="1:33">
      <c r="A51" s="9">
        <v>46114</v>
      </c>
      <c r="B51" s="10" t="s">
        <v>60</v>
      </c>
      <c r="C51" s="10" t="s">
        <v>33</v>
      </c>
      <c r="D51" s="11" t="s">
        <v>47</v>
      </c>
      <c r="E51" s="12">
        <v>0</v>
      </c>
      <c r="F51" s="23">
        <v>3732</v>
      </c>
      <c r="G51" s="13">
        <v>7445</v>
      </c>
      <c r="H51" s="14">
        <v>2</v>
      </c>
      <c r="I51" s="14">
        <f t="shared" si="23"/>
        <v>44.0122222222222</v>
      </c>
      <c r="J51" s="14">
        <v>17</v>
      </c>
      <c r="K51" s="15">
        <f t="shared" si="24"/>
        <v>0</v>
      </c>
      <c r="L51" s="14">
        <f t="shared" si="43"/>
        <v>269.54</v>
      </c>
      <c r="M51" s="16">
        <f t="shared" si="26"/>
        <v>-269.54</v>
      </c>
      <c r="N51" s="14">
        <v>25</v>
      </c>
      <c r="O51" s="15">
        <f t="shared" si="27"/>
        <v>297.8</v>
      </c>
      <c r="P51" s="14">
        <f t="shared" si="28"/>
        <v>0.06859</v>
      </c>
      <c r="Q51" s="16">
        <f t="shared" si="29"/>
        <v>480.013397</v>
      </c>
      <c r="R51" s="14">
        <f t="shared" si="44"/>
        <v>430.44</v>
      </c>
      <c r="S51" s="16">
        <f t="shared" si="31"/>
        <v>49.5733969999999</v>
      </c>
      <c r="T51" s="14">
        <v>46</v>
      </c>
      <c r="U51" s="15">
        <f t="shared" si="32"/>
        <v>81.1304347826087</v>
      </c>
      <c r="V51" s="14">
        <f t="shared" si="33"/>
        <v>0.276355</v>
      </c>
      <c r="W51" s="16">
        <f t="shared" si="34"/>
        <v>969.4754484</v>
      </c>
      <c r="X51" s="14">
        <f t="shared" si="45"/>
        <v>758.46</v>
      </c>
      <c r="Y51" s="16">
        <f t="shared" si="36"/>
        <v>211.0154484</v>
      </c>
      <c r="Z51" s="17">
        <v>4</v>
      </c>
      <c r="AA51" s="17">
        <v>0</v>
      </c>
      <c r="AB51" s="17">
        <v>0</v>
      </c>
      <c r="AC51" s="17">
        <v>0</v>
      </c>
      <c r="AD51" s="16">
        <f t="shared" si="37"/>
        <v>165.504328492021</v>
      </c>
      <c r="AE51" s="18">
        <f t="shared" si="38"/>
        <v>-218.467705314243</v>
      </c>
      <c r="AF51" s="1">
        <f t="shared" si="39"/>
        <v>92</v>
      </c>
      <c r="AG51" s="1">
        <f>'[1]2'!BH26</f>
        <v>96</v>
      </c>
    </row>
    <row r="52" s="1" customFormat="1" spans="1:33">
      <c r="A52" s="9"/>
      <c r="B52" s="10"/>
      <c r="C52" s="10"/>
      <c r="D52" s="11"/>
      <c r="E52" s="12"/>
      <c r="F52" s="18">
        <v>80982</v>
      </c>
      <c r="G52" s="18">
        <v>166596</v>
      </c>
      <c r="H52" s="14"/>
      <c r="I52" s="14"/>
      <c r="J52" s="14"/>
      <c r="K52" s="15"/>
      <c r="L52" s="14"/>
      <c r="M52" s="16"/>
      <c r="N52" s="14"/>
      <c r="O52" s="15"/>
      <c r="P52" s="14"/>
      <c r="Q52" s="16"/>
      <c r="R52" s="14"/>
      <c r="S52" s="16"/>
      <c r="T52" s="14"/>
      <c r="U52" s="15"/>
      <c r="V52" s="14"/>
      <c r="W52" s="16"/>
      <c r="X52" s="14"/>
      <c r="Y52" s="16"/>
      <c r="Z52" s="17"/>
      <c r="AA52" s="17"/>
      <c r="AB52" s="17"/>
      <c r="AC52" s="17"/>
      <c r="AD52" s="16"/>
      <c r="AE52" s="18">
        <f>SUM(AE28:AE51)</f>
        <v>-3790.30853769739</v>
      </c>
    </row>
    <row r="53" s="1" customFormat="1" spans="1:33">
      <c r="A53" s="9">
        <v>46115</v>
      </c>
      <c r="B53" s="10" t="s">
        <v>32</v>
      </c>
      <c r="C53" s="10" t="s">
        <v>33</v>
      </c>
      <c r="D53" s="11" t="s">
        <v>34</v>
      </c>
      <c r="E53" s="12">
        <v>19525</v>
      </c>
      <c r="F53" s="12">
        <v>1290</v>
      </c>
      <c r="G53" s="13">
        <v>5239</v>
      </c>
      <c r="H53" s="14">
        <v>2</v>
      </c>
      <c r="I53" s="14">
        <f t="shared" ref="I53:I76" si="46">IF(H53=2,21.79+16000/30/24,25.75+12000/30/24*2+30000/30/24)</f>
        <v>44.0122222222222</v>
      </c>
      <c r="J53" s="14">
        <v>17</v>
      </c>
      <c r="K53" s="15">
        <f t="shared" ref="K53:K76" si="47">E53/J53</f>
        <v>1148.52941176471</v>
      </c>
      <c r="L53" s="14">
        <f t="shared" ref="L53:L59" si="48">J53*14.62+21</f>
        <v>269.54</v>
      </c>
      <c r="M53" s="16">
        <f t="shared" ref="M53:M76" si="49">0-L53</f>
        <v>-269.54</v>
      </c>
      <c r="N53" s="14">
        <v>25</v>
      </c>
      <c r="O53" s="15">
        <f t="shared" ref="O53:O76" si="50">G53/N53</f>
        <v>209.56</v>
      </c>
      <c r="P53" s="14">
        <f t="shared" ref="P53:P76" si="51">0.0722*0.95</f>
        <v>0.06859</v>
      </c>
      <c r="Q53" s="16">
        <f t="shared" ref="Q53:Q76" si="52">P53*G53*0.94</f>
        <v>337.7824294</v>
      </c>
      <c r="R53" s="14">
        <f t="shared" ref="R53:R59" si="53">(N53-13)*14.62+13*18+21</f>
        <v>430.44</v>
      </c>
      <c r="S53" s="16">
        <f t="shared" ref="S53:S76" si="54">Q53-R53</f>
        <v>-92.6575706</v>
      </c>
      <c r="T53" s="14">
        <v>46</v>
      </c>
      <c r="U53" s="15">
        <f t="shared" ref="U53:U76" si="55">F53/T53</f>
        <v>28.0434782608696</v>
      </c>
      <c r="V53" s="14">
        <f t="shared" ref="V53:V76" si="56">0.2909*0.95</f>
        <v>0.276355</v>
      </c>
      <c r="W53" s="16">
        <f t="shared" ref="W53:W76" si="57">V53*F53*0.94</f>
        <v>335.108073</v>
      </c>
      <c r="X53" s="14">
        <f t="shared" ref="X53:X76" si="58">(T53-13)*14.62+13*18+42</f>
        <v>758.46</v>
      </c>
      <c r="Y53" s="16">
        <f t="shared" ref="Y53:Y76" si="59">W53-X53</f>
        <v>-423.351927</v>
      </c>
      <c r="Z53" s="17">
        <v>4</v>
      </c>
      <c r="AA53" s="17">
        <v>3</v>
      </c>
      <c r="AB53" s="17">
        <v>0</v>
      </c>
      <c r="AC53" s="17">
        <v>1</v>
      </c>
      <c r="AD53" s="16">
        <f t="shared" ref="AD53:AD76" si="60">(Z53-1)*14.62+(9000/26/13)+(AA53-1)*14.54+7500/26/11+AB53*(4200/26/9)+AC53*(4000/26/11)</f>
        <v>139.777009144701</v>
      </c>
      <c r="AE53" s="18">
        <f t="shared" ref="AE53:AE76" si="61">M53+S53+Y53-I53-AD53</f>
        <v>-969.338728966924</v>
      </c>
      <c r="AF53" s="1">
        <f t="shared" ref="AF53:AF76" si="62">AB53+AA53+Z53+T53+N53+J53+AC53</f>
        <v>96</v>
      </c>
      <c r="AG53" s="1">
        <f>'[1]3'!BH3</f>
        <v>96</v>
      </c>
    </row>
    <row r="54" s="1" customFormat="1" spans="1:33">
      <c r="A54" s="9">
        <v>46115</v>
      </c>
      <c r="B54" s="10" t="s">
        <v>35</v>
      </c>
      <c r="C54" s="10" t="s">
        <v>33</v>
      </c>
      <c r="D54" s="11" t="s">
        <v>34</v>
      </c>
      <c r="E54" s="12">
        <v>2703</v>
      </c>
      <c r="F54" s="12">
        <v>4629</v>
      </c>
      <c r="G54" s="13">
        <v>13688</v>
      </c>
      <c r="H54" s="14">
        <v>2</v>
      </c>
      <c r="I54" s="14">
        <f t="shared" si="46"/>
        <v>44.0122222222222</v>
      </c>
      <c r="J54" s="14">
        <v>17</v>
      </c>
      <c r="K54" s="15">
        <f t="shared" si="47"/>
        <v>159</v>
      </c>
      <c r="L54" s="14">
        <f t="shared" si="48"/>
        <v>269.54</v>
      </c>
      <c r="M54" s="16">
        <f t="shared" si="49"/>
        <v>-269.54</v>
      </c>
      <c r="N54" s="14">
        <v>25</v>
      </c>
      <c r="O54" s="15">
        <f t="shared" si="50"/>
        <v>547.52</v>
      </c>
      <c r="P54" s="14">
        <f t="shared" si="51"/>
        <v>0.06859</v>
      </c>
      <c r="Q54" s="16">
        <f t="shared" si="52"/>
        <v>882.5283248</v>
      </c>
      <c r="R54" s="14">
        <f t="shared" si="53"/>
        <v>430.44</v>
      </c>
      <c r="S54" s="16">
        <f t="shared" si="54"/>
        <v>452.0883248</v>
      </c>
      <c r="T54" s="14">
        <v>46</v>
      </c>
      <c r="U54" s="15">
        <f t="shared" si="55"/>
        <v>100.630434782609</v>
      </c>
      <c r="V54" s="14">
        <f t="shared" si="56"/>
        <v>0.276355</v>
      </c>
      <c r="W54" s="16">
        <f t="shared" si="57"/>
        <v>1202.4924573</v>
      </c>
      <c r="X54" s="14">
        <f t="shared" si="58"/>
        <v>758.46</v>
      </c>
      <c r="Y54" s="16">
        <f t="shared" si="59"/>
        <v>444.0324573</v>
      </c>
      <c r="Z54" s="17">
        <v>4</v>
      </c>
      <c r="AA54" s="17">
        <v>3</v>
      </c>
      <c r="AB54" s="17">
        <v>0</v>
      </c>
      <c r="AC54" s="17">
        <v>1</v>
      </c>
      <c r="AD54" s="16">
        <f t="shared" si="60"/>
        <v>139.777009144701</v>
      </c>
      <c r="AE54" s="18">
        <f t="shared" si="61"/>
        <v>442.791550733076</v>
      </c>
      <c r="AF54" s="1">
        <f t="shared" si="62"/>
        <v>96</v>
      </c>
      <c r="AG54" s="1">
        <f>'[1]3'!BH4</f>
        <v>96</v>
      </c>
    </row>
    <row r="55" s="1" customFormat="1" spans="1:33">
      <c r="A55" s="9">
        <v>46115</v>
      </c>
      <c r="B55" s="10" t="s">
        <v>36</v>
      </c>
      <c r="C55" s="10" t="s">
        <v>33</v>
      </c>
      <c r="D55" s="11" t="s">
        <v>34</v>
      </c>
      <c r="E55" s="12">
        <v>0</v>
      </c>
      <c r="F55" s="12">
        <v>3244</v>
      </c>
      <c r="G55" s="13">
        <v>13096</v>
      </c>
      <c r="H55" s="14">
        <v>2</v>
      </c>
      <c r="I55" s="14">
        <f t="shared" si="46"/>
        <v>44.0122222222222</v>
      </c>
      <c r="J55" s="14">
        <v>17</v>
      </c>
      <c r="K55" s="15">
        <f t="shared" si="47"/>
        <v>0</v>
      </c>
      <c r="L55" s="14">
        <f t="shared" si="48"/>
        <v>269.54</v>
      </c>
      <c r="M55" s="16">
        <f t="shared" si="49"/>
        <v>-269.54</v>
      </c>
      <c r="N55" s="14">
        <v>25</v>
      </c>
      <c r="O55" s="15">
        <f t="shared" si="50"/>
        <v>523.84</v>
      </c>
      <c r="P55" s="14">
        <f t="shared" si="51"/>
        <v>0.06859</v>
      </c>
      <c r="Q55" s="16">
        <f t="shared" si="52"/>
        <v>844.3593616</v>
      </c>
      <c r="R55" s="14">
        <f t="shared" si="53"/>
        <v>430.44</v>
      </c>
      <c r="S55" s="16">
        <f t="shared" si="54"/>
        <v>413.9193616</v>
      </c>
      <c r="T55" s="14">
        <v>46</v>
      </c>
      <c r="U55" s="15">
        <f t="shared" si="55"/>
        <v>70.5217391304348</v>
      </c>
      <c r="V55" s="14">
        <f t="shared" si="56"/>
        <v>0.276355</v>
      </c>
      <c r="W55" s="16">
        <f t="shared" si="57"/>
        <v>842.7058828</v>
      </c>
      <c r="X55" s="14">
        <f t="shared" si="58"/>
        <v>758.46</v>
      </c>
      <c r="Y55" s="16">
        <f t="shared" si="59"/>
        <v>84.2458827999999</v>
      </c>
      <c r="Z55" s="17">
        <v>4</v>
      </c>
      <c r="AA55" s="17">
        <v>3</v>
      </c>
      <c r="AB55" s="17">
        <v>0</v>
      </c>
      <c r="AC55" s="17">
        <v>1</v>
      </c>
      <c r="AD55" s="16">
        <f t="shared" si="60"/>
        <v>139.777009144701</v>
      </c>
      <c r="AE55" s="18">
        <f t="shared" si="61"/>
        <v>44.8360130330762</v>
      </c>
      <c r="AF55" s="1">
        <f t="shared" si="62"/>
        <v>96</v>
      </c>
      <c r="AG55" s="1">
        <f>'[1]3'!BH5</f>
        <v>96</v>
      </c>
    </row>
    <row r="56" s="1" customFormat="1" spans="1:33">
      <c r="A56" s="9">
        <v>46115</v>
      </c>
      <c r="B56" s="10" t="s">
        <v>37</v>
      </c>
      <c r="C56" s="10" t="s">
        <v>33</v>
      </c>
      <c r="D56" s="11" t="s">
        <v>34</v>
      </c>
      <c r="E56" s="12">
        <v>4655</v>
      </c>
      <c r="F56" s="12">
        <v>4683</v>
      </c>
      <c r="G56" s="13">
        <v>7621</v>
      </c>
      <c r="H56" s="14">
        <v>2</v>
      </c>
      <c r="I56" s="14">
        <f t="shared" si="46"/>
        <v>44.0122222222222</v>
      </c>
      <c r="J56" s="14">
        <v>17</v>
      </c>
      <c r="K56" s="15">
        <f t="shared" si="47"/>
        <v>273.823529411765</v>
      </c>
      <c r="L56" s="14">
        <f t="shared" si="48"/>
        <v>269.54</v>
      </c>
      <c r="M56" s="16">
        <f t="shared" si="49"/>
        <v>-269.54</v>
      </c>
      <c r="N56" s="14">
        <v>18</v>
      </c>
      <c r="O56" s="15">
        <f t="shared" si="50"/>
        <v>423.388888888889</v>
      </c>
      <c r="P56" s="14">
        <f t="shared" si="51"/>
        <v>0.06859</v>
      </c>
      <c r="Q56" s="16">
        <f t="shared" si="52"/>
        <v>491.3609266</v>
      </c>
      <c r="R56" s="14">
        <f t="shared" si="53"/>
        <v>328.1</v>
      </c>
      <c r="S56" s="16">
        <f t="shared" si="54"/>
        <v>163.2609266</v>
      </c>
      <c r="T56" s="14">
        <v>53</v>
      </c>
      <c r="U56" s="15">
        <f t="shared" si="55"/>
        <v>88.3584905660377</v>
      </c>
      <c r="V56" s="14">
        <f t="shared" si="56"/>
        <v>0.276355</v>
      </c>
      <c r="W56" s="16">
        <f t="shared" si="57"/>
        <v>1216.5202371</v>
      </c>
      <c r="X56" s="14">
        <f t="shared" si="58"/>
        <v>860.8</v>
      </c>
      <c r="Y56" s="16">
        <f t="shared" si="59"/>
        <v>355.7202371</v>
      </c>
      <c r="Z56" s="17">
        <v>4</v>
      </c>
      <c r="AA56" s="17">
        <v>3</v>
      </c>
      <c r="AB56" s="17">
        <v>0</v>
      </c>
      <c r="AC56" s="17">
        <v>1</v>
      </c>
      <c r="AD56" s="16">
        <f t="shared" si="60"/>
        <v>139.777009144701</v>
      </c>
      <c r="AE56" s="18">
        <f t="shared" si="61"/>
        <v>65.6519323330762</v>
      </c>
      <c r="AF56" s="1">
        <f t="shared" si="62"/>
        <v>96</v>
      </c>
      <c r="AG56" s="1">
        <f>'[1]3'!BH6</f>
        <v>96</v>
      </c>
    </row>
    <row r="57" s="1" customFormat="1" spans="1:33">
      <c r="A57" s="9">
        <v>46115</v>
      </c>
      <c r="B57" s="10" t="s">
        <v>38</v>
      </c>
      <c r="C57" s="10" t="s">
        <v>33</v>
      </c>
      <c r="D57" s="11" t="s">
        <v>34</v>
      </c>
      <c r="E57" s="12">
        <v>33</v>
      </c>
      <c r="F57" s="12">
        <v>5097</v>
      </c>
      <c r="G57" s="13">
        <v>8873</v>
      </c>
      <c r="H57" s="14">
        <v>2</v>
      </c>
      <c r="I57" s="14">
        <f t="shared" si="46"/>
        <v>44.0122222222222</v>
      </c>
      <c r="J57" s="14">
        <v>17</v>
      </c>
      <c r="K57" s="15">
        <f t="shared" si="47"/>
        <v>1.94117647058824</v>
      </c>
      <c r="L57" s="14">
        <f t="shared" si="48"/>
        <v>269.54</v>
      </c>
      <c r="M57" s="16">
        <f t="shared" si="49"/>
        <v>-269.54</v>
      </c>
      <c r="N57" s="14">
        <v>25</v>
      </c>
      <c r="O57" s="15">
        <f t="shared" si="50"/>
        <v>354.92</v>
      </c>
      <c r="P57" s="14">
        <f t="shared" si="51"/>
        <v>0.06859</v>
      </c>
      <c r="Q57" s="16">
        <f t="shared" si="52"/>
        <v>572.0831258</v>
      </c>
      <c r="R57" s="14">
        <f t="shared" si="53"/>
        <v>430.44</v>
      </c>
      <c r="S57" s="16">
        <f t="shared" si="54"/>
        <v>141.6431258</v>
      </c>
      <c r="T57" s="14">
        <v>46</v>
      </c>
      <c r="U57" s="15">
        <f t="shared" si="55"/>
        <v>110.804347826087</v>
      </c>
      <c r="V57" s="14">
        <f t="shared" si="56"/>
        <v>0.276355</v>
      </c>
      <c r="W57" s="16">
        <f t="shared" si="57"/>
        <v>1324.0665489</v>
      </c>
      <c r="X57" s="14">
        <f t="shared" si="58"/>
        <v>758.46</v>
      </c>
      <c r="Y57" s="16">
        <f t="shared" si="59"/>
        <v>565.6065489</v>
      </c>
      <c r="Z57" s="17">
        <v>4</v>
      </c>
      <c r="AA57" s="17">
        <v>3</v>
      </c>
      <c r="AB57" s="17">
        <v>0</v>
      </c>
      <c r="AC57" s="17">
        <v>1</v>
      </c>
      <c r="AD57" s="16">
        <f t="shared" si="60"/>
        <v>139.777009144701</v>
      </c>
      <c r="AE57" s="18">
        <f t="shared" si="61"/>
        <v>253.920443333076</v>
      </c>
      <c r="AF57" s="1">
        <f t="shared" si="62"/>
        <v>96</v>
      </c>
      <c r="AG57" s="1">
        <f>'[1]3'!BH7</f>
        <v>96</v>
      </c>
    </row>
    <row r="58" s="1" customFormat="1" spans="1:33">
      <c r="A58" s="9">
        <v>46115</v>
      </c>
      <c r="B58" s="10" t="s">
        <v>39</v>
      </c>
      <c r="C58" s="10" t="s">
        <v>33</v>
      </c>
      <c r="D58" s="11" t="s">
        <v>34</v>
      </c>
      <c r="E58" s="12">
        <v>228</v>
      </c>
      <c r="F58" s="12">
        <v>2951</v>
      </c>
      <c r="G58" s="13">
        <v>8759</v>
      </c>
      <c r="H58" s="14">
        <v>2</v>
      </c>
      <c r="I58" s="14">
        <f t="shared" si="46"/>
        <v>44.0122222222222</v>
      </c>
      <c r="J58" s="14">
        <v>17</v>
      </c>
      <c r="K58" s="15">
        <f t="shared" si="47"/>
        <v>13.4117647058824</v>
      </c>
      <c r="L58" s="14">
        <f t="shared" si="48"/>
        <v>269.54</v>
      </c>
      <c r="M58" s="16">
        <f t="shared" si="49"/>
        <v>-269.54</v>
      </c>
      <c r="N58" s="14">
        <v>25</v>
      </c>
      <c r="O58" s="15">
        <f t="shared" si="50"/>
        <v>350.36</v>
      </c>
      <c r="P58" s="14">
        <f t="shared" si="51"/>
        <v>0.06859</v>
      </c>
      <c r="Q58" s="16">
        <f t="shared" si="52"/>
        <v>564.7330214</v>
      </c>
      <c r="R58" s="14">
        <f t="shared" si="53"/>
        <v>430.44</v>
      </c>
      <c r="S58" s="16">
        <f t="shared" si="54"/>
        <v>134.2930214</v>
      </c>
      <c r="T58" s="14">
        <v>46</v>
      </c>
      <c r="U58" s="15">
        <f t="shared" si="55"/>
        <v>64.1521739130435</v>
      </c>
      <c r="V58" s="14">
        <f t="shared" si="56"/>
        <v>0.276355</v>
      </c>
      <c r="W58" s="16">
        <f t="shared" si="57"/>
        <v>766.5921887</v>
      </c>
      <c r="X58" s="14">
        <f t="shared" si="58"/>
        <v>758.46</v>
      </c>
      <c r="Y58" s="16">
        <f t="shared" si="59"/>
        <v>8.1321886999998</v>
      </c>
      <c r="Z58" s="17">
        <v>4</v>
      </c>
      <c r="AA58" s="17">
        <v>3</v>
      </c>
      <c r="AB58" s="17">
        <v>0</v>
      </c>
      <c r="AC58" s="17">
        <v>1</v>
      </c>
      <c r="AD58" s="16">
        <f t="shared" si="60"/>
        <v>139.777009144701</v>
      </c>
      <c r="AE58" s="18">
        <f t="shared" si="61"/>
        <v>-310.904021266924</v>
      </c>
      <c r="AF58" s="1">
        <f t="shared" si="62"/>
        <v>96</v>
      </c>
      <c r="AG58" s="1">
        <f>'[1]3'!BH8</f>
        <v>96</v>
      </c>
    </row>
    <row r="59" s="1" customFormat="1" spans="1:33">
      <c r="A59" s="9">
        <v>46115</v>
      </c>
      <c r="B59" s="10" t="s">
        <v>40</v>
      </c>
      <c r="C59" s="10" t="s">
        <v>33</v>
      </c>
      <c r="D59" s="11" t="s">
        <v>34</v>
      </c>
      <c r="E59" s="12">
        <v>624</v>
      </c>
      <c r="F59" s="12">
        <v>882</v>
      </c>
      <c r="G59" s="13">
        <v>312</v>
      </c>
      <c r="H59" s="14">
        <v>2</v>
      </c>
      <c r="I59" s="14">
        <f t="shared" si="46"/>
        <v>44.0122222222222</v>
      </c>
      <c r="J59" s="14">
        <v>17</v>
      </c>
      <c r="K59" s="15">
        <f t="shared" si="47"/>
        <v>36.7058823529412</v>
      </c>
      <c r="L59" s="14">
        <f t="shared" si="48"/>
        <v>269.54</v>
      </c>
      <c r="M59" s="16">
        <f t="shared" si="49"/>
        <v>-269.54</v>
      </c>
      <c r="N59" s="14">
        <v>25</v>
      </c>
      <c r="O59" s="15">
        <f t="shared" si="50"/>
        <v>12.48</v>
      </c>
      <c r="P59" s="14">
        <f t="shared" si="51"/>
        <v>0.06859</v>
      </c>
      <c r="Q59" s="16">
        <f t="shared" si="52"/>
        <v>20.1160752</v>
      </c>
      <c r="R59" s="14">
        <f t="shared" si="53"/>
        <v>430.44</v>
      </c>
      <c r="S59" s="16">
        <f t="shared" si="54"/>
        <v>-410.3239248</v>
      </c>
      <c r="T59" s="14">
        <v>46</v>
      </c>
      <c r="U59" s="15">
        <f t="shared" si="55"/>
        <v>19.1739130434783</v>
      </c>
      <c r="V59" s="14">
        <f t="shared" si="56"/>
        <v>0.276355</v>
      </c>
      <c r="W59" s="16">
        <f t="shared" si="57"/>
        <v>229.1204034</v>
      </c>
      <c r="X59" s="14">
        <f t="shared" si="58"/>
        <v>758.46</v>
      </c>
      <c r="Y59" s="16">
        <f t="shared" si="59"/>
        <v>-529.3395966</v>
      </c>
      <c r="Z59" s="17">
        <v>4</v>
      </c>
      <c r="AA59" s="17">
        <v>3</v>
      </c>
      <c r="AB59" s="17">
        <v>0</v>
      </c>
      <c r="AC59" s="17">
        <v>1</v>
      </c>
      <c r="AD59" s="16">
        <f t="shared" si="60"/>
        <v>139.777009144701</v>
      </c>
      <c r="AE59" s="18">
        <f t="shared" si="61"/>
        <v>-1392.99275276692</v>
      </c>
      <c r="AF59" s="1">
        <f t="shared" si="62"/>
        <v>96</v>
      </c>
      <c r="AG59" s="1">
        <f>'[1]3'!BH9</f>
        <v>96</v>
      </c>
    </row>
    <row r="60" s="1" customFormat="1" spans="1:33">
      <c r="A60" s="9">
        <v>46115</v>
      </c>
      <c r="B60" s="10" t="s">
        <v>41</v>
      </c>
      <c r="C60" s="10" t="s">
        <v>42</v>
      </c>
      <c r="D60" s="11" t="s">
        <v>34</v>
      </c>
      <c r="E60" s="12">
        <v>4202</v>
      </c>
      <c r="F60" s="12">
        <v>2590</v>
      </c>
      <c r="G60" s="13">
        <v>112</v>
      </c>
      <c r="H60" s="14">
        <v>4</v>
      </c>
      <c r="I60" s="14">
        <f t="shared" si="46"/>
        <v>100.75</v>
      </c>
      <c r="J60" s="14">
        <v>9</v>
      </c>
      <c r="K60" s="15">
        <f t="shared" si="47"/>
        <v>466.888888888889</v>
      </c>
      <c r="L60" s="14">
        <f t="shared" ref="L60:L70" si="63">J60*14.54+21</f>
        <v>151.86</v>
      </c>
      <c r="M60" s="16">
        <f t="shared" si="49"/>
        <v>-151.86</v>
      </c>
      <c r="N60" s="14">
        <v>16</v>
      </c>
      <c r="O60" s="15">
        <f t="shared" si="50"/>
        <v>7</v>
      </c>
      <c r="P60" s="14">
        <f t="shared" si="51"/>
        <v>0.06859</v>
      </c>
      <c r="Q60" s="16">
        <f t="shared" si="52"/>
        <v>7.2211552</v>
      </c>
      <c r="R60" s="14">
        <f t="shared" ref="R60:R70" si="64">N60*14.54+21</f>
        <v>253.64</v>
      </c>
      <c r="S60" s="16">
        <f t="shared" si="54"/>
        <v>-246.4188448</v>
      </c>
      <c r="T60" s="14">
        <v>33</v>
      </c>
      <c r="U60" s="15">
        <f t="shared" si="55"/>
        <v>78.4848484848485</v>
      </c>
      <c r="V60" s="14">
        <f t="shared" si="56"/>
        <v>0.276355</v>
      </c>
      <c r="W60" s="16">
        <f t="shared" si="57"/>
        <v>672.813883</v>
      </c>
      <c r="X60" s="14">
        <f t="shared" si="58"/>
        <v>568.4</v>
      </c>
      <c r="Y60" s="16">
        <f t="shared" si="59"/>
        <v>104.413883</v>
      </c>
      <c r="Z60" s="17">
        <v>0</v>
      </c>
      <c r="AA60" s="17">
        <v>2</v>
      </c>
      <c r="AB60" s="17">
        <v>2</v>
      </c>
      <c r="AC60" s="17">
        <v>1</v>
      </c>
      <c r="AD60" s="16">
        <f t="shared" si="60"/>
        <v>102.654445042137</v>
      </c>
      <c r="AE60" s="18">
        <f t="shared" si="61"/>
        <v>-497.269406842137</v>
      </c>
      <c r="AF60" s="1">
        <f t="shared" si="62"/>
        <v>63</v>
      </c>
      <c r="AG60" s="1">
        <f>'[1]3'!BH10</f>
        <v>63</v>
      </c>
    </row>
    <row r="61" s="1" customFormat="1" spans="1:33">
      <c r="A61" s="9">
        <v>46115</v>
      </c>
      <c r="B61" s="10" t="s">
        <v>43</v>
      </c>
      <c r="C61" s="10" t="s">
        <v>42</v>
      </c>
      <c r="D61" s="11" t="s">
        <v>34</v>
      </c>
      <c r="E61" s="12">
        <v>2111</v>
      </c>
      <c r="F61" s="12">
        <v>2514</v>
      </c>
      <c r="G61" s="13">
        <v>6872</v>
      </c>
      <c r="H61" s="14">
        <v>4</v>
      </c>
      <c r="I61" s="14">
        <f t="shared" si="46"/>
        <v>100.75</v>
      </c>
      <c r="J61" s="14">
        <v>9</v>
      </c>
      <c r="K61" s="15">
        <f t="shared" si="47"/>
        <v>234.555555555556</v>
      </c>
      <c r="L61" s="14">
        <f t="shared" si="63"/>
        <v>151.86</v>
      </c>
      <c r="M61" s="16">
        <f t="shared" si="49"/>
        <v>-151.86</v>
      </c>
      <c r="N61" s="14">
        <v>16</v>
      </c>
      <c r="O61" s="15">
        <f t="shared" si="50"/>
        <v>429.5</v>
      </c>
      <c r="P61" s="14">
        <f t="shared" si="51"/>
        <v>0.06859</v>
      </c>
      <c r="Q61" s="16">
        <f t="shared" si="52"/>
        <v>443.0694512</v>
      </c>
      <c r="R61" s="14">
        <f t="shared" si="64"/>
        <v>253.64</v>
      </c>
      <c r="S61" s="16">
        <f t="shared" si="54"/>
        <v>189.4294512</v>
      </c>
      <c r="T61" s="14">
        <v>33</v>
      </c>
      <c r="U61" s="15">
        <f t="shared" si="55"/>
        <v>76.1818181818182</v>
      </c>
      <c r="V61" s="14">
        <f t="shared" si="56"/>
        <v>0.276355</v>
      </c>
      <c r="W61" s="16">
        <f t="shared" si="57"/>
        <v>653.0710818</v>
      </c>
      <c r="X61" s="14">
        <f t="shared" si="58"/>
        <v>568.4</v>
      </c>
      <c r="Y61" s="16">
        <f t="shared" si="59"/>
        <v>84.6710817999999</v>
      </c>
      <c r="Z61" s="17">
        <v>0</v>
      </c>
      <c r="AA61" s="17">
        <v>2</v>
      </c>
      <c r="AB61" s="17">
        <v>2</v>
      </c>
      <c r="AC61" s="17">
        <v>1</v>
      </c>
      <c r="AD61" s="16">
        <f t="shared" si="60"/>
        <v>102.654445042137</v>
      </c>
      <c r="AE61" s="18">
        <f t="shared" si="61"/>
        <v>-81.1639120421374</v>
      </c>
      <c r="AF61" s="1">
        <f t="shared" si="62"/>
        <v>63</v>
      </c>
      <c r="AG61" s="1">
        <f>'[1]3'!BH11</f>
        <v>63</v>
      </c>
    </row>
    <row r="62" s="1" customFormat="1" spans="1:33">
      <c r="A62" s="9">
        <v>46115</v>
      </c>
      <c r="B62" s="10" t="s">
        <v>44</v>
      </c>
      <c r="C62" s="10" t="s">
        <v>42</v>
      </c>
      <c r="D62" s="11" t="s">
        <v>34</v>
      </c>
      <c r="E62" s="12">
        <v>0</v>
      </c>
      <c r="F62" s="12">
        <v>809</v>
      </c>
      <c r="G62" s="13">
        <v>3029</v>
      </c>
      <c r="H62" s="14">
        <v>4</v>
      </c>
      <c r="I62" s="14">
        <f t="shared" si="46"/>
        <v>100.75</v>
      </c>
      <c r="J62" s="14">
        <v>12</v>
      </c>
      <c r="K62" s="15">
        <f t="shared" si="47"/>
        <v>0</v>
      </c>
      <c r="L62" s="14">
        <f t="shared" si="63"/>
        <v>195.48</v>
      </c>
      <c r="M62" s="16">
        <f t="shared" si="49"/>
        <v>-195.48</v>
      </c>
      <c r="N62" s="14">
        <v>18</v>
      </c>
      <c r="O62" s="15">
        <f t="shared" si="50"/>
        <v>168.277777777778</v>
      </c>
      <c r="P62" s="14">
        <f t="shared" si="51"/>
        <v>0.06859</v>
      </c>
      <c r="Q62" s="16">
        <f t="shared" si="52"/>
        <v>195.2935634</v>
      </c>
      <c r="R62" s="14">
        <f t="shared" si="64"/>
        <v>282.72</v>
      </c>
      <c r="S62" s="16">
        <f t="shared" si="54"/>
        <v>-87.4264366</v>
      </c>
      <c r="T62" s="14">
        <v>28</v>
      </c>
      <c r="U62" s="15">
        <f t="shared" si="55"/>
        <v>28.8928571428571</v>
      </c>
      <c r="V62" s="14">
        <f t="shared" si="56"/>
        <v>0.276355</v>
      </c>
      <c r="W62" s="16">
        <f t="shared" si="57"/>
        <v>210.1569233</v>
      </c>
      <c r="X62" s="14">
        <f t="shared" si="58"/>
        <v>495.3</v>
      </c>
      <c r="Y62" s="16">
        <f t="shared" si="59"/>
        <v>-285.1430767</v>
      </c>
      <c r="Z62" s="17">
        <v>0</v>
      </c>
      <c r="AA62" s="17">
        <v>2</v>
      </c>
      <c r="AB62" s="17">
        <v>2</v>
      </c>
      <c r="AC62" s="17">
        <v>1</v>
      </c>
      <c r="AD62" s="16">
        <f t="shared" si="60"/>
        <v>102.654445042137</v>
      </c>
      <c r="AE62" s="18">
        <f t="shared" si="61"/>
        <v>-771.453958342137</v>
      </c>
      <c r="AF62" s="1">
        <f t="shared" si="62"/>
        <v>63</v>
      </c>
      <c r="AG62" s="1">
        <f>'[1]3'!BH12</f>
        <v>63</v>
      </c>
    </row>
    <row r="63" s="1" customFormat="1" spans="1:33">
      <c r="A63" s="9">
        <v>46115</v>
      </c>
      <c r="B63" s="10" t="s">
        <v>45</v>
      </c>
      <c r="C63" s="10" t="s">
        <v>42</v>
      </c>
      <c r="D63" s="11" t="s">
        <v>34</v>
      </c>
      <c r="E63" s="12">
        <v>2075</v>
      </c>
      <c r="F63" s="12">
        <v>2197</v>
      </c>
      <c r="G63" s="13">
        <v>7780</v>
      </c>
      <c r="H63" s="14">
        <v>4</v>
      </c>
      <c r="I63" s="14">
        <f t="shared" si="46"/>
        <v>100.75</v>
      </c>
      <c r="J63" s="14">
        <v>12</v>
      </c>
      <c r="K63" s="15">
        <f t="shared" si="47"/>
        <v>172.916666666667</v>
      </c>
      <c r="L63" s="14">
        <f t="shared" si="63"/>
        <v>195.48</v>
      </c>
      <c r="M63" s="16">
        <f t="shared" si="49"/>
        <v>-195.48</v>
      </c>
      <c r="N63" s="14">
        <v>18</v>
      </c>
      <c r="O63" s="15">
        <f t="shared" si="50"/>
        <v>432.222222222222</v>
      </c>
      <c r="P63" s="14">
        <f t="shared" si="51"/>
        <v>0.06859</v>
      </c>
      <c r="Q63" s="16">
        <f t="shared" si="52"/>
        <v>501.612388</v>
      </c>
      <c r="R63" s="14">
        <f t="shared" si="64"/>
        <v>282.72</v>
      </c>
      <c r="S63" s="16">
        <f t="shared" si="54"/>
        <v>218.892388</v>
      </c>
      <c r="T63" s="14">
        <v>28</v>
      </c>
      <c r="U63" s="15">
        <f t="shared" si="55"/>
        <v>78.4642857142857</v>
      </c>
      <c r="V63" s="14">
        <f t="shared" si="56"/>
        <v>0.276355</v>
      </c>
      <c r="W63" s="16">
        <f t="shared" si="57"/>
        <v>570.7228189</v>
      </c>
      <c r="X63" s="14">
        <f t="shared" si="58"/>
        <v>495.3</v>
      </c>
      <c r="Y63" s="16">
        <f t="shared" si="59"/>
        <v>75.4228188999999</v>
      </c>
      <c r="Z63" s="17">
        <v>0</v>
      </c>
      <c r="AA63" s="17">
        <v>2</v>
      </c>
      <c r="AB63" s="17">
        <v>2</v>
      </c>
      <c r="AC63" s="17">
        <v>1</v>
      </c>
      <c r="AD63" s="16">
        <f t="shared" si="60"/>
        <v>102.654445042137</v>
      </c>
      <c r="AE63" s="18">
        <f t="shared" si="61"/>
        <v>-104.569238142137</v>
      </c>
      <c r="AF63" s="1">
        <f t="shared" si="62"/>
        <v>63</v>
      </c>
      <c r="AG63" s="1">
        <f>'[1]3'!BH13</f>
        <v>63</v>
      </c>
    </row>
    <row r="64" s="1" customFormat="1" spans="1:33">
      <c r="A64" s="9">
        <v>46115</v>
      </c>
      <c r="B64" s="10" t="s">
        <v>46</v>
      </c>
      <c r="C64" s="10" t="s">
        <v>42</v>
      </c>
      <c r="D64" s="10" t="s">
        <v>47</v>
      </c>
      <c r="E64" s="12">
        <v>10832</v>
      </c>
      <c r="F64" s="12">
        <v>2252</v>
      </c>
      <c r="G64" s="13">
        <v>4041</v>
      </c>
      <c r="H64" s="14">
        <v>4</v>
      </c>
      <c r="I64" s="14">
        <f t="shared" si="46"/>
        <v>100.75</v>
      </c>
      <c r="J64" s="14">
        <v>15</v>
      </c>
      <c r="K64" s="15">
        <f t="shared" si="47"/>
        <v>722.133333333333</v>
      </c>
      <c r="L64" s="14">
        <f t="shared" si="63"/>
        <v>239.1</v>
      </c>
      <c r="M64" s="16">
        <f t="shared" si="49"/>
        <v>-239.1</v>
      </c>
      <c r="N64" s="14">
        <v>20</v>
      </c>
      <c r="O64" s="15">
        <f t="shared" si="50"/>
        <v>202.05</v>
      </c>
      <c r="P64" s="14">
        <f t="shared" si="51"/>
        <v>0.06859</v>
      </c>
      <c r="Q64" s="16">
        <f t="shared" si="52"/>
        <v>260.5418586</v>
      </c>
      <c r="R64" s="14">
        <f t="shared" si="64"/>
        <v>311.8</v>
      </c>
      <c r="S64" s="16">
        <f t="shared" si="54"/>
        <v>-51.2581413999999</v>
      </c>
      <c r="T64" s="14">
        <v>31</v>
      </c>
      <c r="U64" s="15">
        <f t="shared" si="55"/>
        <v>72.6451612903226</v>
      </c>
      <c r="V64" s="14">
        <f t="shared" si="56"/>
        <v>0.276355</v>
      </c>
      <c r="W64" s="16">
        <f t="shared" si="57"/>
        <v>585.0103724</v>
      </c>
      <c r="X64" s="14">
        <f t="shared" si="58"/>
        <v>539.16</v>
      </c>
      <c r="Y64" s="16">
        <f t="shared" si="59"/>
        <v>45.8503723999999</v>
      </c>
      <c r="Z64" s="17">
        <v>0</v>
      </c>
      <c r="AA64" s="17">
        <v>2</v>
      </c>
      <c r="AB64" s="17">
        <v>2</v>
      </c>
      <c r="AC64" s="17">
        <v>1</v>
      </c>
      <c r="AD64" s="16">
        <f t="shared" si="60"/>
        <v>102.654445042137</v>
      </c>
      <c r="AE64" s="18">
        <f t="shared" si="61"/>
        <v>-447.912214042137</v>
      </c>
      <c r="AF64" s="1">
        <f t="shared" si="62"/>
        <v>71</v>
      </c>
      <c r="AG64" s="1">
        <f>'[1]3'!BH14</f>
        <v>71</v>
      </c>
    </row>
    <row r="65" s="1" customFormat="1" spans="1:33">
      <c r="A65" s="9">
        <v>46115</v>
      </c>
      <c r="B65" s="10" t="s">
        <v>48</v>
      </c>
      <c r="C65" s="10" t="s">
        <v>42</v>
      </c>
      <c r="D65" s="10" t="s">
        <v>49</v>
      </c>
      <c r="E65" s="12">
        <v>7393</v>
      </c>
      <c r="F65" s="12">
        <v>7628</v>
      </c>
      <c r="G65" s="13">
        <v>48</v>
      </c>
      <c r="H65" s="14">
        <v>4</v>
      </c>
      <c r="I65" s="14">
        <f t="shared" si="46"/>
        <v>100.75</v>
      </c>
      <c r="J65" s="14">
        <v>19</v>
      </c>
      <c r="K65" s="15">
        <f t="shared" si="47"/>
        <v>389.105263157895</v>
      </c>
      <c r="L65" s="14">
        <f t="shared" si="63"/>
        <v>297.26</v>
      </c>
      <c r="M65" s="16">
        <f t="shared" si="49"/>
        <v>-297.26</v>
      </c>
      <c r="N65" s="14">
        <v>4</v>
      </c>
      <c r="O65" s="15">
        <f t="shared" si="50"/>
        <v>12</v>
      </c>
      <c r="P65" s="14">
        <f t="shared" si="51"/>
        <v>0.06859</v>
      </c>
      <c r="Q65" s="16">
        <f t="shared" si="52"/>
        <v>3.0947808</v>
      </c>
      <c r="R65" s="14">
        <f t="shared" si="64"/>
        <v>79.16</v>
      </c>
      <c r="S65" s="16">
        <f t="shared" si="54"/>
        <v>-76.0652192</v>
      </c>
      <c r="T65" s="14">
        <v>43</v>
      </c>
      <c r="U65" s="15">
        <f t="shared" si="55"/>
        <v>177.395348837209</v>
      </c>
      <c r="V65" s="14">
        <f t="shared" si="56"/>
        <v>0.276355</v>
      </c>
      <c r="W65" s="16">
        <f t="shared" si="57"/>
        <v>1981.5537836</v>
      </c>
      <c r="X65" s="14">
        <f t="shared" si="58"/>
        <v>714.6</v>
      </c>
      <c r="Y65" s="16">
        <f t="shared" si="59"/>
        <v>1266.9537836</v>
      </c>
      <c r="Z65" s="17">
        <v>0</v>
      </c>
      <c r="AA65" s="17">
        <v>2</v>
      </c>
      <c r="AB65" s="17">
        <v>2</v>
      </c>
      <c r="AC65" s="17">
        <v>1</v>
      </c>
      <c r="AD65" s="16">
        <f t="shared" si="60"/>
        <v>102.654445042137</v>
      </c>
      <c r="AE65" s="18">
        <f t="shared" si="61"/>
        <v>690.224119357862</v>
      </c>
      <c r="AF65" s="1">
        <f t="shared" si="62"/>
        <v>71</v>
      </c>
      <c r="AG65" s="1">
        <f>'[1]3'!BH15</f>
        <v>71</v>
      </c>
    </row>
    <row r="66" s="1" customFormat="1" spans="1:33">
      <c r="A66" s="9">
        <v>46115</v>
      </c>
      <c r="B66" s="10" t="s">
        <v>50</v>
      </c>
      <c r="C66" s="10" t="s">
        <v>42</v>
      </c>
      <c r="D66" s="10" t="s">
        <v>49</v>
      </c>
      <c r="E66" s="12">
        <v>9205</v>
      </c>
      <c r="F66" s="12">
        <v>4560</v>
      </c>
      <c r="G66" s="13">
        <v>4912</v>
      </c>
      <c r="H66" s="14">
        <v>4</v>
      </c>
      <c r="I66" s="14">
        <f t="shared" si="46"/>
        <v>100.75</v>
      </c>
      <c r="J66" s="14">
        <v>12</v>
      </c>
      <c r="K66" s="15">
        <f t="shared" si="47"/>
        <v>767.083333333333</v>
      </c>
      <c r="L66" s="14">
        <f t="shared" si="63"/>
        <v>195.48</v>
      </c>
      <c r="M66" s="16">
        <f t="shared" si="49"/>
        <v>-195.48</v>
      </c>
      <c r="N66" s="14">
        <v>23</v>
      </c>
      <c r="O66" s="15">
        <f t="shared" si="50"/>
        <v>213.565217391304</v>
      </c>
      <c r="P66" s="14">
        <f t="shared" si="51"/>
        <v>0.06859</v>
      </c>
      <c r="Q66" s="16">
        <f t="shared" si="52"/>
        <v>316.6992352</v>
      </c>
      <c r="R66" s="14">
        <f t="shared" si="64"/>
        <v>355.42</v>
      </c>
      <c r="S66" s="16">
        <f t="shared" si="54"/>
        <v>-38.7207648</v>
      </c>
      <c r="T66" s="14">
        <v>31</v>
      </c>
      <c r="U66" s="15">
        <f t="shared" si="55"/>
        <v>147.096774193548</v>
      </c>
      <c r="V66" s="14">
        <f t="shared" si="56"/>
        <v>0.276355</v>
      </c>
      <c r="W66" s="16">
        <f t="shared" si="57"/>
        <v>1184.568072</v>
      </c>
      <c r="X66" s="14">
        <f t="shared" si="58"/>
        <v>539.16</v>
      </c>
      <c r="Y66" s="16">
        <f t="shared" si="59"/>
        <v>645.408072</v>
      </c>
      <c r="Z66" s="17">
        <v>0</v>
      </c>
      <c r="AA66" s="17">
        <v>2</v>
      </c>
      <c r="AB66" s="17">
        <v>2</v>
      </c>
      <c r="AC66" s="17">
        <v>1</v>
      </c>
      <c r="AD66" s="16">
        <f t="shared" si="60"/>
        <v>102.654445042137</v>
      </c>
      <c r="AE66" s="18">
        <f t="shared" si="61"/>
        <v>207.802862157862</v>
      </c>
      <c r="AF66" s="1">
        <f t="shared" si="62"/>
        <v>71</v>
      </c>
      <c r="AG66" s="1">
        <f>'[1]3'!BH16</f>
        <v>71</v>
      </c>
    </row>
    <row r="67" s="1" customFormat="1" spans="1:33">
      <c r="A67" s="9">
        <v>46115</v>
      </c>
      <c r="B67" s="10" t="s">
        <v>51</v>
      </c>
      <c r="C67" s="10" t="s">
        <v>42</v>
      </c>
      <c r="D67" s="10" t="s">
        <v>49</v>
      </c>
      <c r="E67" s="12">
        <v>5625</v>
      </c>
      <c r="F67" s="12">
        <v>1607</v>
      </c>
      <c r="G67" s="13">
        <v>8598</v>
      </c>
      <c r="H67" s="14">
        <v>4</v>
      </c>
      <c r="I67" s="14">
        <f t="shared" si="46"/>
        <v>100.75</v>
      </c>
      <c r="J67" s="14">
        <v>12</v>
      </c>
      <c r="K67" s="15">
        <f t="shared" si="47"/>
        <v>468.75</v>
      </c>
      <c r="L67" s="14">
        <f t="shared" si="63"/>
        <v>195.48</v>
      </c>
      <c r="M67" s="16">
        <f t="shared" si="49"/>
        <v>-195.48</v>
      </c>
      <c r="N67" s="14">
        <v>23</v>
      </c>
      <c r="O67" s="15">
        <f t="shared" si="50"/>
        <v>373.826086956522</v>
      </c>
      <c r="P67" s="14">
        <f t="shared" si="51"/>
        <v>0.06859</v>
      </c>
      <c r="Q67" s="16">
        <f t="shared" si="52"/>
        <v>554.3526108</v>
      </c>
      <c r="R67" s="14">
        <f t="shared" si="64"/>
        <v>355.42</v>
      </c>
      <c r="S67" s="16">
        <f t="shared" si="54"/>
        <v>198.9326108</v>
      </c>
      <c r="T67" s="14">
        <v>31</v>
      </c>
      <c r="U67" s="15">
        <f t="shared" si="55"/>
        <v>51.8387096774194</v>
      </c>
      <c r="V67" s="14">
        <f t="shared" si="56"/>
        <v>0.276355</v>
      </c>
      <c r="W67" s="16">
        <f t="shared" si="57"/>
        <v>417.4563359</v>
      </c>
      <c r="X67" s="14">
        <f t="shared" si="58"/>
        <v>539.16</v>
      </c>
      <c r="Y67" s="16">
        <f t="shared" si="59"/>
        <v>-121.7036641</v>
      </c>
      <c r="Z67" s="17">
        <v>0</v>
      </c>
      <c r="AA67" s="17">
        <v>2</v>
      </c>
      <c r="AB67" s="17">
        <v>2</v>
      </c>
      <c r="AC67" s="17">
        <v>1</v>
      </c>
      <c r="AD67" s="16">
        <f t="shared" si="60"/>
        <v>102.654445042137</v>
      </c>
      <c r="AE67" s="18">
        <f t="shared" si="61"/>
        <v>-321.655498342137</v>
      </c>
      <c r="AF67" s="1">
        <f t="shared" si="62"/>
        <v>71</v>
      </c>
      <c r="AG67" s="1">
        <f>'[1]3'!BH17</f>
        <v>71</v>
      </c>
    </row>
    <row r="68" s="1" customFormat="1" spans="1:33">
      <c r="A68" s="9">
        <v>46115</v>
      </c>
      <c r="B68" s="10" t="s">
        <v>52</v>
      </c>
      <c r="C68" s="10" t="s">
        <v>42</v>
      </c>
      <c r="D68" s="11" t="s">
        <v>34</v>
      </c>
      <c r="E68" s="12">
        <v>0</v>
      </c>
      <c r="F68" s="12">
        <v>3839</v>
      </c>
      <c r="G68" s="13">
        <v>10763</v>
      </c>
      <c r="H68" s="14">
        <v>4</v>
      </c>
      <c r="I68" s="14">
        <f t="shared" si="46"/>
        <v>100.75</v>
      </c>
      <c r="J68" s="14">
        <v>12</v>
      </c>
      <c r="K68" s="15">
        <f t="shared" si="47"/>
        <v>0</v>
      </c>
      <c r="L68" s="14">
        <f t="shared" si="63"/>
        <v>195.48</v>
      </c>
      <c r="M68" s="16">
        <f t="shared" si="49"/>
        <v>-195.48</v>
      </c>
      <c r="N68" s="14">
        <v>23</v>
      </c>
      <c r="O68" s="15">
        <f t="shared" si="50"/>
        <v>467.95652173913</v>
      </c>
      <c r="P68" s="14">
        <f t="shared" si="51"/>
        <v>0.06859</v>
      </c>
      <c r="Q68" s="16">
        <f t="shared" si="52"/>
        <v>693.9401198</v>
      </c>
      <c r="R68" s="14">
        <f t="shared" si="64"/>
        <v>355.42</v>
      </c>
      <c r="S68" s="16">
        <f t="shared" si="54"/>
        <v>338.5201198</v>
      </c>
      <c r="T68" s="14">
        <v>31</v>
      </c>
      <c r="U68" s="15">
        <f t="shared" si="55"/>
        <v>123.838709677419</v>
      </c>
      <c r="V68" s="14">
        <f t="shared" si="56"/>
        <v>0.276355</v>
      </c>
      <c r="W68" s="16">
        <f t="shared" si="57"/>
        <v>997.2712343</v>
      </c>
      <c r="X68" s="14">
        <f t="shared" si="58"/>
        <v>539.16</v>
      </c>
      <c r="Y68" s="16">
        <f t="shared" si="59"/>
        <v>458.1112343</v>
      </c>
      <c r="Z68" s="17">
        <v>0</v>
      </c>
      <c r="AA68" s="17">
        <v>2</v>
      </c>
      <c r="AB68" s="17">
        <v>2</v>
      </c>
      <c r="AC68" s="17">
        <v>1</v>
      </c>
      <c r="AD68" s="16">
        <f t="shared" si="60"/>
        <v>102.654445042137</v>
      </c>
      <c r="AE68" s="18">
        <f t="shared" si="61"/>
        <v>397.746909057863</v>
      </c>
      <c r="AF68" s="1">
        <f t="shared" si="62"/>
        <v>71</v>
      </c>
      <c r="AG68" s="1">
        <f>'[1]3'!BH18</f>
        <v>71</v>
      </c>
    </row>
    <row r="69" s="1" customFormat="1" spans="1:33">
      <c r="A69" s="9">
        <v>46115</v>
      </c>
      <c r="B69" s="10" t="s">
        <v>53</v>
      </c>
      <c r="C69" s="10" t="s">
        <v>42</v>
      </c>
      <c r="D69" s="11" t="s">
        <v>34</v>
      </c>
      <c r="E69" s="12">
        <v>9714</v>
      </c>
      <c r="F69" s="12">
        <v>2381</v>
      </c>
      <c r="G69" s="13">
        <v>9366</v>
      </c>
      <c r="H69" s="14">
        <v>4</v>
      </c>
      <c r="I69" s="14">
        <f t="shared" si="46"/>
        <v>100.75</v>
      </c>
      <c r="J69" s="14">
        <v>12</v>
      </c>
      <c r="K69" s="15">
        <f t="shared" si="47"/>
        <v>809.5</v>
      </c>
      <c r="L69" s="14">
        <f t="shared" si="63"/>
        <v>195.48</v>
      </c>
      <c r="M69" s="16">
        <f t="shared" si="49"/>
        <v>-195.48</v>
      </c>
      <c r="N69" s="14">
        <v>23</v>
      </c>
      <c r="O69" s="15">
        <f t="shared" si="50"/>
        <v>407.217391304348</v>
      </c>
      <c r="P69" s="14">
        <f t="shared" si="51"/>
        <v>0.06859</v>
      </c>
      <c r="Q69" s="16">
        <f t="shared" si="52"/>
        <v>603.8691036</v>
      </c>
      <c r="R69" s="14">
        <f t="shared" si="64"/>
        <v>355.42</v>
      </c>
      <c r="S69" s="16">
        <f t="shared" si="54"/>
        <v>248.4491036</v>
      </c>
      <c r="T69" s="14">
        <v>31</v>
      </c>
      <c r="U69" s="15">
        <f t="shared" si="55"/>
        <v>76.8064516129032</v>
      </c>
      <c r="V69" s="14">
        <f t="shared" si="56"/>
        <v>0.276355</v>
      </c>
      <c r="W69" s="16">
        <f t="shared" si="57"/>
        <v>618.5211797</v>
      </c>
      <c r="X69" s="14">
        <f t="shared" si="58"/>
        <v>539.16</v>
      </c>
      <c r="Y69" s="16">
        <f t="shared" si="59"/>
        <v>79.3611796999999</v>
      </c>
      <c r="Z69" s="17">
        <v>0</v>
      </c>
      <c r="AA69" s="17">
        <v>2</v>
      </c>
      <c r="AB69" s="17">
        <v>2</v>
      </c>
      <c r="AC69" s="17">
        <v>1</v>
      </c>
      <c r="AD69" s="16">
        <f t="shared" si="60"/>
        <v>102.654445042137</v>
      </c>
      <c r="AE69" s="18">
        <f t="shared" si="61"/>
        <v>-71.0741617421374</v>
      </c>
      <c r="AF69" s="1">
        <f t="shared" si="62"/>
        <v>71</v>
      </c>
      <c r="AG69" s="1">
        <f>'[1]3'!BH19</f>
        <v>71</v>
      </c>
    </row>
    <row r="70" s="1" customFormat="1" spans="1:33">
      <c r="A70" s="9">
        <v>46115</v>
      </c>
      <c r="B70" s="10" t="s">
        <v>54</v>
      </c>
      <c r="C70" s="10" t="s">
        <v>42</v>
      </c>
      <c r="D70" s="10" t="s">
        <v>49</v>
      </c>
      <c r="E70" s="12">
        <v>2985</v>
      </c>
      <c r="F70" s="12">
        <v>2276</v>
      </c>
      <c r="G70" s="13">
        <v>64</v>
      </c>
      <c r="H70" s="14">
        <v>4</v>
      </c>
      <c r="I70" s="14">
        <f t="shared" si="46"/>
        <v>100.75</v>
      </c>
      <c r="J70" s="14">
        <v>12</v>
      </c>
      <c r="K70" s="15">
        <f t="shared" si="47"/>
        <v>248.75</v>
      </c>
      <c r="L70" s="14">
        <f t="shared" si="63"/>
        <v>195.48</v>
      </c>
      <c r="M70" s="16">
        <f t="shared" si="49"/>
        <v>-195.48</v>
      </c>
      <c r="N70" s="14">
        <v>23</v>
      </c>
      <c r="O70" s="15">
        <f t="shared" si="50"/>
        <v>2.78260869565217</v>
      </c>
      <c r="P70" s="14">
        <f t="shared" si="51"/>
        <v>0.06859</v>
      </c>
      <c r="Q70" s="16">
        <f t="shared" si="52"/>
        <v>4.1263744</v>
      </c>
      <c r="R70" s="14">
        <f t="shared" si="64"/>
        <v>355.42</v>
      </c>
      <c r="S70" s="16">
        <f t="shared" si="54"/>
        <v>-351.2936256</v>
      </c>
      <c r="T70" s="14">
        <v>31</v>
      </c>
      <c r="U70" s="15">
        <f t="shared" si="55"/>
        <v>73.4193548387097</v>
      </c>
      <c r="V70" s="14">
        <f t="shared" si="56"/>
        <v>0.276355</v>
      </c>
      <c r="W70" s="16">
        <f t="shared" si="57"/>
        <v>591.2449412</v>
      </c>
      <c r="X70" s="14">
        <f t="shared" si="58"/>
        <v>539.16</v>
      </c>
      <c r="Y70" s="16">
        <f t="shared" si="59"/>
        <v>52.0849411999999</v>
      </c>
      <c r="Z70" s="17">
        <v>0</v>
      </c>
      <c r="AA70" s="17">
        <v>2</v>
      </c>
      <c r="AB70" s="17">
        <v>2</v>
      </c>
      <c r="AC70" s="17">
        <v>1</v>
      </c>
      <c r="AD70" s="16">
        <f t="shared" si="60"/>
        <v>102.654445042137</v>
      </c>
      <c r="AE70" s="18">
        <f t="shared" si="61"/>
        <v>-698.093129442137</v>
      </c>
      <c r="AF70" s="1">
        <f t="shared" si="62"/>
        <v>71</v>
      </c>
      <c r="AG70" s="1">
        <f>'[1]3'!BH20</f>
        <v>71</v>
      </c>
    </row>
    <row r="71" s="1" customFormat="1" spans="1:33">
      <c r="A71" s="9">
        <v>46115</v>
      </c>
      <c r="B71" s="10" t="s">
        <v>55</v>
      </c>
      <c r="C71" s="10" t="s">
        <v>33</v>
      </c>
      <c r="D71" s="10" t="s">
        <v>49</v>
      </c>
      <c r="E71" s="12">
        <v>28578</v>
      </c>
      <c r="F71" s="12">
        <v>4568</v>
      </c>
      <c r="G71" s="13">
        <v>3271</v>
      </c>
      <c r="H71" s="14">
        <v>2</v>
      </c>
      <c r="I71" s="14">
        <f t="shared" si="46"/>
        <v>44.0122222222222</v>
      </c>
      <c r="J71" s="14">
        <v>24</v>
      </c>
      <c r="K71" s="15">
        <f t="shared" si="47"/>
        <v>1190.75</v>
      </c>
      <c r="L71" s="14">
        <f t="shared" ref="L71:L76" si="65">J71*14.62+21</f>
        <v>371.88</v>
      </c>
      <c r="M71" s="16">
        <f t="shared" si="49"/>
        <v>-371.88</v>
      </c>
      <c r="N71" s="14">
        <v>15</v>
      </c>
      <c r="O71" s="15">
        <f t="shared" si="50"/>
        <v>218.066666666667</v>
      </c>
      <c r="P71" s="14">
        <f t="shared" si="51"/>
        <v>0.06859</v>
      </c>
      <c r="Q71" s="16">
        <f t="shared" si="52"/>
        <v>210.8964166</v>
      </c>
      <c r="R71" s="14">
        <f t="shared" ref="R71:R76" si="66">(N71-13)*14.62+13*18+21</f>
        <v>284.24</v>
      </c>
      <c r="S71" s="16">
        <f t="shared" si="54"/>
        <v>-73.3435834</v>
      </c>
      <c r="T71" s="14">
        <v>57</v>
      </c>
      <c r="U71" s="15">
        <f t="shared" si="55"/>
        <v>80.140350877193</v>
      </c>
      <c r="V71" s="14">
        <f t="shared" si="56"/>
        <v>0.276355</v>
      </c>
      <c r="W71" s="16">
        <f t="shared" si="57"/>
        <v>1186.6462616</v>
      </c>
      <c r="X71" s="14">
        <f t="shared" si="58"/>
        <v>919.28</v>
      </c>
      <c r="Y71" s="16">
        <f t="shared" si="59"/>
        <v>267.3662616</v>
      </c>
      <c r="Z71" s="17">
        <v>4</v>
      </c>
      <c r="AA71" s="17">
        <v>3</v>
      </c>
      <c r="AB71" s="17">
        <v>0</v>
      </c>
      <c r="AC71" s="17">
        <v>1</v>
      </c>
      <c r="AD71" s="16">
        <f t="shared" si="60"/>
        <v>139.777009144701</v>
      </c>
      <c r="AE71" s="18">
        <f t="shared" si="61"/>
        <v>-361.646553166924</v>
      </c>
      <c r="AF71" s="1">
        <f t="shared" si="62"/>
        <v>104</v>
      </c>
      <c r="AG71" s="1">
        <f>'[1]3'!BH21</f>
        <v>104</v>
      </c>
    </row>
    <row r="72" s="1" customFormat="1" spans="1:33">
      <c r="A72" s="9">
        <v>46115</v>
      </c>
      <c r="B72" s="10" t="s">
        <v>56</v>
      </c>
      <c r="C72" s="10" t="s">
        <v>33</v>
      </c>
      <c r="D72" s="10" t="s">
        <v>49</v>
      </c>
      <c r="E72" s="12">
        <v>22343</v>
      </c>
      <c r="F72" s="12">
        <v>6689</v>
      </c>
      <c r="G72" s="13">
        <v>13631</v>
      </c>
      <c r="H72" s="14">
        <v>2</v>
      </c>
      <c r="I72" s="14">
        <f t="shared" si="46"/>
        <v>44.0122222222222</v>
      </c>
      <c r="J72" s="14">
        <v>22</v>
      </c>
      <c r="K72" s="15">
        <f t="shared" si="47"/>
        <v>1015.59090909091</v>
      </c>
      <c r="L72" s="14">
        <f t="shared" si="65"/>
        <v>342.64</v>
      </c>
      <c r="M72" s="16">
        <f t="shared" si="49"/>
        <v>-342.64</v>
      </c>
      <c r="N72" s="14">
        <v>30</v>
      </c>
      <c r="O72" s="15">
        <f t="shared" si="50"/>
        <v>454.366666666667</v>
      </c>
      <c r="P72" s="14">
        <f t="shared" si="51"/>
        <v>0.06859</v>
      </c>
      <c r="Q72" s="16">
        <f t="shared" si="52"/>
        <v>878.8532726</v>
      </c>
      <c r="R72" s="14">
        <f t="shared" si="66"/>
        <v>503.54</v>
      </c>
      <c r="S72" s="16">
        <f t="shared" si="54"/>
        <v>375.3132726</v>
      </c>
      <c r="T72" s="14">
        <v>44</v>
      </c>
      <c r="U72" s="15">
        <f t="shared" si="55"/>
        <v>152.022727272727</v>
      </c>
      <c r="V72" s="14">
        <f t="shared" si="56"/>
        <v>0.276355</v>
      </c>
      <c r="W72" s="16">
        <f t="shared" si="57"/>
        <v>1737.6262793</v>
      </c>
      <c r="X72" s="14">
        <f t="shared" si="58"/>
        <v>729.22</v>
      </c>
      <c r="Y72" s="16">
        <f t="shared" si="59"/>
        <v>1008.4062793</v>
      </c>
      <c r="Z72" s="17">
        <v>4</v>
      </c>
      <c r="AA72" s="17">
        <v>3</v>
      </c>
      <c r="AB72" s="17">
        <v>0</v>
      </c>
      <c r="AC72" s="17">
        <v>1</v>
      </c>
      <c r="AD72" s="16">
        <f t="shared" si="60"/>
        <v>139.777009144701</v>
      </c>
      <c r="AE72" s="18">
        <f t="shared" si="61"/>
        <v>857.290320533076</v>
      </c>
      <c r="AF72" s="1">
        <f t="shared" si="62"/>
        <v>104</v>
      </c>
      <c r="AG72" s="1">
        <f>'[1]3'!BH22</f>
        <v>104</v>
      </c>
    </row>
    <row r="73" s="1" customFormat="1" spans="1:33">
      <c r="A73" s="9">
        <v>46115</v>
      </c>
      <c r="B73" s="10" t="s">
        <v>57</v>
      </c>
      <c r="C73" s="10" t="s">
        <v>33</v>
      </c>
      <c r="D73" s="10" t="s">
        <v>49</v>
      </c>
      <c r="E73" s="12">
        <v>18681</v>
      </c>
      <c r="F73" s="12">
        <v>4898</v>
      </c>
      <c r="G73" s="13">
        <v>13159</v>
      </c>
      <c r="H73" s="14">
        <v>2</v>
      </c>
      <c r="I73" s="14">
        <f t="shared" si="46"/>
        <v>44.0122222222222</v>
      </c>
      <c r="J73" s="14">
        <v>22</v>
      </c>
      <c r="K73" s="15">
        <f t="shared" si="47"/>
        <v>849.136363636364</v>
      </c>
      <c r="L73" s="14">
        <f t="shared" si="65"/>
        <v>342.64</v>
      </c>
      <c r="M73" s="16">
        <f t="shared" si="49"/>
        <v>-342.64</v>
      </c>
      <c r="N73" s="14">
        <v>30</v>
      </c>
      <c r="O73" s="15">
        <f t="shared" si="50"/>
        <v>438.633333333333</v>
      </c>
      <c r="P73" s="14">
        <f t="shared" si="51"/>
        <v>0.06859</v>
      </c>
      <c r="Q73" s="16">
        <f t="shared" si="52"/>
        <v>848.4212614</v>
      </c>
      <c r="R73" s="14">
        <f t="shared" si="66"/>
        <v>503.54</v>
      </c>
      <c r="S73" s="16">
        <f t="shared" si="54"/>
        <v>344.8812614</v>
      </c>
      <c r="T73" s="14">
        <v>44</v>
      </c>
      <c r="U73" s="15">
        <f t="shared" si="55"/>
        <v>111.318181818182</v>
      </c>
      <c r="V73" s="14">
        <f t="shared" si="56"/>
        <v>0.276355</v>
      </c>
      <c r="W73" s="16">
        <f t="shared" si="57"/>
        <v>1272.3715826</v>
      </c>
      <c r="X73" s="14">
        <f t="shared" si="58"/>
        <v>729.22</v>
      </c>
      <c r="Y73" s="16">
        <f t="shared" si="59"/>
        <v>543.1515826</v>
      </c>
      <c r="Z73" s="17">
        <v>4</v>
      </c>
      <c r="AA73" s="17">
        <v>3</v>
      </c>
      <c r="AB73" s="17">
        <v>0</v>
      </c>
      <c r="AC73" s="17">
        <v>1</v>
      </c>
      <c r="AD73" s="16">
        <f t="shared" si="60"/>
        <v>139.777009144701</v>
      </c>
      <c r="AE73" s="18">
        <f t="shared" si="61"/>
        <v>361.603612633076</v>
      </c>
      <c r="AF73" s="1">
        <f t="shared" si="62"/>
        <v>104</v>
      </c>
      <c r="AG73" s="1">
        <f>'[1]3'!BH23</f>
        <v>104</v>
      </c>
    </row>
    <row r="74" s="1" customFormat="1" spans="1:33">
      <c r="A74" s="9">
        <v>46115</v>
      </c>
      <c r="B74" s="10" t="s">
        <v>58</v>
      </c>
      <c r="C74" s="10" t="s">
        <v>33</v>
      </c>
      <c r="D74" s="10" t="s">
        <v>49</v>
      </c>
      <c r="E74" s="12">
        <v>2</v>
      </c>
      <c r="F74" s="12">
        <v>3744</v>
      </c>
      <c r="G74" s="13">
        <v>12709</v>
      </c>
      <c r="H74" s="14">
        <v>2</v>
      </c>
      <c r="I74" s="14">
        <f t="shared" si="46"/>
        <v>44.0122222222222</v>
      </c>
      <c r="J74" s="14">
        <v>22</v>
      </c>
      <c r="K74" s="15">
        <f t="shared" si="47"/>
        <v>0.0909090909090909</v>
      </c>
      <c r="L74" s="14">
        <f t="shared" si="65"/>
        <v>342.64</v>
      </c>
      <c r="M74" s="16">
        <f t="shared" si="49"/>
        <v>-342.64</v>
      </c>
      <c r="N74" s="14">
        <v>30</v>
      </c>
      <c r="O74" s="15">
        <f t="shared" si="50"/>
        <v>423.633333333333</v>
      </c>
      <c r="P74" s="14">
        <f t="shared" si="51"/>
        <v>0.06859</v>
      </c>
      <c r="Q74" s="16">
        <f t="shared" si="52"/>
        <v>819.4076914</v>
      </c>
      <c r="R74" s="14">
        <f t="shared" si="66"/>
        <v>503.54</v>
      </c>
      <c r="S74" s="16">
        <f t="shared" si="54"/>
        <v>315.8676914</v>
      </c>
      <c r="T74" s="14">
        <v>44</v>
      </c>
      <c r="U74" s="15">
        <f t="shared" si="55"/>
        <v>85.0909090909091</v>
      </c>
      <c r="V74" s="14">
        <f t="shared" si="56"/>
        <v>0.276355</v>
      </c>
      <c r="W74" s="16">
        <f t="shared" si="57"/>
        <v>972.5927328</v>
      </c>
      <c r="X74" s="14">
        <f t="shared" si="58"/>
        <v>729.22</v>
      </c>
      <c r="Y74" s="16">
        <f t="shared" si="59"/>
        <v>243.3727328</v>
      </c>
      <c r="Z74" s="17">
        <v>4</v>
      </c>
      <c r="AA74" s="17">
        <v>3</v>
      </c>
      <c r="AB74" s="17">
        <v>0</v>
      </c>
      <c r="AC74" s="17">
        <v>1</v>
      </c>
      <c r="AD74" s="16">
        <f t="shared" si="60"/>
        <v>139.777009144701</v>
      </c>
      <c r="AE74" s="18">
        <f t="shared" si="61"/>
        <v>32.8111928330761</v>
      </c>
      <c r="AF74" s="1">
        <f t="shared" si="62"/>
        <v>104</v>
      </c>
      <c r="AG74" s="1">
        <f>'[1]3'!BH24</f>
        <v>104</v>
      </c>
    </row>
    <row r="75" s="1" customFormat="1" spans="1:33">
      <c r="A75" s="9">
        <v>46115</v>
      </c>
      <c r="B75" s="10" t="s">
        <v>59</v>
      </c>
      <c r="C75" s="10" t="s">
        <v>33</v>
      </c>
      <c r="D75" s="10" t="s">
        <v>49</v>
      </c>
      <c r="E75" s="12">
        <v>5539</v>
      </c>
      <c r="F75" s="12">
        <v>2604</v>
      </c>
      <c r="G75" s="13">
        <v>10723</v>
      </c>
      <c r="H75" s="14">
        <v>2</v>
      </c>
      <c r="I75" s="14">
        <f t="shared" si="46"/>
        <v>44.0122222222222</v>
      </c>
      <c r="J75" s="14">
        <v>22</v>
      </c>
      <c r="K75" s="15">
        <f t="shared" si="47"/>
        <v>251.772727272727</v>
      </c>
      <c r="L75" s="14">
        <f t="shared" si="65"/>
        <v>342.64</v>
      </c>
      <c r="M75" s="16">
        <f t="shared" si="49"/>
        <v>-342.64</v>
      </c>
      <c r="N75" s="14">
        <v>30</v>
      </c>
      <c r="O75" s="15">
        <f t="shared" si="50"/>
        <v>357.433333333333</v>
      </c>
      <c r="P75" s="14">
        <f t="shared" si="51"/>
        <v>0.06859</v>
      </c>
      <c r="Q75" s="16">
        <f t="shared" si="52"/>
        <v>691.3611358</v>
      </c>
      <c r="R75" s="14">
        <f t="shared" si="66"/>
        <v>503.54</v>
      </c>
      <c r="S75" s="16">
        <f t="shared" si="54"/>
        <v>187.8211358</v>
      </c>
      <c r="T75" s="14">
        <v>44</v>
      </c>
      <c r="U75" s="15">
        <f t="shared" si="55"/>
        <v>59.1818181818182</v>
      </c>
      <c r="V75" s="14">
        <f t="shared" si="56"/>
        <v>0.276355</v>
      </c>
      <c r="W75" s="16">
        <f t="shared" si="57"/>
        <v>676.4507148</v>
      </c>
      <c r="X75" s="14">
        <f t="shared" si="58"/>
        <v>729.22</v>
      </c>
      <c r="Y75" s="16">
        <f t="shared" si="59"/>
        <v>-52.7692852000001</v>
      </c>
      <c r="Z75" s="17">
        <v>4</v>
      </c>
      <c r="AA75" s="17">
        <v>3</v>
      </c>
      <c r="AB75" s="17">
        <v>0</v>
      </c>
      <c r="AC75" s="17">
        <v>1</v>
      </c>
      <c r="AD75" s="16">
        <f t="shared" si="60"/>
        <v>139.777009144701</v>
      </c>
      <c r="AE75" s="18">
        <f t="shared" si="61"/>
        <v>-391.377380766924</v>
      </c>
      <c r="AF75" s="1">
        <f t="shared" si="62"/>
        <v>104</v>
      </c>
      <c r="AG75" s="1">
        <f>'[1]3'!BH25</f>
        <v>104</v>
      </c>
    </row>
    <row r="76" s="1" customFormat="1" spans="1:33">
      <c r="A76" s="9">
        <v>46115</v>
      </c>
      <c r="B76" s="10" t="s">
        <v>60</v>
      </c>
      <c r="C76" s="10" t="s">
        <v>33</v>
      </c>
      <c r="D76" s="11" t="s">
        <v>47</v>
      </c>
      <c r="E76" s="12">
        <v>0</v>
      </c>
      <c r="F76" s="12">
        <v>1515</v>
      </c>
      <c r="G76" s="13">
        <v>4311</v>
      </c>
      <c r="H76" s="14">
        <v>2</v>
      </c>
      <c r="I76" s="14">
        <f t="shared" si="46"/>
        <v>44.0122222222222</v>
      </c>
      <c r="J76" s="14">
        <v>17</v>
      </c>
      <c r="K76" s="15">
        <f t="shared" si="47"/>
        <v>0</v>
      </c>
      <c r="L76" s="14">
        <f t="shared" si="65"/>
        <v>269.54</v>
      </c>
      <c r="M76" s="16">
        <f t="shared" si="49"/>
        <v>-269.54</v>
      </c>
      <c r="N76" s="14">
        <v>25</v>
      </c>
      <c r="O76" s="15">
        <f t="shared" si="50"/>
        <v>172.44</v>
      </c>
      <c r="P76" s="14">
        <f t="shared" si="51"/>
        <v>0.06859</v>
      </c>
      <c r="Q76" s="16">
        <f t="shared" si="52"/>
        <v>277.9500006</v>
      </c>
      <c r="R76" s="14">
        <f t="shared" si="66"/>
        <v>430.44</v>
      </c>
      <c r="S76" s="16">
        <f t="shared" si="54"/>
        <v>-152.4899994</v>
      </c>
      <c r="T76" s="14">
        <v>46</v>
      </c>
      <c r="U76" s="15">
        <f t="shared" si="55"/>
        <v>32.9347826086956</v>
      </c>
      <c r="V76" s="14">
        <f t="shared" si="56"/>
        <v>0.276355</v>
      </c>
      <c r="W76" s="16">
        <f t="shared" si="57"/>
        <v>393.5571555</v>
      </c>
      <c r="X76" s="14">
        <f t="shared" si="58"/>
        <v>758.46</v>
      </c>
      <c r="Y76" s="16">
        <f t="shared" si="59"/>
        <v>-364.9028445</v>
      </c>
      <c r="Z76" s="17">
        <v>4</v>
      </c>
      <c r="AA76" s="17">
        <v>3</v>
      </c>
      <c r="AB76" s="17">
        <v>0</v>
      </c>
      <c r="AC76" s="17">
        <v>1</v>
      </c>
      <c r="AD76" s="16">
        <f t="shared" si="60"/>
        <v>139.777009144701</v>
      </c>
      <c r="AE76" s="18">
        <f t="shared" si="61"/>
        <v>-970.722075266924</v>
      </c>
      <c r="AF76" s="1">
        <f t="shared" si="62"/>
        <v>96</v>
      </c>
      <c r="AG76" s="1">
        <f>'[1]3'!BH26</f>
        <v>96</v>
      </c>
    </row>
    <row r="77" s="1" customFormat="1" spans="1:33">
      <c r="A77" s="9"/>
      <c r="B77" s="10"/>
      <c r="C77" s="10"/>
      <c r="D77" s="11"/>
      <c r="E77" s="12"/>
      <c r="F77" s="12"/>
      <c r="G77" s="13"/>
      <c r="H77" s="14"/>
      <c r="I77" s="14"/>
      <c r="J77" s="14"/>
      <c r="K77" s="15"/>
      <c r="L77" s="14"/>
      <c r="M77" s="16"/>
      <c r="N77" s="14"/>
      <c r="O77" s="15"/>
      <c r="P77" s="14"/>
      <c r="Q77" s="16"/>
      <c r="R77" s="14"/>
      <c r="S77" s="16"/>
      <c r="T77" s="14"/>
      <c r="U77" s="15"/>
      <c r="V77" s="14"/>
      <c r="W77" s="16"/>
      <c r="X77" s="14"/>
      <c r="Y77" s="16"/>
      <c r="Z77" s="17"/>
      <c r="AA77" s="17"/>
      <c r="AB77" s="17"/>
      <c r="AC77" s="17"/>
      <c r="AD77" s="16"/>
      <c r="AE77" s="18">
        <f>SUM(AE53:AE76)</f>
        <v>-4035.49407513352</v>
      </c>
    </row>
    <row r="78" s="1" customFormat="1" spans="1:33">
      <c r="A78" s="9">
        <v>46116</v>
      </c>
      <c r="B78" s="10" t="s">
        <v>32</v>
      </c>
      <c r="C78" s="10" t="s">
        <v>33</v>
      </c>
      <c r="D78" s="11" t="s">
        <v>34</v>
      </c>
      <c r="E78" s="12">
        <v>15774</v>
      </c>
      <c r="F78" s="12">
        <v>2253</v>
      </c>
      <c r="G78" s="13">
        <v>6412</v>
      </c>
      <c r="H78" s="14">
        <v>2</v>
      </c>
      <c r="I78" s="14">
        <f t="shared" ref="I78:I101" si="67">IF(H78=2,21.79+16000/30/24,25.75+12000/30/24*2+30000/30/24)</f>
        <v>44.0122222222222</v>
      </c>
      <c r="J78" s="14">
        <v>17</v>
      </c>
      <c r="K78" s="15">
        <f t="shared" ref="K78:K101" si="68">E78/J78</f>
        <v>927.882352941176</v>
      </c>
      <c r="L78" s="14">
        <f t="shared" ref="L78:L84" si="69">J78*14.62+21</f>
        <v>269.54</v>
      </c>
      <c r="M78" s="16">
        <f t="shared" ref="M78:M101" si="70">0-L78</f>
        <v>-269.54</v>
      </c>
      <c r="N78" s="14">
        <v>25</v>
      </c>
      <c r="O78" s="15">
        <f t="shared" ref="O78:O101" si="71">G78/N78</f>
        <v>256.48</v>
      </c>
      <c r="P78" s="14">
        <f t="shared" ref="P78:P101" si="72">0.0722*0.95</f>
        <v>0.06859</v>
      </c>
      <c r="Q78" s="16">
        <f t="shared" ref="Q78:Q101" si="73">P78*G78*0.94</f>
        <v>413.4111352</v>
      </c>
      <c r="R78" s="14">
        <f t="shared" ref="R78:R84" si="74">(N78-13)*14.62+13*18+21</f>
        <v>430.44</v>
      </c>
      <c r="S78" s="16">
        <f t="shared" ref="S78:S101" si="75">Q78-R78</f>
        <v>-17.0288648</v>
      </c>
      <c r="T78" s="14">
        <v>45</v>
      </c>
      <c r="U78" s="15">
        <f t="shared" ref="U78:U101" si="76">F78/T78</f>
        <v>50.0666666666667</v>
      </c>
      <c r="V78" s="14">
        <f t="shared" ref="V78:V101" si="77">0.2909*0.95</f>
        <v>0.276355</v>
      </c>
      <c r="W78" s="16">
        <f t="shared" ref="W78:W101" si="78">V78*F78*0.94</f>
        <v>585.2701461</v>
      </c>
      <c r="X78" s="14">
        <f t="shared" ref="X78:X101" si="79">(T78-13)*14.62+13*18+42</f>
        <v>743.84</v>
      </c>
      <c r="Y78" s="16">
        <f t="shared" ref="Y78:Y101" si="80">W78-X78</f>
        <v>-158.5698539</v>
      </c>
      <c r="Z78" s="17">
        <v>4</v>
      </c>
      <c r="AA78" s="17">
        <v>3</v>
      </c>
      <c r="AB78" s="17">
        <v>0</v>
      </c>
      <c r="AC78" s="17">
        <v>1</v>
      </c>
      <c r="AD78" s="16">
        <f t="shared" ref="AD78:AD101" si="81">(Z78-1)*14.62+(9000/26/13)+(AA78-1)*14.54+7500/26/11+AB78*(4200/26/9)+AC78*(4000/26/11)</f>
        <v>139.777009144701</v>
      </c>
      <c r="AE78" s="18">
        <f t="shared" ref="AE78:AE101" si="82">M78+S78+Y78-I78-AD78</f>
        <v>-628.927950066924</v>
      </c>
      <c r="AF78" s="1">
        <f t="shared" ref="AF78:AF101" si="83">AB78+AA78+Z78+T78+N78+J78+AC78</f>
        <v>95</v>
      </c>
      <c r="AG78" s="1">
        <f>'[1]4'!BH3</f>
        <v>95</v>
      </c>
    </row>
    <row r="79" s="1" customFormat="1" spans="1:33">
      <c r="A79" s="9">
        <v>46116</v>
      </c>
      <c r="B79" s="10" t="s">
        <v>35</v>
      </c>
      <c r="C79" s="10" t="s">
        <v>33</v>
      </c>
      <c r="D79" s="11" t="s">
        <v>34</v>
      </c>
      <c r="E79" s="12">
        <v>5539</v>
      </c>
      <c r="F79" s="12">
        <v>4752</v>
      </c>
      <c r="G79" s="13">
        <v>12376</v>
      </c>
      <c r="H79" s="14">
        <v>2</v>
      </c>
      <c r="I79" s="14">
        <f t="shared" si="67"/>
        <v>44.0122222222222</v>
      </c>
      <c r="J79" s="14">
        <v>17</v>
      </c>
      <c r="K79" s="15">
        <f t="shared" si="68"/>
        <v>325.823529411765</v>
      </c>
      <c r="L79" s="14">
        <f t="shared" si="69"/>
        <v>269.54</v>
      </c>
      <c r="M79" s="16">
        <f t="shared" si="70"/>
        <v>-269.54</v>
      </c>
      <c r="N79" s="14">
        <v>25</v>
      </c>
      <c r="O79" s="15">
        <f t="shared" si="71"/>
        <v>495.04</v>
      </c>
      <c r="P79" s="14">
        <f t="shared" si="72"/>
        <v>0.06859</v>
      </c>
      <c r="Q79" s="16">
        <f t="shared" si="73"/>
        <v>797.9376496</v>
      </c>
      <c r="R79" s="14">
        <f t="shared" si="74"/>
        <v>430.44</v>
      </c>
      <c r="S79" s="16">
        <f t="shared" si="75"/>
        <v>367.4976496</v>
      </c>
      <c r="T79" s="14">
        <v>45</v>
      </c>
      <c r="U79" s="15">
        <f t="shared" si="76"/>
        <v>105.6</v>
      </c>
      <c r="V79" s="14">
        <f t="shared" si="77"/>
        <v>0.276355</v>
      </c>
      <c r="W79" s="16">
        <f t="shared" si="78"/>
        <v>1234.4446224</v>
      </c>
      <c r="X79" s="14">
        <f t="shared" si="79"/>
        <v>743.84</v>
      </c>
      <c r="Y79" s="16">
        <f t="shared" si="80"/>
        <v>490.6046224</v>
      </c>
      <c r="Z79" s="17">
        <v>4</v>
      </c>
      <c r="AA79" s="17">
        <v>3</v>
      </c>
      <c r="AB79" s="17">
        <v>0</v>
      </c>
      <c r="AC79" s="17">
        <v>1</v>
      </c>
      <c r="AD79" s="16">
        <f t="shared" si="81"/>
        <v>139.777009144701</v>
      </c>
      <c r="AE79" s="18">
        <f t="shared" si="82"/>
        <v>404.773040633076</v>
      </c>
      <c r="AF79" s="1">
        <f t="shared" si="83"/>
        <v>95</v>
      </c>
      <c r="AG79" s="1">
        <f>'[1]4'!BH4</f>
        <v>95</v>
      </c>
    </row>
    <row r="80" s="1" customFormat="1" spans="1:33">
      <c r="A80" s="9">
        <v>46116</v>
      </c>
      <c r="B80" s="10" t="s">
        <v>36</v>
      </c>
      <c r="C80" s="10" t="s">
        <v>33</v>
      </c>
      <c r="D80" s="11" t="s">
        <v>34</v>
      </c>
      <c r="E80" s="12">
        <v>0</v>
      </c>
      <c r="F80" s="12">
        <v>4442</v>
      </c>
      <c r="G80" s="13">
        <v>14209</v>
      </c>
      <c r="H80" s="14">
        <v>2</v>
      </c>
      <c r="I80" s="14">
        <f t="shared" si="67"/>
        <v>44.0122222222222</v>
      </c>
      <c r="J80" s="14">
        <v>17</v>
      </c>
      <c r="K80" s="15">
        <f t="shared" si="68"/>
        <v>0</v>
      </c>
      <c r="L80" s="14">
        <f t="shared" si="69"/>
        <v>269.54</v>
      </c>
      <c r="M80" s="16">
        <f t="shared" si="70"/>
        <v>-269.54</v>
      </c>
      <c r="N80" s="14">
        <v>25</v>
      </c>
      <c r="O80" s="15">
        <f t="shared" si="71"/>
        <v>568.36</v>
      </c>
      <c r="P80" s="14">
        <f t="shared" si="72"/>
        <v>0.06859</v>
      </c>
      <c r="Q80" s="16">
        <f t="shared" si="73"/>
        <v>916.1195914</v>
      </c>
      <c r="R80" s="14">
        <f t="shared" si="74"/>
        <v>430.44</v>
      </c>
      <c r="S80" s="16">
        <f t="shared" si="75"/>
        <v>485.6795914</v>
      </c>
      <c r="T80" s="14">
        <v>45</v>
      </c>
      <c r="U80" s="15">
        <f t="shared" si="76"/>
        <v>98.7111111111111</v>
      </c>
      <c r="V80" s="14">
        <f t="shared" si="77"/>
        <v>0.276355</v>
      </c>
      <c r="W80" s="16">
        <f t="shared" si="78"/>
        <v>1153.9147754</v>
      </c>
      <c r="X80" s="14">
        <f t="shared" si="79"/>
        <v>743.84</v>
      </c>
      <c r="Y80" s="16">
        <f t="shared" si="80"/>
        <v>410.0747754</v>
      </c>
      <c r="Z80" s="17">
        <v>4</v>
      </c>
      <c r="AA80" s="17">
        <v>3</v>
      </c>
      <c r="AB80" s="17">
        <v>0</v>
      </c>
      <c r="AC80" s="17">
        <v>1</v>
      </c>
      <c r="AD80" s="16">
        <f t="shared" si="81"/>
        <v>139.777009144701</v>
      </c>
      <c r="AE80" s="18">
        <f t="shared" si="82"/>
        <v>442.425135433076</v>
      </c>
      <c r="AF80" s="1">
        <f t="shared" si="83"/>
        <v>95</v>
      </c>
      <c r="AG80" s="1">
        <f>'[1]4'!BH5</f>
        <v>95</v>
      </c>
    </row>
    <row r="81" s="1" customFormat="1" spans="1:33">
      <c r="A81" s="9">
        <v>46116</v>
      </c>
      <c r="B81" s="10" t="s">
        <v>37</v>
      </c>
      <c r="C81" s="10" t="s">
        <v>33</v>
      </c>
      <c r="D81" s="11" t="s">
        <v>34</v>
      </c>
      <c r="E81" s="12">
        <v>5155</v>
      </c>
      <c r="F81" s="12">
        <v>4011</v>
      </c>
      <c r="G81" s="13">
        <v>12712</v>
      </c>
      <c r="H81" s="14">
        <v>2</v>
      </c>
      <c r="I81" s="14">
        <f t="shared" si="67"/>
        <v>44.0122222222222</v>
      </c>
      <c r="J81" s="14">
        <v>17</v>
      </c>
      <c r="K81" s="15">
        <f t="shared" si="68"/>
        <v>303.235294117647</v>
      </c>
      <c r="L81" s="14">
        <f t="shared" si="69"/>
        <v>269.54</v>
      </c>
      <c r="M81" s="16">
        <f t="shared" si="70"/>
        <v>-269.54</v>
      </c>
      <c r="N81" s="14">
        <v>18</v>
      </c>
      <c r="O81" s="15">
        <f t="shared" si="71"/>
        <v>706.222222222222</v>
      </c>
      <c r="P81" s="14">
        <f t="shared" si="72"/>
        <v>0.06859</v>
      </c>
      <c r="Q81" s="16">
        <f t="shared" si="73"/>
        <v>819.6011152</v>
      </c>
      <c r="R81" s="14">
        <f t="shared" si="74"/>
        <v>328.1</v>
      </c>
      <c r="S81" s="16">
        <f t="shared" si="75"/>
        <v>491.5011152</v>
      </c>
      <c r="T81" s="14">
        <v>52</v>
      </c>
      <c r="U81" s="15">
        <f t="shared" si="76"/>
        <v>77.1346153846154</v>
      </c>
      <c r="V81" s="14">
        <f t="shared" si="77"/>
        <v>0.276355</v>
      </c>
      <c r="W81" s="16">
        <f t="shared" si="78"/>
        <v>1041.9523107</v>
      </c>
      <c r="X81" s="14">
        <f t="shared" si="79"/>
        <v>846.18</v>
      </c>
      <c r="Y81" s="16">
        <f t="shared" si="80"/>
        <v>195.7723107</v>
      </c>
      <c r="Z81" s="17">
        <v>4</v>
      </c>
      <c r="AA81" s="17">
        <v>3</v>
      </c>
      <c r="AB81" s="17">
        <v>0</v>
      </c>
      <c r="AC81" s="17">
        <v>1</v>
      </c>
      <c r="AD81" s="16">
        <f t="shared" si="81"/>
        <v>139.777009144701</v>
      </c>
      <c r="AE81" s="18">
        <f t="shared" si="82"/>
        <v>233.944194533076</v>
      </c>
      <c r="AF81" s="1">
        <f t="shared" si="83"/>
        <v>95</v>
      </c>
      <c r="AG81" s="1">
        <f>'[1]4'!BH6</f>
        <v>95</v>
      </c>
    </row>
    <row r="82" s="1" customFormat="1" spans="1:33">
      <c r="A82" s="9">
        <v>46116</v>
      </c>
      <c r="B82" s="10" t="s">
        <v>38</v>
      </c>
      <c r="C82" s="10" t="s">
        <v>33</v>
      </c>
      <c r="D82" s="11" t="s">
        <v>34</v>
      </c>
      <c r="E82" s="12">
        <v>0</v>
      </c>
      <c r="F82" s="12">
        <v>4033</v>
      </c>
      <c r="G82" s="13">
        <v>12683</v>
      </c>
      <c r="H82" s="14">
        <v>2</v>
      </c>
      <c r="I82" s="14">
        <f t="shared" si="67"/>
        <v>44.0122222222222</v>
      </c>
      <c r="J82" s="14">
        <v>17</v>
      </c>
      <c r="K82" s="15">
        <f t="shared" si="68"/>
        <v>0</v>
      </c>
      <c r="L82" s="14">
        <f t="shared" si="69"/>
        <v>269.54</v>
      </c>
      <c r="M82" s="16">
        <f t="shared" si="70"/>
        <v>-269.54</v>
      </c>
      <c r="N82" s="14">
        <v>25</v>
      </c>
      <c r="O82" s="15">
        <f t="shared" si="71"/>
        <v>507.32</v>
      </c>
      <c r="P82" s="14">
        <f t="shared" si="72"/>
        <v>0.06859</v>
      </c>
      <c r="Q82" s="16">
        <f t="shared" si="73"/>
        <v>817.7313518</v>
      </c>
      <c r="R82" s="14">
        <f t="shared" si="74"/>
        <v>430.44</v>
      </c>
      <c r="S82" s="16">
        <f t="shared" si="75"/>
        <v>387.2913518</v>
      </c>
      <c r="T82" s="14">
        <v>45</v>
      </c>
      <c r="U82" s="15">
        <f t="shared" si="76"/>
        <v>89.6222222222222</v>
      </c>
      <c r="V82" s="14">
        <f t="shared" si="77"/>
        <v>0.276355</v>
      </c>
      <c r="W82" s="16">
        <f t="shared" si="78"/>
        <v>1047.6673321</v>
      </c>
      <c r="X82" s="14">
        <f t="shared" si="79"/>
        <v>743.84</v>
      </c>
      <c r="Y82" s="16">
        <f t="shared" si="80"/>
        <v>303.8273321</v>
      </c>
      <c r="Z82" s="17">
        <v>4</v>
      </c>
      <c r="AA82" s="17">
        <v>3</v>
      </c>
      <c r="AB82" s="17">
        <v>0</v>
      </c>
      <c r="AC82" s="17">
        <v>1</v>
      </c>
      <c r="AD82" s="16">
        <f t="shared" si="81"/>
        <v>139.777009144701</v>
      </c>
      <c r="AE82" s="18">
        <f t="shared" si="82"/>
        <v>237.789452533076</v>
      </c>
      <c r="AF82" s="1">
        <f t="shared" si="83"/>
        <v>95</v>
      </c>
      <c r="AG82" s="1">
        <f>'[1]4'!BH7</f>
        <v>95</v>
      </c>
    </row>
    <row r="83" s="1" customFormat="1" spans="1:33">
      <c r="A83" s="9">
        <v>46116</v>
      </c>
      <c r="B83" s="10" t="s">
        <v>39</v>
      </c>
      <c r="C83" s="10" t="s">
        <v>33</v>
      </c>
      <c r="D83" s="11" t="s">
        <v>34</v>
      </c>
      <c r="E83" s="12">
        <v>3884</v>
      </c>
      <c r="F83" s="12">
        <v>2079</v>
      </c>
      <c r="G83" s="13">
        <v>249</v>
      </c>
      <c r="H83" s="14">
        <v>2</v>
      </c>
      <c r="I83" s="14">
        <f t="shared" si="67"/>
        <v>44.0122222222222</v>
      </c>
      <c r="J83" s="14">
        <v>17</v>
      </c>
      <c r="K83" s="15">
        <f t="shared" si="68"/>
        <v>228.470588235294</v>
      </c>
      <c r="L83" s="14">
        <f t="shared" si="69"/>
        <v>269.54</v>
      </c>
      <c r="M83" s="16">
        <f t="shared" si="70"/>
        <v>-269.54</v>
      </c>
      <c r="N83" s="14">
        <v>25</v>
      </c>
      <c r="O83" s="15">
        <f t="shared" si="71"/>
        <v>9.96</v>
      </c>
      <c r="P83" s="14">
        <f t="shared" si="72"/>
        <v>0.06859</v>
      </c>
      <c r="Q83" s="16">
        <f t="shared" si="73"/>
        <v>16.0541754</v>
      </c>
      <c r="R83" s="14">
        <f t="shared" si="74"/>
        <v>430.44</v>
      </c>
      <c r="S83" s="16">
        <f t="shared" si="75"/>
        <v>-414.3858246</v>
      </c>
      <c r="T83" s="14">
        <v>45</v>
      </c>
      <c r="U83" s="15">
        <f t="shared" si="76"/>
        <v>46.2</v>
      </c>
      <c r="V83" s="14">
        <f t="shared" si="77"/>
        <v>0.276355</v>
      </c>
      <c r="W83" s="16">
        <f t="shared" si="78"/>
        <v>540.0695223</v>
      </c>
      <c r="X83" s="14">
        <f t="shared" si="79"/>
        <v>743.84</v>
      </c>
      <c r="Y83" s="16">
        <f t="shared" si="80"/>
        <v>-203.7704777</v>
      </c>
      <c r="Z83" s="17">
        <v>4</v>
      </c>
      <c r="AA83" s="17">
        <v>3</v>
      </c>
      <c r="AB83" s="17">
        <v>0</v>
      </c>
      <c r="AC83" s="17">
        <v>1</v>
      </c>
      <c r="AD83" s="16">
        <f t="shared" si="81"/>
        <v>139.777009144701</v>
      </c>
      <c r="AE83" s="18">
        <f t="shared" si="82"/>
        <v>-1071.48553366692</v>
      </c>
      <c r="AF83" s="1">
        <f t="shared" si="83"/>
        <v>95</v>
      </c>
      <c r="AG83" s="1">
        <f>'[1]4'!BH8</f>
        <v>95</v>
      </c>
    </row>
    <row r="84" s="1" customFormat="1" spans="1:33">
      <c r="A84" s="9">
        <v>46116</v>
      </c>
      <c r="B84" s="10" t="s">
        <v>40</v>
      </c>
      <c r="C84" s="10" t="s">
        <v>33</v>
      </c>
      <c r="D84" s="11" t="s">
        <v>34</v>
      </c>
      <c r="E84" s="12">
        <v>772</v>
      </c>
      <c r="F84" s="12">
        <v>1996</v>
      </c>
      <c r="G84" s="13">
        <v>3811</v>
      </c>
      <c r="H84" s="14">
        <v>2</v>
      </c>
      <c r="I84" s="14">
        <f t="shared" si="67"/>
        <v>44.0122222222222</v>
      </c>
      <c r="J84" s="14">
        <v>17</v>
      </c>
      <c r="K84" s="15">
        <f t="shared" si="68"/>
        <v>45.4117647058824</v>
      </c>
      <c r="L84" s="14">
        <f t="shared" si="69"/>
        <v>269.54</v>
      </c>
      <c r="M84" s="16">
        <f t="shared" si="70"/>
        <v>-269.54</v>
      </c>
      <c r="N84" s="14">
        <v>25</v>
      </c>
      <c r="O84" s="15">
        <f t="shared" si="71"/>
        <v>152.44</v>
      </c>
      <c r="P84" s="14">
        <f t="shared" si="72"/>
        <v>0.06859</v>
      </c>
      <c r="Q84" s="16">
        <f t="shared" si="73"/>
        <v>245.7127006</v>
      </c>
      <c r="R84" s="14">
        <f t="shared" si="74"/>
        <v>430.44</v>
      </c>
      <c r="S84" s="16">
        <f t="shared" si="75"/>
        <v>-184.7272994</v>
      </c>
      <c r="T84" s="14">
        <v>45</v>
      </c>
      <c r="U84" s="15">
        <f t="shared" si="76"/>
        <v>44.3555555555556</v>
      </c>
      <c r="V84" s="14">
        <f t="shared" si="77"/>
        <v>0.276355</v>
      </c>
      <c r="W84" s="16">
        <f t="shared" si="78"/>
        <v>518.5083052</v>
      </c>
      <c r="X84" s="14">
        <f t="shared" si="79"/>
        <v>743.84</v>
      </c>
      <c r="Y84" s="16">
        <f t="shared" si="80"/>
        <v>-225.3316948</v>
      </c>
      <c r="Z84" s="17">
        <v>4</v>
      </c>
      <c r="AA84" s="17">
        <v>3</v>
      </c>
      <c r="AB84" s="17">
        <v>0</v>
      </c>
      <c r="AC84" s="17">
        <v>1</v>
      </c>
      <c r="AD84" s="16">
        <f t="shared" si="81"/>
        <v>139.777009144701</v>
      </c>
      <c r="AE84" s="18">
        <f t="shared" si="82"/>
        <v>-863.388225566924</v>
      </c>
      <c r="AF84" s="1">
        <f t="shared" si="83"/>
        <v>95</v>
      </c>
      <c r="AG84" s="1">
        <f>'[1]4'!BH9</f>
        <v>95</v>
      </c>
    </row>
    <row r="85" s="1" customFormat="1" spans="1:33">
      <c r="A85" s="9">
        <v>46116</v>
      </c>
      <c r="B85" s="10" t="s">
        <v>41</v>
      </c>
      <c r="C85" s="10" t="s">
        <v>42</v>
      </c>
      <c r="D85" s="11" t="s">
        <v>34</v>
      </c>
      <c r="E85" s="12">
        <v>2303</v>
      </c>
      <c r="F85" s="12">
        <v>3383</v>
      </c>
      <c r="G85" s="13">
        <v>815</v>
      </c>
      <c r="H85" s="14">
        <v>4</v>
      </c>
      <c r="I85" s="14">
        <f t="shared" si="67"/>
        <v>100.75</v>
      </c>
      <c r="J85" s="14">
        <v>9</v>
      </c>
      <c r="K85" s="15">
        <f t="shared" si="68"/>
        <v>255.888888888889</v>
      </c>
      <c r="L85" s="14">
        <f t="shared" ref="L85:L95" si="84">J85*14.54+21</f>
        <v>151.86</v>
      </c>
      <c r="M85" s="16">
        <f t="shared" si="70"/>
        <v>-151.86</v>
      </c>
      <c r="N85" s="14">
        <v>11</v>
      </c>
      <c r="O85" s="15">
        <f t="shared" si="71"/>
        <v>74.0909090909091</v>
      </c>
      <c r="P85" s="14">
        <f t="shared" si="72"/>
        <v>0.06859</v>
      </c>
      <c r="Q85" s="16">
        <f t="shared" si="73"/>
        <v>52.546799</v>
      </c>
      <c r="R85" s="14">
        <f t="shared" ref="R85:R95" si="85">N85*14.54+21</f>
        <v>180.94</v>
      </c>
      <c r="S85" s="16">
        <f t="shared" si="75"/>
        <v>-128.393201</v>
      </c>
      <c r="T85" s="14">
        <v>32</v>
      </c>
      <c r="U85" s="15">
        <f t="shared" si="76"/>
        <v>105.71875</v>
      </c>
      <c r="V85" s="14">
        <f t="shared" si="77"/>
        <v>0.276355</v>
      </c>
      <c r="W85" s="16">
        <f t="shared" si="78"/>
        <v>878.8144271</v>
      </c>
      <c r="X85" s="14">
        <f t="shared" si="79"/>
        <v>553.78</v>
      </c>
      <c r="Y85" s="16">
        <f t="shared" si="80"/>
        <v>325.0344271</v>
      </c>
      <c r="Z85" s="17">
        <v>0</v>
      </c>
      <c r="AA85" s="17">
        <v>2</v>
      </c>
      <c r="AB85" s="17">
        <v>2</v>
      </c>
      <c r="AC85" s="17">
        <v>1</v>
      </c>
      <c r="AD85" s="16">
        <f t="shared" si="81"/>
        <v>102.654445042137</v>
      </c>
      <c r="AE85" s="18">
        <f t="shared" si="82"/>
        <v>-158.623218942138</v>
      </c>
      <c r="AF85" s="1">
        <f t="shared" si="83"/>
        <v>57</v>
      </c>
      <c r="AG85" s="1">
        <f>'[1]4'!BH10</f>
        <v>57</v>
      </c>
    </row>
    <row r="86" s="1" customFormat="1" spans="1:33">
      <c r="A86" s="9">
        <v>46116</v>
      </c>
      <c r="B86" s="10" t="s">
        <v>43</v>
      </c>
      <c r="C86" s="10" t="s">
        <v>42</v>
      </c>
      <c r="D86" s="11" t="s">
        <v>34</v>
      </c>
      <c r="E86" s="12">
        <v>2687</v>
      </c>
      <c r="F86" s="12">
        <v>1405</v>
      </c>
      <c r="G86" s="13">
        <v>9420</v>
      </c>
      <c r="H86" s="14">
        <v>4</v>
      </c>
      <c r="I86" s="14">
        <f t="shared" si="67"/>
        <v>100.75</v>
      </c>
      <c r="J86" s="14">
        <v>9</v>
      </c>
      <c r="K86" s="15">
        <f t="shared" si="68"/>
        <v>298.555555555556</v>
      </c>
      <c r="L86" s="14">
        <f t="shared" si="84"/>
        <v>151.86</v>
      </c>
      <c r="M86" s="16">
        <f t="shared" si="70"/>
        <v>-151.86</v>
      </c>
      <c r="N86" s="14">
        <v>11</v>
      </c>
      <c r="O86" s="15">
        <f t="shared" si="71"/>
        <v>856.363636363636</v>
      </c>
      <c r="P86" s="14">
        <f t="shared" si="72"/>
        <v>0.06859</v>
      </c>
      <c r="Q86" s="16">
        <f t="shared" si="73"/>
        <v>607.350732</v>
      </c>
      <c r="R86" s="14">
        <f t="shared" si="85"/>
        <v>180.94</v>
      </c>
      <c r="S86" s="16">
        <f t="shared" si="75"/>
        <v>426.410732</v>
      </c>
      <c r="T86" s="14">
        <v>32</v>
      </c>
      <c r="U86" s="15">
        <f t="shared" si="76"/>
        <v>43.90625</v>
      </c>
      <c r="V86" s="14">
        <f t="shared" si="77"/>
        <v>0.276355</v>
      </c>
      <c r="W86" s="16">
        <f t="shared" si="78"/>
        <v>364.9820485</v>
      </c>
      <c r="X86" s="14">
        <f t="shared" si="79"/>
        <v>553.78</v>
      </c>
      <c r="Y86" s="16">
        <f t="shared" si="80"/>
        <v>-188.7979515</v>
      </c>
      <c r="Z86" s="17">
        <v>0</v>
      </c>
      <c r="AA86" s="17">
        <v>2</v>
      </c>
      <c r="AB86" s="17">
        <v>2</v>
      </c>
      <c r="AC86" s="17">
        <v>1</v>
      </c>
      <c r="AD86" s="16">
        <f t="shared" si="81"/>
        <v>102.654445042137</v>
      </c>
      <c r="AE86" s="18">
        <f t="shared" si="82"/>
        <v>-117.651664542137</v>
      </c>
      <c r="AF86" s="1">
        <f t="shared" si="83"/>
        <v>57</v>
      </c>
      <c r="AG86" s="1">
        <f>'[1]4'!BH11</f>
        <v>57</v>
      </c>
    </row>
    <row r="87" s="1" customFormat="1" spans="1:33">
      <c r="A87" s="9">
        <v>46116</v>
      </c>
      <c r="B87" s="10" t="s">
        <v>44</v>
      </c>
      <c r="C87" s="10" t="s">
        <v>42</v>
      </c>
      <c r="D87" s="11" t="s">
        <v>34</v>
      </c>
      <c r="E87" s="12">
        <v>243</v>
      </c>
      <c r="F87" s="12">
        <v>2362</v>
      </c>
      <c r="G87" s="13">
        <v>8845</v>
      </c>
      <c r="H87" s="14">
        <v>4</v>
      </c>
      <c r="I87" s="14">
        <f t="shared" si="67"/>
        <v>100.75</v>
      </c>
      <c r="J87" s="14">
        <v>12</v>
      </c>
      <c r="K87" s="15">
        <f t="shared" si="68"/>
        <v>20.25</v>
      </c>
      <c r="L87" s="14">
        <f t="shared" si="84"/>
        <v>195.48</v>
      </c>
      <c r="M87" s="16">
        <f t="shared" si="70"/>
        <v>-195.48</v>
      </c>
      <c r="N87" s="14">
        <v>13</v>
      </c>
      <c r="O87" s="15">
        <f t="shared" si="71"/>
        <v>680.384615384615</v>
      </c>
      <c r="P87" s="14">
        <f t="shared" si="72"/>
        <v>0.06859</v>
      </c>
      <c r="Q87" s="16">
        <f t="shared" si="73"/>
        <v>570.277837</v>
      </c>
      <c r="R87" s="14">
        <f t="shared" si="85"/>
        <v>210.02</v>
      </c>
      <c r="S87" s="16">
        <f t="shared" si="75"/>
        <v>360.257837</v>
      </c>
      <c r="T87" s="14">
        <v>27</v>
      </c>
      <c r="U87" s="15">
        <f t="shared" si="76"/>
        <v>87.4814814814815</v>
      </c>
      <c r="V87" s="14">
        <f t="shared" si="77"/>
        <v>0.276355</v>
      </c>
      <c r="W87" s="16">
        <f t="shared" si="78"/>
        <v>613.5854794</v>
      </c>
      <c r="X87" s="14">
        <f t="shared" si="79"/>
        <v>480.68</v>
      </c>
      <c r="Y87" s="16">
        <f t="shared" si="80"/>
        <v>132.9054794</v>
      </c>
      <c r="Z87" s="17">
        <v>0</v>
      </c>
      <c r="AA87" s="17">
        <v>2</v>
      </c>
      <c r="AB87" s="17">
        <v>2</v>
      </c>
      <c r="AC87" s="17">
        <v>1</v>
      </c>
      <c r="AD87" s="16">
        <f t="shared" si="81"/>
        <v>102.654445042137</v>
      </c>
      <c r="AE87" s="18">
        <f t="shared" si="82"/>
        <v>94.2788713578626</v>
      </c>
      <c r="AF87" s="1">
        <f t="shared" si="83"/>
        <v>57</v>
      </c>
      <c r="AG87" s="1">
        <f>'[1]4'!BH12</f>
        <v>57</v>
      </c>
    </row>
    <row r="88" s="1" customFormat="1" spans="1:33">
      <c r="A88" s="9">
        <v>46116</v>
      </c>
      <c r="B88" s="10" t="s">
        <v>45</v>
      </c>
      <c r="C88" s="10" t="s">
        <v>42</v>
      </c>
      <c r="D88" s="11" t="s">
        <v>34</v>
      </c>
      <c r="E88" s="12">
        <v>0</v>
      </c>
      <c r="F88" s="12">
        <v>270</v>
      </c>
      <c r="G88" s="13">
        <v>57</v>
      </c>
      <c r="H88" s="14">
        <v>4</v>
      </c>
      <c r="I88" s="14">
        <f t="shared" si="67"/>
        <v>100.75</v>
      </c>
      <c r="J88" s="14">
        <v>12</v>
      </c>
      <c r="K88" s="15">
        <f t="shared" si="68"/>
        <v>0</v>
      </c>
      <c r="L88" s="14">
        <f t="shared" si="84"/>
        <v>195.48</v>
      </c>
      <c r="M88" s="16">
        <f t="shared" si="70"/>
        <v>-195.48</v>
      </c>
      <c r="N88" s="14">
        <v>13</v>
      </c>
      <c r="O88" s="15">
        <f t="shared" si="71"/>
        <v>4.38461538461539</v>
      </c>
      <c r="P88" s="14">
        <f t="shared" si="72"/>
        <v>0.06859</v>
      </c>
      <c r="Q88" s="16">
        <f t="shared" si="73"/>
        <v>3.6750522</v>
      </c>
      <c r="R88" s="14">
        <f t="shared" si="85"/>
        <v>210.02</v>
      </c>
      <c r="S88" s="16">
        <f t="shared" si="75"/>
        <v>-206.3449478</v>
      </c>
      <c r="T88" s="14">
        <v>27</v>
      </c>
      <c r="U88" s="15">
        <f t="shared" si="76"/>
        <v>10</v>
      </c>
      <c r="V88" s="14">
        <f t="shared" si="77"/>
        <v>0.276355</v>
      </c>
      <c r="W88" s="16">
        <f t="shared" si="78"/>
        <v>70.138899</v>
      </c>
      <c r="X88" s="14">
        <f t="shared" si="79"/>
        <v>480.68</v>
      </c>
      <c r="Y88" s="16">
        <f t="shared" si="80"/>
        <v>-410.541101</v>
      </c>
      <c r="Z88" s="17">
        <v>0</v>
      </c>
      <c r="AA88" s="17">
        <v>2</v>
      </c>
      <c r="AB88" s="17">
        <v>2</v>
      </c>
      <c r="AC88" s="17">
        <v>1</v>
      </c>
      <c r="AD88" s="16">
        <f t="shared" si="81"/>
        <v>102.654445042137</v>
      </c>
      <c r="AE88" s="18">
        <f t="shared" si="82"/>
        <v>-1015.77049384214</v>
      </c>
      <c r="AF88" s="1">
        <f t="shared" si="83"/>
        <v>57</v>
      </c>
      <c r="AG88" s="1">
        <f>'[1]4'!BH13</f>
        <v>57</v>
      </c>
    </row>
    <row r="89" s="1" customFormat="1" spans="1:33">
      <c r="A89" s="9">
        <v>46116</v>
      </c>
      <c r="B89" s="10" t="s">
        <v>46</v>
      </c>
      <c r="C89" s="10" t="s">
        <v>42</v>
      </c>
      <c r="D89" s="10" t="s">
        <v>47</v>
      </c>
      <c r="E89" s="12">
        <v>11573</v>
      </c>
      <c r="F89" s="12">
        <v>2666</v>
      </c>
      <c r="G89" s="13">
        <v>27</v>
      </c>
      <c r="H89" s="14">
        <v>4</v>
      </c>
      <c r="I89" s="14">
        <f t="shared" si="67"/>
        <v>100.75</v>
      </c>
      <c r="J89" s="14">
        <v>15</v>
      </c>
      <c r="K89" s="15">
        <f t="shared" si="68"/>
        <v>771.533333333333</v>
      </c>
      <c r="L89" s="14">
        <f t="shared" si="84"/>
        <v>239.1</v>
      </c>
      <c r="M89" s="16">
        <f t="shared" si="70"/>
        <v>-239.1</v>
      </c>
      <c r="N89" s="14">
        <v>20</v>
      </c>
      <c r="O89" s="15">
        <f t="shared" si="71"/>
        <v>1.35</v>
      </c>
      <c r="P89" s="14">
        <f t="shared" si="72"/>
        <v>0.06859</v>
      </c>
      <c r="Q89" s="16">
        <f t="shared" si="73"/>
        <v>1.7408142</v>
      </c>
      <c r="R89" s="14">
        <f t="shared" si="85"/>
        <v>311.8</v>
      </c>
      <c r="S89" s="16">
        <f t="shared" si="75"/>
        <v>-310.0591858</v>
      </c>
      <c r="T89" s="14">
        <v>35</v>
      </c>
      <c r="U89" s="15">
        <f t="shared" si="76"/>
        <v>76.1714285714286</v>
      </c>
      <c r="V89" s="14">
        <f t="shared" si="77"/>
        <v>0.276355</v>
      </c>
      <c r="W89" s="16">
        <f t="shared" si="78"/>
        <v>692.5566842</v>
      </c>
      <c r="X89" s="14">
        <f t="shared" si="79"/>
        <v>597.64</v>
      </c>
      <c r="Y89" s="16">
        <f t="shared" si="80"/>
        <v>94.9166841999998</v>
      </c>
      <c r="Z89" s="17">
        <v>0</v>
      </c>
      <c r="AA89" s="17">
        <v>2</v>
      </c>
      <c r="AB89" s="17">
        <v>2</v>
      </c>
      <c r="AC89" s="17">
        <v>1</v>
      </c>
      <c r="AD89" s="16">
        <f t="shared" si="81"/>
        <v>102.654445042137</v>
      </c>
      <c r="AE89" s="18">
        <f t="shared" si="82"/>
        <v>-657.646946642137</v>
      </c>
      <c r="AF89" s="1">
        <f t="shared" si="83"/>
        <v>75</v>
      </c>
      <c r="AG89" s="1">
        <f>'[1]4'!BH14</f>
        <v>75</v>
      </c>
    </row>
    <row r="90" s="1" customFormat="1" spans="1:33">
      <c r="A90" s="9">
        <v>46116</v>
      </c>
      <c r="B90" s="10" t="s">
        <v>48</v>
      </c>
      <c r="C90" s="10" t="s">
        <v>42</v>
      </c>
      <c r="D90" s="10" t="s">
        <v>49</v>
      </c>
      <c r="E90" s="12">
        <v>8878</v>
      </c>
      <c r="F90" s="12">
        <v>4923</v>
      </c>
      <c r="G90" s="13">
        <v>12</v>
      </c>
      <c r="H90" s="14">
        <v>4</v>
      </c>
      <c r="I90" s="14">
        <f t="shared" si="67"/>
        <v>100.75</v>
      </c>
      <c r="J90" s="14">
        <v>19</v>
      </c>
      <c r="K90" s="15">
        <f t="shared" si="68"/>
        <v>467.263157894737</v>
      </c>
      <c r="L90" s="14">
        <f t="shared" si="84"/>
        <v>297.26</v>
      </c>
      <c r="M90" s="16">
        <f t="shared" si="70"/>
        <v>-297.26</v>
      </c>
      <c r="N90" s="14">
        <v>4</v>
      </c>
      <c r="O90" s="15">
        <f t="shared" si="71"/>
        <v>3</v>
      </c>
      <c r="P90" s="14">
        <f t="shared" si="72"/>
        <v>0.06859</v>
      </c>
      <c r="Q90" s="16">
        <f t="shared" si="73"/>
        <v>0.7736952</v>
      </c>
      <c r="R90" s="14">
        <f t="shared" si="85"/>
        <v>79.16</v>
      </c>
      <c r="S90" s="16">
        <f t="shared" si="75"/>
        <v>-78.3863048</v>
      </c>
      <c r="T90" s="14">
        <v>47</v>
      </c>
      <c r="U90" s="15">
        <f t="shared" si="76"/>
        <v>104.744680851064</v>
      </c>
      <c r="V90" s="14">
        <f t="shared" si="77"/>
        <v>0.276355</v>
      </c>
      <c r="W90" s="16">
        <f t="shared" si="78"/>
        <v>1278.8659251</v>
      </c>
      <c r="X90" s="14">
        <f t="shared" si="79"/>
        <v>773.08</v>
      </c>
      <c r="Y90" s="16">
        <f t="shared" si="80"/>
        <v>505.7859251</v>
      </c>
      <c r="Z90" s="17">
        <v>0</v>
      </c>
      <c r="AA90" s="17">
        <v>2</v>
      </c>
      <c r="AB90" s="17">
        <v>2</v>
      </c>
      <c r="AC90" s="17">
        <v>1</v>
      </c>
      <c r="AD90" s="16">
        <f t="shared" si="81"/>
        <v>102.654445042137</v>
      </c>
      <c r="AE90" s="18">
        <f t="shared" si="82"/>
        <v>-73.2648247421374</v>
      </c>
      <c r="AF90" s="1">
        <f t="shared" si="83"/>
        <v>75</v>
      </c>
      <c r="AG90" s="1">
        <f>'[1]4'!BH15</f>
        <v>75</v>
      </c>
    </row>
    <row r="91" s="1" customFormat="1" spans="1:33">
      <c r="A91" s="9">
        <v>46116</v>
      </c>
      <c r="B91" s="10" t="s">
        <v>50</v>
      </c>
      <c r="C91" s="10" t="s">
        <v>42</v>
      </c>
      <c r="D91" s="10" t="s">
        <v>49</v>
      </c>
      <c r="E91" s="12">
        <v>7321</v>
      </c>
      <c r="F91" s="12">
        <v>2440</v>
      </c>
      <c r="G91" s="13">
        <v>2721</v>
      </c>
      <c r="H91" s="14">
        <v>4</v>
      </c>
      <c r="I91" s="14">
        <f t="shared" si="67"/>
        <v>100.75</v>
      </c>
      <c r="J91" s="14">
        <v>12</v>
      </c>
      <c r="K91" s="15">
        <f t="shared" si="68"/>
        <v>610.083333333333</v>
      </c>
      <c r="L91" s="14">
        <f t="shared" si="84"/>
        <v>195.48</v>
      </c>
      <c r="M91" s="16">
        <f t="shared" si="70"/>
        <v>-195.48</v>
      </c>
      <c r="N91" s="14">
        <v>22</v>
      </c>
      <c r="O91" s="15">
        <f t="shared" si="71"/>
        <v>123.681818181818</v>
      </c>
      <c r="P91" s="14">
        <f t="shared" si="72"/>
        <v>0.06859</v>
      </c>
      <c r="Q91" s="16">
        <f t="shared" si="73"/>
        <v>175.4353866</v>
      </c>
      <c r="R91" s="14">
        <f t="shared" si="85"/>
        <v>340.88</v>
      </c>
      <c r="S91" s="16">
        <f t="shared" si="75"/>
        <v>-165.4446134</v>
      </c>
      <c r="T91" s="14">
        <v>36</v>
      </c>
      <c r="U91" s="15">
        <f t="shared" si="76"/>
        <v>67.7777777777778</v>
      </c>
      <c r="V91" s="14">
        <f t="shared" si="77"/>
        <v>0.276355</v>
      </c>
      <c r="W91" s="16">
        <f t="shared" si="78"/>
        <v>633.847828</v>
      </c>
      <c r="X91" s="14">
        <f t="shared" si="79"/>
        <v>612.26</v>
      </c>
      <c r="Y91" s="16">
        <f t="shared" si="80"/>
        <v>21.5878279999998</v>
      </c>
      <c r="Z91" s="17">
        <v>0</v>
      </c>
      <c r="AA91" s="17">
        <v>2</v>
      </c>
      <c r="AB91" s="17">
        <v>2</v>
      </c>
      <c r="AC91" s="17">
        <v>1</v>
      </c>
      <c r="AD91" s="16">
        <f t="shared" si="81"/>
        <v>102.654445042137</v>
      </c>
      <c r="AE91" s="18">
        <f t="shared" si="82"/>
        <v>-542.741230442138</v>
      </c>
      <c r="AF91" s="1">
        <f t="shared" si="83"/>
        <v>75</v>
      </c>
      <c r="AG91" s="1">
        <f>'[1]4'!BH16</f>
        <v>75</v>
      </c>
    </row>
    <row r="92" s="1" customFormat="1" spans="1:33">
      <c r="A92" s="9">
        <v>46116</v>
      </c>
      <c r="B92" s="10" t="s">
        <v>51</v>
      </c>
      <c r="C92" s="10" t="s">
        <v>42</v>
      </c>
      <c r="D92" s="10" t="s">
        <v>49</v>
      </c>
      <c r="E92" s="12">
        <v>5762</v>
      </c>
      <c r="F92" s="12">
        <v>1110</v>
      </c>
      <c r="G92" s="13">
        <v>12871</v>
      </c>
      <c r="H92" s="14">
        <v>4</v>
      </c>
      <c r="I92" s="14">
        <f t="shared" si="67"/>
        <v>100.75</v>
      </c>
      <c r="J92" s="14">
        <v>12</v>
      </c>
      <c r="K92" s="15">
        <f t="shared" si="68"/>
        <v>480.166666666667</v>
      </c>
      <c r="L92" s="14">
        <f t="shared" si="84"/>
        <v>195.48</v>
      </c>
      <c r="M92" s="16">
        <f t="shared" si="70"/>
        <v>-195.48</v>
      </c>
      <c r="N92" s="14">
        <v>22</v>
      </c>
      <c r="O92" s="15">
        <f t="shared" si="71"/>
        <v>585.045454545455</v>
      </c>
      <c r="P92" s="14">
        <f t="shared" si="72"/>
        <v>0.06859</v>
      </c>
      <c r="Q92" s="16">
        <f t="shared" si="73"/>
        <v>829.8525766</v>
      </c>
      <c r="R92" s="14">
        <f t="shared" si="85"/>
        <v>340.88</v>
      </c>
      <c r="S92" s="16">
        <f t="shared" si="75"/>
        <v>488.9725766</v>
      </c>
      <c r="T92" s="14">
        <v>36</v>
      </c>
      <c r="U92" s="15">
        <f t="shared" si="76"/>
        <v>30.8333333333333</v>
      </c>
      <c r="V92" s="14">
        <f t="shared" si="77"/>
        <v>0.276355</v>
      </c>
      <c r="W92" s="16">
        <f t="shared" si="78"/>
        <v>288.348807</v>
      </c>
      <c r="X92" s="14">
        <f t="shared" si="79"/>
        <v>612.26</v>
      </c>
      <c r="Y92" s="16">
        <f t="shared" si="80"/>
        <v>-323.911193</v>
      </c>
      <c r="Z92" s="17">
        <v>0</v>
      </c>
      <c r="AA92" s="17">
        <v>2</v>
      </c>
      <c r="AB92" s="17">
        <v>2</v>
      </c>
      <c r="AC92" s="17">
        <v>1</v>
      </c>
      <c r="AD92" s="16">
        <f t="shared" si="81"/>
        <v>102.654445042137</v>
      </c>
      <c r="AE92" s="18">
        <f t="shared" si="82"/>
        <v>-233.823061442138</v>
      </c>
      <c r="AF92" s="1">
        <f t="shared" si="83"/>
        <v>75</v>
      </c>
      <c r="AG92" s="1">
        <f>'[1]4'!BH17</f>
        <v>75</v>
      </c>
    </row>
    <row r="93" s="1" customFormat="1" spans="1:33">
      <c r="A93" s="9">
        <v>46116</v>
      </c>
      <c r="B93" s="10" t="s">
        <v>52</v>
      </c>
      <c r="C93" s="10" t="s">
        <v>42</v>
      </c>
      <c r="D93" s="11" t="s">
        <v>34</v>
      </c>
      <c r="E93" s="12">
        <v>0</v>
      </c>
      <c r="F93" s="12">
        <v>2650</v>
      </c>
      <c r="G93" s="13">
        <v>5215</v>
      </c>
      <c r="H93" s="14">
        <v>4</v>
      </c>
      <c r="I93" s="14">
        <f t="shared" si="67"/>
        <v>100.75</v>
      </c>
      <c r="J93" s="14">
        <v>12</v>
      </c>
      <c r="K93" s="15">
        <f t="shared" si="68"/>
        <v>0</v>
      </c>
      <c r="L93" s="14">
        <f t="shared" si="84"/>
        <v>195.48</v>
      </c>
      <c r="M93" s="16">
        <f t="shared" si="70"/>
        <v>-195.48</v>
      </c>
      <c r="N93" s="14">
        <v>22</v>
      </c>
      <c r="O93" s="15">
        <f t="shared" si="71"/>
        <v>237.045454545455</v>
      </c>
      <c r="P93" s="14">
        <f t="shared" si="72"/>
        <v>0.06859</v>
      </c>
      <c r="Q93" s="16">
        <f t="shared" si="73"/>
        <v>336.235039</v>
      </c>
      <c r="R93" s="14">
        <f t="shared" si="85"/>
        <v>340.88</v>
      </c>
      <c r="S93" s="16">
        <f t="shared" si="75"/>
        <v>-4.64496100000002</v>
      </c>
      <c r="T93" s="14">
        <v>36</v>
      </c>
      <c r="U93" s="15">
        <f t="shared" si="76"/>
        <v>73.6111111111111</v>
      </c>
      <c r="V93" s="14">
        <f t="shared" si="77"/>
        <v>0.276355</v>
      </c>
      <c r="W93" s="16">
        <f t="shared" si="78"/>
        <v>688.400305</v>
      </c>
      <c r="X93" s="14">
        <f t="shared" si="79"/>
        <v>612.26</v>
      </c>
      <c r="Y93" s="16">
        <f t="shared" si="80"/>
        <v>76.1403049999998</v>
      </c>
      <c r="Z93" s="17">
        <v>0</v>
      </c>
      <c r="AA93" s="17">
        <v>2</v>
      </c>
      <c r="AB93" s="17">
        <v>2</v>
      </c>
      <c r="AC93" s="17">
        <v>1</v>
      </c>
      <c r="AD93" s="16">
        <f t="shared" si="81"/>
        <v>102.654445042137</v>
      </c>
      <c r="AE93" s="18">
        <f t="shared" si="82"/>
        <v>-327.389101042138</v>
      </c>
      <c r="AF93" s="1">
        <f t="shared" si="83"/>
        <v>75</v>
      </c>
      <c r="AG93" s="1">
        <f>'[1]4'!BH18</f>
        <v>75</v>
      </c>
    </row>
    <row r="94" s="1" customFormat="1" spans="1:33">
      <c r="A94" s="9">
        <v>46116</v>
      </c>
      <c r="B94" s="10" t="s">
        <v>53</v>
      </c>
      <c r="C94" s="10" t="s">
        <v>42</v>
      </c>
      <c r="D94" s="11" t="s">
        <v>34</v>
      </c>
      <c r="E94" s="12">
        <v>0</v>
      </c>
      <c r="F94" s="12">
        <v>3299</v>
      </c>
      <c r="G94" s="13">
        <v>10391</v>
      </c>
      <c r="H94" s="14">
        <v>4</v>
      </c>
      <c r="I94" s="14">
        <f t="shared" si="67"/>
        <v>100.75</v>
      </c>
      <c r="J94" s="14">
        <v>12</v>
      </c>
      <c r="K94" s="15">
        <f t="shared" si="68"/>
        <v>0</v>
      </c>
      <c r="L94" s="14">
        <f t="shared" si="84"/>
        <v>195.48</v>
      </c>
      <c r="M94" s="16">
        <f t="shared" si="70"/>
        <v>-195.48</v>
      </c>
      <c r="N94" s="14">
        <v>22</v>
      </c>
      <c r="O94" s="15">
        <f t="shared" si="71"/>
        <v>472.318181818182</v>
      </c>
      <c r="P94" s="14">
        <f t="shared" si="72"/>
        <v>0.06859</v>
      </c>
      <c r="Q94" s="16">
        <f t="shared" si="73"/>
        <v>669.9555686</v>
      </c>
      <c r="R94" s="14">
        <f t="shared" si="85"/>
        <v>340.88</v>
      </c>
      <c r="S94" s="16">
        <f t="shared" si="75"/>
        <v>329.0755686</v>
      </c>
      <c r="T94" s="14">
        <v>36</v>
      </c>
      <c r="U94" s="15">
        <f t="shared" si="76"/>
        <v>91.6388888888889</v>
      </c>
      <c r="V94" s="14">
        <f t="shared" si="77"/>
        <v>0.276355</v>
      </c>
      <c r="W94" s="16">
        <f t="shared" si="78"/>
        <v>856.9934363</v>
      </c>
      <c r="X94" s="14">
        <f t="shared" si="79"/>
        <v>612.26</v>
      </c>
      <c r="Y94" s="16">
        <f t="shared" si="80"/>
        <v>244.7334363</v>
      </c>
      <c r="Z94" s="17">
        <v>0</v>
      </c>
      <c r="AA94" s="17">
        <v>2</v>
      </c>
      <c r="AB94" s="17">
        <v>2</v>
      </c>
      <c r="AC94" s="17">
        <v>1</v>
      </c>
      <c r="AD94" s="16">
        <f t="shared" si="81"/>
        <v>102.654445042137</v>
      </c>
      <c r="AE94" s="18">
        <f t="shared" si="82"/>
        <v>174.924559857863</v>
      </c>
      <c r="AF94" s="1">
        <f t="shared" si="83"/>
        <v>75</v>
      </c>
      <c r="AG94" s="1">
        <f>'[1]4'!BH19</f>
        <v>75</v>
      </c>
    </row>
    <row r="95" s="1" customFormat="1" spans="1:33">
      <c r="A95" s="9">
        <v>46116</v>
      </c>
      <c r="B95" s="10" t="s">
        <v>54</v>
      </c>
      <c r="C95" s="10" t="s">
        <v>42</v>
      </c>
      <c r="D95" s="10" t="s">
        <v>49</v>
      </c>
      <c r="E95" s="12">
        <v>3827</v>
      </c>
      <c r="F95" s="12">
        <v>2580</v>
      </c>
      <c r="G95" s="13">
        <v>4797</v>
      </c>
      <c r="H95" s="14">
        <v>4</v>
      </c>
      <c r="I95" s="14">
        <f t="shared" si="67"/>
        <v>100.75</v>
      </c>
      <c r="J95" s="14">
        <v>12</v>
      </c>
      <c r="K95" s="15">
        <f t="shared" si="68"/>
        <v>318.916666666667</v>
      </c>
      <c r="L95" s="14">
        <f t="shared" si="84"/>
        <v>195.48</v>
      </c>
      <c r="M95" s="16">
        <f t="shared" si="70"/>
        <v>-195.48</v>
      </c>
      <c r="N95" s="14">
        <v>22</v>
      </c>
      <c r="O95" s="15">
        <f t="shared" si="71"/>
        <v>218.045454545455</v>
      </c>
      <c r="P95" s="14">
        <f t="shared" si="72"/>
        <v>0.06859</v>
      </c>
      <c r="Q95" s="16">
        <f t="shared" si="73"/>
        <v>309.2846562</v>
      </c>
      <c r="R95" s="14">
        <f t="shared" si="85"/>
        <v>340.88</v>
      </c>
      <c r="S95" s="16">
        <f t="shared" si="75"/>
        <v>-31.5953438</v>
      </c>
      <c r="T95" s="14">
        <v>36</v>
      </c>
      <c r="U95" s="15">
        <f t="shared" si="76"/>
        <v>71.6666666666667</v>
      </c>
      <c r="V95" s="14">
        <f t="shared" si="77"/>
        <v>0.276355</v>
      </c>
      <c r="W95" s="16">
        <f t="shared" si="78"/>
        <v>670.216146</v>
      </c>
      <c r="X95" s="14">
        <f t="shared" si="79"/>
        <v>612.26</v>
      </c>
      <c r="Y95" s="16">
        <f t="shared" si="80"/>
        <v>57.9561459999999</v>
      </c>
      <c r="Z95" s="17">
        <v>0</v>
      </c>
      <c r="AA95" s="17">
        <v>2</v>
      </c>
      <c r="AB95" s="17">
        <v>2</v>
      </c>
      <c r="AC95" s="17">
        <v>1</v>
      </c>
      <c r="AD95" s="16">
        <f t="shared" si="81"/>
        <v>102.654445042137</v>
      </c>
      <c r="AE95" s="18">
        <f t="shared" si="82"/>
        <v>-372.523642842138</v>
      </c>
      <c r="AF95" s="1">
        <f t="shared" si="83"/>
        <v>75</v>
      </c>
      <c r="AG95" s="1">
        <f>'[1]4'!BH20</f>
        <v>75</v>
      </c>
    </row>
    <row r="96" s="1" customFormat="1" spans="1:33">
      <c r="A96" s="9">
        <v>46116</v>
      </c>
      <c r="B96" s="10" t="s">
        <v>55</v>
      </c>
      <c r="C96" s="10" t="s">
        <v>33</v>
      </c>
      <c r="D96" s="10" t="s">
        <v>49</v>
      </c>
      <c r="E96" s="12">
        <v>18493</v>
      </c>
      <c r="F96" s="12">
        <v>3058</v>
      </c>
      <c r="G96" s="13">
        <v>745</v>
      </c>
      <c r="H96" s="14">
        <v>2</v>
      </c>
      <c r="I96" s="14">
        <f t="shared" si="67"/>
        <v>44.0122222222222</v>
      </c>
      <c r="J96" s="14">
        <v>28</v>
      </c>
      <c r="K96" s="15">
        <f t="shared" si="68"/>
        <v>660.464285714286</v>
      </c>
      <c r="L96" s="14">
        <f t="shared" ref="L96:L101" si="86">J96*14.62+21</f>
        <v>430.36</v>
      </c>
      <c r="M96" s="16">
        <f t="shared" si="70"/>
        <v>-430.36</v>
      </c>
      <c r="N96" s="14">
        <v>21</v>
      </c>
      <c r="O96" s="15">
        <f t="shared" si="71"/>
        <v>35.4761904761905</v>
      </c>
      <c r="P96" s="14">
        <f t="shared" si="72"/>
        <v>0.06859</v>
      </c>
      <c r="Q96" s="16">
        <f t="shared" si="73"/>
        <v>48.033577</v>
      </c>
      <c r="R96" s="14">
        <f t="shared" ref="R96:R101" si="87">(N96-13)*14.62+13*18+21</f>
        <v>371.96</v>
      </c>
      <c r="S96" s="16">
        <f t="shared" si="75"/>
        <v>-323.926423</v>
      </c>
      <c r="T96" s="14">
        <v>58</v>
      </c>
      <c r="U96" s="15">
        <f t="shared" si="76"/>
        <v>52.7241379310345</v>
      </c>
      <c r="V96" s="14">
        <f t="shared" si="77"/>
        <v>0.276355</v>
      </c>
      <c r="W96" s="16">
        <f t="shared" si="78"/>
        <v>794.3879746</v>
      </c>
      <c r="X96" s="14">
        <f t="shared" si="79"/>
        <v>933.9</v>
      </c>
      <c r="Y96" s="16">
        <f t="shared" si="80"/>
        <v>-139.5120254</v>
      </c>
      <c r="Z96" s="17">
        <v>4</v>
      </c>
      <c r="AA96" s="17">
        <v>3</v>
      </c>
      <c r="AB96" s="17">
        <v>0</v>
      </c>
      <c r="AC96" s="17">
        <v>1</v>
      </c>
      <c r="AD96" s="16">
        <f t="shared" si="81"/>
        <v>139.777009144701</v>
      </c>
      <c r="AE96" s="18">
        <f t="shared" si="82"/>
        <v>-1077.58767976692</v>
      </c>
      <c r="AF96" s="1">
        <f t="shared" si="83"/>
        <v>115</v>
      </c>
      <c r="AG96" s="1">
        <f>'[1]4'!BH21</f>
        <v>115</v>
      </c>
    </row>
    <row r="97" s="1" customFormat="1" spans="1:33">
      <c r="A97" s="9">
        <v>46116</v>
      </c>
      <c r="B97" s="10" t="s">
        <v>56</v>
      </c>
      <c r="C97" s="10" t="s">
        <v>33</v>
      </c>
      <c r="D97" s="10" t="s">
        <v>49</v>
      </c>
      <c r="E97" s="12">
        <v>21324</v>
      </c>
      <c r="F97" s="12">
        <v>6711</v>
      </c>
      <c r="G97" s="13">
        <v>11504</v>
      </c>
      <c r="H97" s="14">
        <v>2</v>
      </c>
      <c r="I97" s="14">
        <f t="shared" si="67"/>
        <v>44.0122222222222</v>
      </c>
      <c r="J97" s="14">
        <v>28</v>
      </c>
      <c r="K97" s="15">
        <f t="shared" si="68"/>
        <v>761.571428571429</v>
      </c>
      <c r="L97" s="14">
        <f t="shared" si="86"/>
        <v>430.36</v>
      </c>
      <c r="M97" s="16">
        <f t="shared" si="70"/>
        <v>-430.36</v>
      </c>
      <c r="N97" s="14">
        <v>31</v>
      </c>
      <c r="O97" s="15">
        <f t="shared" si="71"/>
        <v>371.096774193548</v>
      </c>
      <c r="P97" s="14">
        <f t="shared" si="72"/>
        <v>0.06859</v>
      </c>
      <c r="Q97" s="16">
        <f t="shared" si="73"/>
        <v>741.7157984</v>
      </c>
      <c r="R97" s="14">
        <f t="shared" si="87"/>
        <v>518.16</v>
      </c>
      <c r="S97" s="16">
        <f t="shared" si="75"/>
        <v>223.5557984</v>
      </c>
      <c r="T97" s="14">
        <v>48</v>
      </c>
      <c r="U97" s="15">
        <f t="shared" si="76"/>
        <v>139.8125</v>
      </c>
      <c r="V97" s="14">
        <f t="shared" si="77"/>
        <v>0.276355</v>
      </c>
      <c r="W97" s="16">
        <f t="shared" si="78"/>
        <v>1743.3413007</v>
      </c>
      <c r="X97" s="14">
        <f t="shared" si="79"/>
        <v>787.7</v>
      </c>
      <c r="Y97" s="16">
        <f t="shared" si="80"/>
        <v>955.6413007</v>
      </c>
      <c r="Z97" s="17">
        <v>4</v>
      </c>
      <c r="AA97" s="17">
        <v>3</v>
      </c>
      <c r="AB97" s="17">
        <v>0</v>
      </c>
      <c r="AC97" s="17">
        <v>1</v>
      </c>
      <c r="AD97" s="16">
        <f t="shared" si="81"/>
        <v>139.777009144701</v>
      </c>
      <c r="AE97" s="18">
        <f t="shared" si="82"/>
        <v>565.047867733076</v>
      </c>
      <c r="AF97" s="1">
        <f t="shared" si="83"/>
        <v>115</v>
      </c>
      <c r="AG97" s="1">
        <f>'[1]4'!BH22</f>
        <v>115</v>
      </c>
    </row>
    <row r="98" s="1" customFormat="1" spans="1:33">
      <c r="A98" s="9">
        <v>46116</v>
      </c>
      <c r="B98" s="10" t="s">
        <v>57</v>
      </c>
      <c r="C98" s="10" t="s">
        <v>33</v>
      </c>
      <c r="D98" s="10" t="s">
        <v>49</v>
      </c>
      <c r="E98" s="12">
        <v>17178</v>
      </c>
      <c r="F98" s="12">
        <v>5183</v>
      </c>
      <c r="G98" s="13">
        <v>14881</v>
      </c>
      <c r="H98" s="14">
        <v>2</v>
      </c>
      <c r="I98" s="14">
        <f t="shared" si="67"/>
        <v>44.0122222222222</v>
      </c>
      <c r="J98" s="14">
        <v>28</v>
      </c>
      <c r="K98" s="15">
        <f t="shared" si="68"/>
        <v>613.5</v>
      </c>
      <c r="L98" s="14">
        <f t="shared" si="86"/>
        <v>430.36</v>
      </c>
      <c r="M98" s="16">
        <f t="shared" si="70"/>
        <v>-430.36</v>
      </c>
      <c r="N98" s="14">
        <v>31</v>
      </c>
      <c r="O98" s="15">
        <f t="shared" si="71"/>
        <v>480.032258064516</v>
      </c>
      <c r="P98" s="14">
        <f t="shared" si="72"/>
        <v>0.06859</v>
      </c>
      <c r="Q98" s="16">
        <f t="shared" si="73"/>
        <v>959.4465226</v>
      </c>
      <c r="R98" s="14">
        <f t="shared" si="87"/>
        <v>518.16</v>
      </c>
      <c r="S98" s="16">
        <f t="shared" si="75"/>
        <v>441.2865226</v>
      </c>
      <c r="T98" s="14">
        <v>48</v>
      </c>
      <c r="U98" s="15">
        <f t="shared" si="76"/>
        <v>107.979166666667</v>
      </c>
      <c r="V98" s="14">
        <f t="shared" si="77"/>
        <v>0.276355</v>
      </c>
      <c r="W98" s="16">
        <f t="shared" si="78"/>
        <v>1346.4070871</v>
      </c>
      <c r="X98" s="14">
        <f t="shared" si="79"/>
        <v>787.7</v>
      </c>
      <c r="Y98" s="16">
        <f t="shared" si="80"/>
        <v>558.7070871</v>
      </c>
      <c r="Z98" s="17">
        <v>4</v>
      </c>
      <c r="AA98" s="17">
        <v>3</v>
      </c>
      <c r="AB98" s="17">
        <v>0</v>
      </c>
      <c r="AC98" s="17">
        <v>1</v>
      </c>
      <c r="AD98" s="16">
        <f t="shared" si="81"/>
        <v>139.777009144701</v>
      </c>
      <c r="AE98" s="18">
        <f t="shared" si="82"/>
        <v>385.844378333076</v>
      </c>
      <c r="AF98" s="1">
        <f t="shared" si="83"/>
        <v>115</v>
      </c>
      <c r="AG98" s="1">
        <f>'[1]4'!BH23</f>
        <v>115</v>
      </c>
    </row>
    <row r="99" s="1" customFormat="1" spans="1:33">
      <c r="A99" s="9">
        <v>46116</v>
      </c>
      <c r="B99" s="10" t="s">
        <v>58</v>
      </c>
      <c r="C99" s="10" t="s">
        <v>33</v>
      </c>
      <c r="D99" s="10" t="s">
        <v>49</v>
      </c>
      <c r="E99" s="12">
        <v>6540</v>
      </c>
      <c r="F99" s="12">
        <v>3849</v>
      </c>
      <c r="G99" s="13">
        <v>13353</v>
      </c>
      <c r="H99" s="14">
        <v>2</v>
      </c>
      <c r="I99" s="14">
        <f t="shared" si="67"/>
        <v>44.0122222222222</v>
      </c>
      <c r="J99" s="14">
        <v>28</v>
      </c>
      <c r="K99" s="15">
        <f t="shared" si="68"/>
        <v>233.571428571429</v>
      </c>
      <c r="L99" s="14">
        <f t="shared" si="86"/>
        <v>430.36</v>
      </c>
      <c r="M99" s="16">
        <f t="shared" si="70"/>
        <v>-430.36</v>
      </c>
      <c r="N99" s="14">
        <v>31</v>
      </c>
      <c r="O99" s="15">
        <f t="shared" si="71"/>
        <v>430.741935483871</v>
      </c>
      <c r="P99" s="14">
        <f t="shared" si="72"/>
        <v>0.06859</v>
      </c>
      <c r="Q99" s="16">
        <f t="shared" si="73"/>
        <v>860.9293338</v>
      </c>
      <c r="R99" s="14">
        <f t="shared" si="87"/>
        <v>518.16</v>
      </c>
      <c r="S99" s="16">
        <f t="shared" si="75"/>
        <v>342.7693338</v>
      </c>
      <c r="T99" s="14">
        <v>48</v>
      </c>
      <c r="U99" s="15">
        <f t="shared" si="76"/>
        <v>80.1875</v>
      </c>
      <c r="V99" s="14">
        <f t="shared" si="77"/>
        <v>0.276355</v>
      </c>
      <c r="W99" s="16">
        <f t="shared" si="78"/>
        <v>999.8689713</v>
      </c>
      <c r="X99" s="14">
        <f t="shared" si="79"/>
        <v>787.7</v>
      </c>
      <c r="Y99" s="16">
        <f t="shared" si="80"/>
        <v>212.1689713</v>
      </c>
      <c r="Z99" s="17">
        <v>4</v>
      </c>
      <c r="AA99" s="17">
        <v>3</v>
      </c>
      <c r="AB99" s="17">
        <v>0</v>
      </c>
      <c r="AC99" s="17">
        <v>1</v>
      </c>
      <c r="AD99" s="16">
        <f t="shared" si="81"/>
        <v>139.777009144701</v>
      </c>
      <c r="AE99" s="18">
        <f t="shared" si="82"/>
        <v>-59.210926266924</v>
      </c>
      <c r="AF99" s="1">
        <f t="shared" si="83"/>
        <v>115</v>
      </c>
      <c r="AG99" s="1">
        <f>'[1]4'!BH24</f>
        <v>115</v>
      </c>
    </row>
    <row r="100" s="1" customFormat="1" spans="1:33">
      <c r="A100" s="9">
        <v>46116</v>
      </c>
      <c r="B100" s="10" t="s">
        <v>59</v>
      </c>
      <c r="C100" s="10" t="s">
        <v>33</v>
      </c>
      <c r="D100" s="10" t="s">
        <v>49</v>
      </c>
      <c r="E100" s="12">
        <v>0</v>
      </c>
      <c r="F100" s="12">
        <v>1056</v>
      </c>
      <c r="G100" s="13">
        <v>7040</v>
      </c>
      <c r="H100" s="14">
        <v>2</v>
      </c>
      <c r="I100" s="14">
        <f t="shared" si="67"/>
        <v>44.0122222222222</v>
      </c>
      <c r="J100" s="14">
        <v>28</v>
      </c>
      <c r="K100" s="15">
        <f t="shared" si="68"/>
        <v>0</v>
      </c>
      <c r="L100" s="14">
        <f t="shared" si="86"/>
        <v>430.36</v>
      </c>
      <c r="M100" s="16">
        <f t="shared" si="70"/>
        <v>-430.36</v>
      </c>
      <c r="N100" s="14">
        <v>31</v>
      </c>
      <c r="O100" s="15">
        <f t="shared" si="71"/>
        <v>227.096774193548</v>
      </c>
      <c r="P100" s="14">
        <f t="shared" si="72"/>
        <v>0.06859</v>
      </c>
      <c r="Q100" s="16">
        <f t="shared" si="73"/>
        <v>453.901184</v>
      </c>
      <c r="R100" s="14">
        <f t="shared" si="87"/>
        <v>518.16</v>
      </c>
      <c r="S100" s="16">
        <f t="shared" si="75"/>
        <v>-64.258816</v>
      </c>
      <c r="T100" s="14">
        <v>48</v>
      </c>
      <c r="U100" s="15">
        <f t="shared" si="76"/>
        <v>22</v>
      </c>
      <c r="V100" s="14">
        <f t="shared" si="77"/>
        <v>0.276355</v>
      </c>
      <c r="W100" s="16">
        <f t="shared" si="78"/>
        <v>274.3210272</v>
      </c>
      <c r="X100" s="14">
        <f t="shared" si="79"/>
        <v>787.7</v>
      </c>
      <c r="Y100" s="16">
        <f t="shared" si="80"/>
        <v>-513.3789728</v>
      </c>
      <c r="Z100" s="17">
        <v>4</v>
      </c>
      <c r="AA100" s="17">
        <v>3</v>
      </c>
      <c r="AB100" s="17">
        <v>0</v>
      </c>
      <c r="AC100" s="17">
        <v>1</v>
      </c>
      <c r="AD100" s="16">
        <f t="shared" si="81"/>
        <v>139.777009144701</v>
      </c>
      <c r="AE100" s="18">
        <f t="shared" si="82"/>
        <v>-1191.78702016692</v>
      </c>
      <c r="AF100" s="1">
        <f t="shared" si="83"/>
        <v>115</v>
      </c>
      <c r="AG100" s="1">
        <f>'[1]4'!BH25</f>
        <v>115</v>
      </c>
    </row>
    <row r="101" s="1" customFormat="1" spans="1:33">
      <c r="A101" s="9">
        <v>46116</v>
      </c>
      <c r="B101" s="10" t="s">
        <v>60</v>
      </c>
      <c r="C101" s="10" t="s">
        <v>33</v>
      </c>
      <c r="D101" s="11" t="s">
        <v>47</v>
      </c>
      <c r="E101" s="12">
        <v>0</v>
      </c>
      <c r="F101" s="12">
        <v>5213</v>
      </c>
      <c r="G101" s="13">
        <v>9877</v>
      </c>
      <c r="H101" s="14">
        <v>2</v>
      </c>
      <c r="I101" s="14">
        <f t="shared" si="67"/>
        <v>44.0122222222222</v>
      </c>
      <c r="J101" s="14">
        <v>27</v>
      </c>
      <c r="K101" s="15">
        <f t="shared" si="68"/>
        <v>0</v>
      </c>
      <c r="L101" s="14">
        <f t="shared" si="86"/>
        <v>415.74</v>
      </c>
      <c r="M101" s="16">
        <f t="shared" si="70"/>
        <v>-415.74</v>
      </c>
      <c r="N101" s="14">
        <v>31</v>
      </c>
      <c r="O101" s="15">
        <f t="shared" si="71"/>
        <v>318.612903225806</v>
      </c>
      <c r="P101" s="14">
        <f t="shared" si="72"/>
        <v>0.06859</v>
      </c>
      <c r="Q101" s="16">
        <f t="shared" si="73"/>
        <v>636.8156242</v>
      </c>
      <c r="R101" s="14">
        <f t="shared" si="87"/>
        <v>518.16</v>
      </c>
      <c r="S101" s="16">
        <f t="shared" si="75"/>
        <v>118.6556242</v>
      </c>
      <c r="T101" s="14">
        <v>49</v>
      </c>
      <c r="U101" s="15">
        <f t="shared" si="76"/>
        <v>106.387755102041</v>
      </c>
      <c r="V101" s="14">
        <f t="shared" si="77"/>
        <v>0.276355</v>
      </c>
      <c r="W101" s="16">
        <f t="shared" si="78"/>
        <v>1354.2002981</v>
      </c>
      <c r="X101" s="14">
        <f t="shared" si="79"/>
        <v>802.32</v>
      </c>
      <c r="Y101" s="16">
        <f t="shared" si="80"/>
        <v>551.8802981</v>
      </c>
      <c r="Z101" s="17">
        <v>4</v>
      </c>
      <c r="AA101" s="17">
        <v>3</v>
      </c>
      <c r="AB101" s="17">
        <v>0</v>
      </c>
      <c r="AC101" s="17">
        <v>1</v>
      </c>
      <c r="AD101" s="16">
        <f t="shared" si="81"/>
        <v>139.777009144701</v>
      </c>
      <c r="AE101" s="18">
        <f t="shared" si="82"/>
        <v>71.0066909330763</v>
      </c>
      <c r="AF101" s="1">
        <f t="shared" si="83"/>
        <v>115</v>
      </c>
      <c r="AG101" s="1">
        <f>'[1]4'!BH26</f>
        <v>115</v>
      </c>
    </row>
    <row r="102" s="1" customFormat="1" spans="1:33">
      <c r="B102" s="2"/>
      <c r="C102" s="2"/>
      <c r="D102" s="2"/>
      <c r="E102" s="2"/>
      <c r="F102" s="2"/>
      <c r="G102" s="2"/>
      <c r="H102" s="2"/>
      <c r="I102" s="3"/>
      <c r="AE102" s="18">
        <f>SUM(AE78:AE101)</f>
        <v>-5781.78732863352</v>
      </c>
    </row>
    <row r="103" s="1" customFormat="1" spans="1:33">
      <c r="A103" s="9">
        <v>46117</v>
      </c>
      <c r="B103" s="10" t="s">
        <v>32</v>
      </c>
      <c r="C103" s="10" t="s">
        <v>33</v>
      </c>
      <c r="D103" s="11" t="s">
        <v>34</v>
      </c>
      <c r="E103" s="12">
        <v>15241</v>
      </c>
      <c r="F103" s="12">
        <v>1723</v>
      </c>
      <c r="G103" s="13">
        <v>6477</v>
      </c>
      <c r="H103" s="14">
        <v>2</v>
      </c>
      <c r="I103" s="14">
        <f t="shared" ref="I103:I126" si="88">IF(H103=2,21.79+16000/30/24,25.75+12000/30/24*2+30000/30/24)</f>
        <v>44.0122222222222</v>
      </c>
      <c r="J103" s="14">
        <v>17</v>
      </c>
      <c r="K103" s="15">
        <f t="shared" ref="K103:K126" si="89">E103/J103</f>
        <v>896.529411764706</v>
      </c>
      <c r="L103" s="14">
        <f t="shared" ref="L103:L109" si="90">J103*14.62+21</f>
        <v>269.54</v>
      </c>
      <c r="M103" s="16">
        <f t="shared" ref="M103:M126" si="91">0-L103</f>
        <v>-269.54</v>
      </c>
      <c r="N103" s="14">
        <v>25</v>
      </c>
      <c r="O103" s="15">
        <f t="shared" ref="O103:O126" si="92">G103/N103</f>
        <v>259.08</v>
      </c>
      <c r="P103" s="14">
        <f t="shared" ref="P103:P126" si="93">0.0722*0.95</f>
        <v>0.06859</v>
      </c>
      <c r="Q103" s="16">
        <f t="shared" ref="Q103:Q126" si="94">P103*G103*0.94</f>
        <v>417.6019842</v>
      </c>
      <c r="R103" s="14">
        <f t="shared" ref="R103:R109" si="95">(N103-13)*14.62+13*18+21</f>
        <v>430.44</v>
      </c>
      <c r="S103" s="16">
        <f t="shared" ref="S103:S126" si="96">Q103-R103</f>
        <v>-12.8380158</v>
      </c>
      <c r="T103" s="14">
        <v>45</v>
      </c>
      <c r="U103" s="15">
        <f t="shared" ref="U103:U126" si="97">F103/T103</f>
        <v>38.2888888888889</v>
      </c>
      <c r="V103" s="14">
        <f t="shared" ref="V103:V126" si="98">0.2909*0.95</f>
        <v>0.276355</v>
      </c>
      <c r="W103" s="16">
        <f t="shared" ref="W103:W126" si="99">V103*F103*0.94</f>
        <v>447.5900851</v>
      </c>
      <c r="X103" s="14">
        <f t="shared" ref="X103:X126" si="100">(T103-13)*14.62+13*18+42</f>
        <v>743.84</v>
      </c>
      <c r="Y103" s="16">
        <f t="shared" ref="Y103:Y126" si="101">W103-X103</f>
        <v>-296.2499149</v>
      </c>
      <c r="Z103" s="17">
        <v>4</v>
      </c>
      <c r="AA103" s="17">
        <v>3</v>
      </c>
      <c r="AB103" s="17">
        <v>0</v>
      </c>
      <c r="AC103" s="17">
        <v>1</v>
      </c>
      <c r="AD103" s="16">
        <f t="shared" ref="AD103:AD126" si="102">(Z103-1)*14.62+(9000/26/13)+(AA103-1)*14.54+7500/26/11+AB103*(4200/26/9)+AC103*(4000/26/11)</f>
        <v>139.777009144701</v>
      </c>
      <c r="AE103" s="18">
        <f t="shared" ref="AE103:AE126" si="103">M103+S103+Y103-I103-AD103</f>
        <v>-762.417162066924</v>
      </c>
      <c r="AF103" s="1">
        <f t="shared" ref="AF103:AF126" si="104">AB103+AA103+Z103+T103+N103+J103+AC103</f>
        <v>95</v>
      </c>
      <c r="AG103" s="1">
        <f>'[1]5'!BH3</f>
        <v>95</v>
      </c>
    </row>
    <row r="104" s="1" customFormat="1" spans="1:33">
      <c r="A104" s="9">
        <v>46117</v>
      </c>
      <c r="B104" s="10" t="s">
        <v>35</v>
      </c>
      <c r="C104" s="10" t="s">
        <v>33</v>
      </c>
      <c r="D104" s="11" t="s">
        <v>34</v>
      </c>
      <c r="E104" s="12">
        <v>0</v>
      </c>
      <c r="F104" s="12">
        <v>4004</v>
      </c>
      <c r="G104" s="13">
        <v>11576</v>
      </c>
      <c r="H104" s="14">
        <v>2</v>
      </c>
      <c r="I104" s="14">
        <f t="shared" si="88"/>
        <v>44.0122222222222</v>
      </c>
      <c r="J104" s="14">
        <v>17</v>
      </c>
      <c r="K104" s="15">
        <f t="shared" si="89"/>
        <v>0</v>
      </c>
      <c r="L104" s="14">
        <f t="shared" si="90"/>
        <v>269.54</v>
      </c>
      <c r="M104" s="16">
        <f t="shared" si="91"/>
        <v>-269.54</v>
      </c>
      <c r="N104" s="14">
        <v>25</v>
      </c>
      <c r="O104" s="15">
        <f t="shared" si="92"/>
        <v>463.04</v>
      </c>
      <c r="P104" s="14">
        <f t="shared" si="93"/>
        <v>0.06859</v>
      </c>
      <c r="Q104" s="16">
        <f t="shared" si="94"/>
        <v>746.3579696</v>
      </c>
      <c r="R104" s="14">
        <f t="shared" si="95"/>
        <v>430.44</v>
      </c>
      <c r="S104" s="16">
        <f t="shared" si="96"/>
        <v>315.9179696</v>
      </c>
      <c r="T104" s="14">
        <v>45</v>
      </c>
      <c r="U104" s="15">
        <f t="shared" si="97"/>
        <v>88.9777777777778</v>
      </c>
      <c r="V104" s="14">
        <f t="shared" si="98"/>
        <v>0.276355</v>
      </c>
      <c r="W104" s="16">
        <f t="shared" si="99"/>
        <v>1040.1338948</v>
      </c>
      <c r="X104" s="14">
        <f t="shared" si="100"/>
        <v>743.84</v>
      </c>
      <c r="Y104" s="16">
        <f t="shared" si="101"/>
        <v>296.2938948</v>
      </c>
      <c r="Z104" s="17">
        <v>4</v>
      </c>
      <c r="AA104" s="17">
        <v>3</v>
      </c>
      <c r="AB104" s="17">
        <v>0</v>
      </c>
      <c r="AC104" s="17">
        <v>1</v>
      </c>
      <c r="AD104" s="16">
        <f t="shared" si="102"/>
        <v>139.777009144701</v>
      </c>
      <c r="AE104" s="18">
        <f t="shared" si="103"/>
        <v>158.882633033076</v>
      </c>
      <c r="AF104" s="1">
        <f t="shared" si="104"/>
        <v>95</v>
      </c>
      <c r="AG104" s="1">
        <f>'[1]5'!BH4</f>
        <v>95</v>
      </c>
    </row>
    <row r="105" s="1" customFormat="1" spans="1:33">
      <c r="A105" s="9">
        <v>46117</v>
      </c>
      <c r="B105" s="10" t="s">
        <v>36</v>
      </c>
      <c r="C105" s="10" t="s">
        <v>33</v>
      </c>
      <c r="D105" s="11" t="s">
        <v>34</v>
      </c>
      <c r="E105" s="12">
        <v>0</v>
      </c>
      <c r="F105" s="12">
        <v>1770</v>
      </c>
      <c r="G105" s="13">
        <v>12721</v>
      </c>
      <c r="H105" s="14">
        <v>2</v>
      </c>
      <c r="I105" s="14">
        <f t="shared" si="88"/>
        <v>44.0122222222222</v>
      </c>
      <c r="J105" s="14">
        <v>17</v>
      </c>
      <c r="K105" s="15">
        <f t="shared" si="89"/>
        <v>0</v>
      </c>
      <c r="L105" s="14">
        <f t="shared" si="90"/>
        <v>269.54</v>
      </c>
      <c r="M105" s="16">
        <f t="shared" si="91"/>
        <v>-269.54</v>
      </c>
      <c r="N105" s="14">
        <v>25</v>
      </c>
      <c r="O105" s="15">
        <f t="shared" si="92"/>
        <v>508.84</v>
      </c>
      <c r="P105" s="14">
        <f t="shared" si="93"/>
        <v>0.06859</v>
      </c>
      <c r="Q105" s="16">
        <f t="shared" si="94"/>
        <v>820.1813866</v>
      </c>
      <c r="R105" s="14">
        <f t="shared" si="95"/>
        <v>430.44</v>
      </c>
      <c r="S105" s="16">
        <f t="shared" si="96"/>
        <v>389.7413866</v>
      </c>
      <c r="T105" s="14">
        <v>45</v>
      </c>
      <c r="U105" s="15">
        <f t="shared" si="97"/>
        <v>39.3333333333333</v>
      </c>
      <c r="V105" s="14">
        <f t="shared" si="98"/>
        <v>0.276355</v>
      </c>
      <c r="W105" s="16">
        <f t="shared" si="99"/>
        <v>459.799449</v>
      </c>
      <c r="X105" s="14">
        <f t="shared" si="100"/>
        <v>743.84</v>
      </c>
      <c r="Y105" s="16">
        <f t="shared" si="101"/>
        <v>-284.040551</v>
      </c>
      <c r="Z105" s="17">
        <v>4</v>
      </c>
      <c r="AA105" s="17">
        <v>3</v>
      </c>
      <c r="AB105" s="17">
        <v>0</v>
      </c>
      <c r="AC105" s="17">
        <v>1</v>
      </c>
      <c r="AD105" s="16">
        <f t="shared" si="102"/>
        <v>139.777009144701</v>
      </c>
      <c r="AE105" s="18">
        <f t="shared" si="103"/>
        <v>-347.628395766924</v>
      </c>
      <c r="AF105" s="1">
        <f t="shared" si="104"/>
        <v>95</v>
      </c>
      <c r="AG105" s="1">
        <f>'[1]5'!BH5</f>
        <v>95</v>
      </c>
    </row>
    <row r="106" s="1" customFormat="1" spans="1:33">
      <c r="A106" s="9">
        <v>46117</v>
      </c>
      <c r="B106" s="10" t="s">
        <v>37</v>
      </c>
      <c r="C106" s="10" t="s">
        <v>33</v>
      </c>
      <c r="D106" s="11" t="s">
        <v>34</v>
      </c>
      <c r="E106" s="12">
        <v>2140</v>
      </c>
      <c r="F106" s="12">
        <v>3000</v>
      </c>
      <c r="G106" s="13">
        <v>14974</v>
      </c>
      <c r="H106" s="14">
        <v>2</v>
      </c>
      <c r="I106" s="14">
        <f t="shared" si="88"/>
        <v>44.0122222222222</v>
      </c>
      <c r="J106" s="14">
        <v>17</v>
      </c>
      <c r="K106" s="15">
        <f t="shared" si="89"/>
        <v>125.882352941176</v>
      </c>
      <c r="L106" s="14">
        <f t="shared" si="90"/>
        <v>269.54</v>
      </c>
      <c r="M106" s="16">
        <f t="shared" si="91"/>
        <v>-269.54</v>
      </c>
      <c r="N106" s="14">
        <v>18</v>
      </c>
      <c r="O106" s="15">
        <f t="shared" si="92"/>
        <v>831.888888888889</v>
      </c>
      <c r="P106" s="14">
        <f t="shared" si="93"/>
        <v>0.06859</v>
      </c>
      <c r="Q106" s="16">
        <f t="shared" si="94"/>
        <v>965.4426604</v>
      </c>
      <c r="R106" s="14">
        <f t="shared" si="95"/>
        <v>328.1</v>
      </c>
      <c r="S106" s="16">
        <f t="shared" si="96"/>
        <v>637.3426604</v>
      </c>
      <c r="T106" s="14">
        <v>52</v>
      </c>
      <c r="U106" s="15">
        <f t="shared" si="97"/>
        <v>57.6923076923077</v>
      </c>
      <c r="V106" s="14">
        <f t="shared" si="98"/>
        <v>0.276355</v>
      </c>
      <c r="W106" s="16">
        <f t="shared" si="99"/>
        <v>779.3211</v>
      </c>
      <c r="X106" s="14">
        <f t="shared" si="100"/>
        <v>846.18</v>
      </c>
      <c r="Y106" s="16">
        <f t="shared" si="101"/>
        <v>-66.8589000000001</v>
      </c>
      <c r="Z106" s="17">
        <v>4</v>
      </c>
      <c r="AA106" s="17">
        <v>3</v>
      </c>
      <c r="AB106" s="17">
        <v>0</v>
      </c>
      <c r="AC106" s="17">
        <v>1</v>
      </c>
      <c r="AD106" s="16">
        <f t="shared" si="102"/>
        <v>139.777009144701</v>
      </c>
      <c r="AE106" s="18">
        <f t="shared" si="103"/>
        <v>117.154529033076</v>
      </c>
      <c r="AF106" s="1">
        <f t="shared" si="104"/>
        <v>95</v>
      </c>
      <c r="AG106" s="1">
        <f>'[1]5'!BH6</f>
        <v>95</v>
      </c>
    </row>
    <row r="107" s="1" customFormat="1" spans="1:33">
      <c r="A107" s="9">
        <v>46117</v>
      </c>
      <c r="B107" s="10" t="s">
        <v>38</v>
      </c>
      <c r="C107" s="10" t="s">
        <v>33</v>
      </c>
      <c r="D107" s="11" t="s">
        <v>34</v>
      </c>
      <c r="E107" s="12">
        <v>4026</v>
      </c>
      <c r="F107" s="12">
        <v>2691</v>
      </c>
      <c r="G107" s="13">
        <v>142</v>
      </c>
      <c r="H107" s="14">
        <v>2</v>
      </c>
      <c r="I107" s="14">
        <f t="shared" si="88"/>
        <v>44.0122222222222</v>
      </c>
      <c r="J107" s="14">
        <v>17</v>
      </c>
      <c r="K107" s="15">
        <f t="shared" si="89"/>
        <v>236.823529411765</v>
      </c>
      <c r="L107" s="14">
        <f t="shared" si="90"/>
        <v>269.54</v>
      </c>
      <c r="M107" s="16">
        <f t="shared" si="91"/>
        <v>-269.54</v>
      </c>
      <c r="N107" s="14">
        <v>25</v>
      </c>
      <c r="O107" s="15">
        <f t="shared" si="92"/>
        <v>5.68</v>
      </c>
      <c r="P107" s="14">
        <f t="shared" si="93"/>
        <v>0.06859</v>
      </c>
      <c r="Q107" s="16">
        <f t="shared" si="94"/>
        <v>9.1553932</v>
      </c>
      <c r="R107" s="14">
        <f t="shared" si="95"/>
        <v>430.44</v>
      </c>
      <c r="S107" s="16">
        <f t="shared" si="96"/>
        <v>-421.2846068</v>
      </c>
      <c r="T107" s="14">
        <v>45</v>
      </c>
      <c r="U107" s="15">
        <f t="shared" si="97"/>
        <v>59.8</v>
      </c>
      <c r="V107" s="14">
        <f t="shared" si="98"/>
        <v>0.276355</v>
      </c>
      <c r="W107" s="16">
        <f t="shared" si="99"/>
        <v>699.0510267</v>
      </c>
      <c r="X107" s="14">
        <f t="shared" si="100"/>
        <v>743.84</v>
      </c>
      <c r="Y107" s="16">
        <f t="shared" si="101"/>
        <v>-44.7889733000001</v>
      </c>
      <c r="Z107" s="17">
        <v>4</v>
      </c>
      <c r="AA107" s="17">
        <v>3</v>
      </c>
      <c r="AB107" s="17">
        <v>0</v>
      </c>
      <c r="AC107" s="17">
        <v>1</v>
      </c>
      <c r="AD107" s="16">
        <f t="shared" si="102"/>
        <v>139.777009144701</v>
      </c>
      <c r="AE107" s="18">
        <f t="shared" si="103"/>
        <v>-919.402811466924</v>
      </c>
      <c r="AF107" s="1">
        <f t="shared" si="104"/>
        <v>95</v>
      </c>
      <c r="AG107" s="1">
        <f>'[1]5'!BH7</f>
        <v>95</v>
      </c>
    </row>
    <row r="108" s="1" customFormat="1" spans="1:33">
      <c r="A108" s="9">
        <v>46117</v>
      </c>
      <c r="B108" s="10" t="s">
        <v>39</v>
      </c>
      <c r="C108" s="10" t="s">
        <v>33</v>
      </c>
      <c r="D108" s="11" t="s">
        <v>34</v>
      </c>
      <c r="E108" s="12">
        <v>122</v>
      </c>
      <c r="F108" s="12">
        <v>2996</v>
      </c>
      <c r="G108" s="13">
        <v>4735</v>
      </c>
      <c r="H108" s="14">
        <v>2</v>
      </c>
      <c r="I108" s="14">
        <f t="shared" si="88"/>
        <v>44.0122222222222</v>
      </c>
      <c r="J108" s="14">
        <v>17</v>
      </c>
      <c r="K108" s="15">
        <f t="shared" si="89"/>
        <v>7.17647058823529</v>
      </c>
      <c r="L108" s="14">
        <f t="shared" si="90"/>
        <v>269.54</v>
      </c>
      <c r="M108" s="16">
        <f t="shared" si="91"/>
        <v>-269.54</v>
      </c>
      <c r="N108" s="14">
        <v>25</v>
      </c>
      <c r="O108" s="15">
        <f t="shared" si="92"/>
        <v>189.4</v>
      </c>
      <c r="P108" s="14">
        <f t="shared" si="93"/>
        <v>0.06859</v>
      </c>
      <c r="Q108" s="16">
        <f t="shared" si="94"/>
        <v>305.287231</v>
      </c>
      <c r="R108" s="14">
        <f t="shared" si="95"/>
        <v>430.44</v>
      </c>
      <c r="S108" s="16">
        <f t="shared" si="96"/>
        <v>-125.152769</v>
      </c>
      <c r="T108" s="14">
        <v>45</v>
      </c>
      <c r="U108" s="15">
        <f t="shared" si="97"/>
        <v>66.5777777777778</v>
      </c>
      <c r="V108" s="14">
        <f t="shared" si="98"/>
        <v>0.276355</v>
      </c>
      <c r="W108" s="16">
        <f t="shared" si="99"/>
        <v>778.2820052</v>
      </c>
      <c r="X108" s="14">
        <f t="shared" si="100"/>
        <v>743.84</v>
      </c>
      <c r="Y108" s="16">
        <f t="shared" si="101"/>
        <v>34.4420051999999</v>
      </c>
      <c r="Z108" s="17">
        <v>4</v>
      </c>
      <c r="AA108" s="17">
        <v>3</v>
      </c>
      <c r="AB108" s="17">
        <v>0</v>
      </c>
      <c r="AC108" s="17">
        <v>1</v>
      </c>
      <c r="AD108" s="16">
        <f t="shared" si="102"/>
        <v>139.777009144701</v>
      </c>
      <c r="AE108" s="18">
        <f t="shared" si="103"/>
        <v>-544.039995166924</v>
      </c>
      <c r="AF108" s="1">
        <f t="shared" si="104"/>
        <v>95</v>
      </c>
      <c r="AG108" s="1">
        <f>'[1]5'!BH8</f>
        <v>95</v>
      </c>
    </row>
    <row r="109" s="1" customFormat="1" spans="1:33">
      <c r="A109" s="9">
        <v>46117</v>
      </c>
      <c r="B109" s="10" t="s">
        <v>40</v>
      </c>
      <c r="C109" s="10" t="s">
        <v>33</v>
      </c>
      <c r="D109" s="11" t="s">
        <v>34</v>
      </c>
      <c r="E109" s="12">
        <v>502</v>
      </c>
      <c r="F109" s="12">
        <v>1665</v>
      </c>
      <c r="G109" s="13">
        <v>5719</v>
      </c>
      <c r="H109" s="14">
        <v>2</v>
      </c>
      <c r="I109" s="14">
        <f t="shared" si="88"/>
        <v>44.0122222222222</v>
      </c>
      <c r="J109" s="14">
        <v>17</v>
      </c>
      <c r="K109" s="15">
        <f t="shared" si="89"/>
        <v>29.5294117647059</v>
      </c>
      <c r="L109" s="14">
        <f t="shared" si="90"/>
        <v>269.54</v>
      </c>
      <c r="M109" s="16">
        <f t="shared" si="91"/>
        <v>-269.54</v>
      </c>
      <c r="N109" s="14">
        <v>25</v>
      </c>
      <c r="O109" s="15">
        <f t="shared" si="92"/>
        <v>228.76</v>
      </c>
      <c r="P109" s="14">
        <f t="shared" si="93"/>
        <v>0.06859</v>
      </c>
      <c r="Q109" s="16">
        <f t="shared" si="94"/>
        <v>368.7302374</v>
      </c>
      <c r="R109" s="14">
        <f t="shared" si="95"/>
        <v>430.44</v>
      </c>
      <c r="S109" s="16">
        <f t="shared" si="96"/>
        <v>-61.7097626</v>
      </c>
      <c r="T109" s="14">
        <v>45</v>
      </c>
      <c r="U109" s="15">
        <f t="shared" si="97"/>
        <v>37</v>
      </c>
      <c r="V109" s="14">
        <f t="shared" si="98"/>
        <v>0.276355</v>
      </c>
      <c r="W109" s="16">
        <f t="shared" si="99"/>
        <v>432.5232105</v>
      </c>
      <c r="X109" s="14">
        <f t="shared" si="100"/>
        <v>743.84</v>
      </c>
      <c r="Y109" s="16">
        <f t="shared" si="101"/>
        <v>-311.3167895</v>
      </c>
      <c r="Z109" s="17">
        <v>4</v>
      </c>
      <c r="AA109" s="17">
        <v>3</v>
      </c>
      <c r="AB109" s="17">
        <v>0</v>
      </c>
      <c r="AC109" s="17">
        <v>1</v>
      </c>
      <c r="AD109" s="16">
        <f t="shared" si="102"/>
        <v>139.777009144701</v>
      </c>
      <c r="AE109" s="18">
        <f t="shared" si="103"/>
        <v>-826.355783466924</v>
      </c>
      <c r="AF109" s="1">
        <f t="shared" si="104"/>
        <v>95</v>
      </c>
      <c r="AG109" s="1">
        <f>'[1]5'!BH9</f>
        <v>95</v>
      </c>
    </row>
    <row r="110" s="1" customFormat="1" spans="1:33">
      <c r="A110" s="9">
        <v>46117</v>
      </c>
      <c r="B110" s="10" t="s">
        <v>41</v>
      </c>
      <c r="C110" s="10" t="s">
        <v>42</v>
      </c>
      <c r="D110" s="11" t="s">
        <v>34</v>
      </c>
      <c r="E110" s="12">
        <v>2738</v>
      </c>
      <c r="F110" s="12">
        <v>2669</v>
      </c>
      <c r="G110" s="13">
        <v>366</v>
      </c>
      <c r="H110" s="14">
        <v>4</v>
      </c>
      <c r="I110" s="14">
        <f t="shared" si="88"/>
        <v>100.75</v>
      </c>
      <c r="J110" s="14">
        <v>9</v>
      </c>
      <c r="K110" s="15">
        <f t="shared" si="89"/>
        <v>304.222222222222</v>
      </c>
      <c r="L110" s="14">
        <f t="shared" ref="L110:L120" si="105">J110*14.54+21</f>
        <v>151.86</v>
      </c>
      <c r="M110" s="16">
        <f t="shared" si="91"/>
        <v>-151.86</v>
      </c>
      <c r="N110" s="14">
        <v>13</v>
      </c>
      <c r="O110" s="15">
        <f t="shared" si="92"/>
        <v>28.1538461538462</v>
      </c>
      <c r="P110" s="14">
        <f t="shared" si="93"/>
        <v>0.06859</v>
      </c>
      <c r="Q110" s="16">
        <f t="shared" si="94"/>
        <v>23.5977036</v>
      </c>
      <c r="R110" s="14">
        <f t="shared" ref="R110:R120" si="106">N110*14.54+21</f>
        <v>210.02</v>
      </c>
      <c r="S110" s="16">
        <f t="shared" si="96"/>
        <v>-186.4222964</v>
      </c>
      <c r="T110" s="14">
        <v>32</v>
      </c>
      <c r="U110" s="15">
        <f t="shared" si="97"/>
        <v>83.40625</v>
      </c>
      <c r="V110" s="14">
        <f t="shared" si="98"/>
        <v>0.276355</v>
      </c>
      <c r="W110" s="16">
        <f t="shared" si="99"/>
        <v>693.3360053</v>
      </c>
      <c r="X110" s="14">
        <f t="shared" si="100"/>
        <v>553.78</v>
      </c>
      <c r="Y110" s="16">
        <f t="shared" si="101"/>
        <v>139.5560053</v>
      </c>
      <c r="Z110" s="17">
        <v>0</v>
      </c>
      <c r="AA110" s="17">
        <v>2</v>
      </c>
      <c r="AB110" s="17">
        <v>2</v>
      </c>
      <c r="AC110" s="17">
        <v>1</v>
      </c>
      <c r="AD110" s="16">
        <f t="shared" si="102"/>
        <v>102.654445042137</v>
      </c>
      <c r="AE110" s="18">
        <f t="shared" si="103"/>
        <v>-402.130736142137</v>
      </c>
      <c r="AF110" s="1">
        <f t="shared" si="104"/>
        <v>59</v>
      </c>
      <c r="AG110" s="1">
        <f>'[1]5'!BH10</f>
        <v>59</v>
      </c>
    </row>
    <row r="111" s="1" customFormat="1" spans="1:33">
      <c r="A111" s="9">
        <v>46117</v>
      </c>
      <c r="B111" s="10" t="s">
        <v>43</v>
      </c>
      <c r="C111" s="10" t="s">
        <v>42</v>
      </c>
      <c r="D111" s="11" t="s">
        <v>34</v>
      </c>
      <c r="E111" s="12">
        <v>339</v>
      </c>
      <c r="F111" s="12">
        <v>343</v>
      </c>
      <c r="G111" s="13">
        <v>3622</v>
      </c>
      <c r="H111" s="14">
        <v>4</v>
      </c>
      <c r="I111" s="14">
        <f t="shared" si="88"/>
        <v>100.75</v>
      </c>
      <c r="J111" s="14">
        <v>9</v>
      </c>
      <c r="K111" s="15">
        <f t="shared" si="89"/>
        <v>37.6666666666667</v>
      </c>
      <c r="L111" s="14">
        <f t="shared" si="105"/>
        <v>151.86</v>
      </c>
      <c r="M111" s="16">
        <f t="shared" si="91"/>
        <v>-151.86</v>
      </c>
      <c r="N111" s="14">
        <v>13</v>
      </c>
      <c r="O111" s="15">
        <f t="shared" si="92"/>
        <v>278.615384615385</v>
      </c>
      <c r="P111" s="14">
        <f t="shared" si="93"/>
        <v>0.06859</v>
      </c>
      <c r="Q111" s="16">
        <f t="shared" si="94"/>
        <v>233.5270012</v>
      </c>
      <c r="R111" s="14">
        <f t="shared" si="106"/>
        <v>210.02</v>
      </c>
      <c r="S111" s="16">
        <f t="shared" si="96"/>
        <v>23.5070012</v>
      </c>
      <c r="T111" s="14">
        <v>32</v>
      </c>
      <c r="U111" s="15">
        <f t="shared" si="97"/>
        <v>10.71875</v>
      </c>
      <c r="V111" s="14">
        <f t="shared" si="98"/>
        <v>0.276355</v>
      </c>
      <c r="W111" s="16">
        <f t="shared" si="99"/>
        <v>89.1023791</v>
      </c>
      <c r="X111" s="14">
        <f t="shared" si="100"/>
        <v>553.78</v>
      </c>
      <c r="Y111" s="16">
        <f t="shared" si="101"/>
        <v>-464.6776209</v>
      </c>
      <c r="Z111" s="17">
        <v>0</v>
      </c>
      <c r="AA111" s="17">
        <v>2</v>
      </c>
      <c r="AB111" s="17">
        <v>2</v>
      </c>
      <c r="AC111" s="17">
        <v>1</v>
      </c>
      <c r="AD111" s="16">
        <f t="shared" si="102"/>
        <v>102.654445042137</v>
      </c>
      <c r="AE111" s="18">
        <f t="shared" si="103"/>
        <v>-796.435064742137</v>
      </c>
      <c r="AF111" s="1">
        <f t="shared" si="104"/>
        <v>59</v>
      </c>
      <c r="AG111" s="1">
        <f>'[1]5'!BH11</f>
        <v>59</v>
      </c>
    </row>
    <row r="112" s="1" customFormat="1" spans="1:33">
      <c r="A112" s="9">
        <v>46117</v>
      </c>
      <c r="B112" s="10" t="s">
        <v>44</v>
      </c>
      <c r="C112" s="10" t="s">
        <v>42</v>
      </c>
      <c r="D112" s="11" t="s">
        <v>34</v>
      </c>
      <c r="E112" s="12">
        <v>3977</v>
      </c>
      <c r="F112" s="12">
        <v>631</v>
      </c>
      <c r="G112" s="13">
        <v>25</v>
      </c>
      <c r="H112" s="14">
        <v>4</v>
      </c>
      <c r="I112" s="14">
        <f t="shared" si="88"/>
        <v>100.75</v>
      </c>
      <c r="J112" s="14">
        <v>12</v>
      </c>
      <c r="K112" s="15">
        <f t="shared" si="89"/>
        <v>331.416666666667</v>
      </c>
      <c r="L112" s="14">
        <f t="shared" si="105"/>
        <v>195.48</v>
      </c>
      <c r="M112" s="16">
        <f t="shared" si="91"/>
        <v>-195.48</v>
      </c>
      <c r="N112" s="14">
        <v>15</v>
      </c>
      <c r="O112" s="15">
        <f t="shared" si="92"/>
        <v>1.66666666666667</v>
      </c>
      <c r="P112" s="14">
        <f t="shared" si="93"/>
        <v>0.06859</v>
      </c>
      <c r="Q112" s="16">
        <f t="shared" si="94"/>
        <v>1.611865</v>
      </c>
      <c r="R112" s="14">
        <f t="shared" si="106"/>
        <v>239.1</v>
      </c>
      <c r="S112" s="16">
        <f t="shared" si="96"/>
        <v>-237.488135</v>
      </c>
      <c r="T112" s="14">
        <v>27</v>
      </c>
      <c r="U112" s="15">
        <f t="shared" si="97"/>
        <v>23.3703703703704</v>
      </c>
      <c r="V112" s="14">
        <f t="shared" si="98"/>
        <v>0.276355</v>
      </c>
      <c r="W112" s="16">
        <f t="shared" si="99"/>
        <v>163.9172047</v>
      </c>
      <c r="X112" s="14">
        <f t="shared" si="100"/>
        <v>480.68</v>
      </c>
      <c r="Y112" s="16">
        <f t="shared" si="101"/>
        <v>-316.7627953</v>
      </c>
      <c r="Z112" s="17">
        <v>0</v>
      </c>
      <c r="AA112" s="17">
        <v>2</v>
      </c>
      <c r="AB112" s="17">
        <v>2</v>
      </c>
      <c r="AC112" s="17">
        <v>1</v>
      </c>
      <c r="AD112" s="16">
        <f t="shared" si="102"/>
        <v>102.654445042137</v>
      </c>
      <c r="AE112" s="18">
        <f t="shared" si="103"/>
        <v>-953.135375342137</v>
      </c>
      <c r="AF112" s="1">
        <f t="shared" si="104"/>
        <v>59</v>
      </c>
      <c r="AG112" s="1">
        <f>'[1]5'!BH12</f>
        <v>59</v>
      </c>
    </row>
    <row r="113" s="1" customFormat="1" spans="1:33">
      <c r="A113" s="9">
        <v>46117</v>
      </c>
      <c r="B113" s="10" t="s">
        <v>45</v>
      </c>
      <c r="C113" s="10" t="s">
        <v>42</v>
      </c>
      <c r="D113" s="11" t="s">
        <v>34</v>
      </c>
      <c r="E113" s="12">
        <v>146</v>
      </c>
      <c r="F113" s="12">
        <v>2915</v>
      </c>
      <c r="G113" s="13">
        <v>7006</v>
      </c>
      <c r="H113" s="14">
        <v>4</v>
      </c>
      <c r="I113" s="14">
        <f t="shared" si="88"/>
        <v>100.75</v>
      </c>
      <c r="J113" s="14">
        <v>12</v>
      </c>
      <c r="K113" s="15">
        <f t="shared" si="89"/>
        <v>12.1666666666667</v>
      </c>
      <c r="L113" s="14">
        <f t="shared" si="105"/>
        <v>195.48</v>
      </c>
      <c r="M113" s="16">
        <f t="shared" si="91"/>
        <v>-195.48</v>
      </c>
      <c r="N113" s="14">
        <v>15</v>
      </c>
      <c r="O113" s="15">
        <f t="shared" si="92"/>
        <v>467.066666666667</v>
      </c>
      <c r="P113" s="14">
        <f t="shared" si="93"/>
        <v>0.06859</v>
      </c>
      <c r="Q113" s="16">
        <f t="shared" si="94"/>
        <v>451.7090476</v>
      </c>
      <c r="R113" s="14">
        <f t="shared" si="106"/>
        <v>239.1</v>
      </c>
      <c r="S113" s="16">
        <f t="shared" si="96"/>
        <v>212.6090476</v>
      </c>
      <c r="T113" s="14">
        <v>27</v>
      </c>
      <c r="U113" s="15">
        <f t="shared" si="97"/>
        <v>107.962962962963</v>
      </c>
      <c r="V113" s="14">
        <f t="shared" si="98"/>
        <v>0.276355</v>
      </c>
      <c r="W113" s="16">
        <f t="shared" si="99"/>
        <v>757.2403355</v>
      </c>
      <c r="X113" s="14">
        <f t="shared" si="100"/>
        <v>480.68</v>
      </c>
      <c r="Y113" s="16">
        <f t="shared" si="101"/>
        <v>276.5603355</v>
      </c>
      <c r="Z113" s="17">
        <v>0</v>
      </c>
      <c r="AA113" s="17">
        <v>2</v>
      </c>
      <c r="AB113" s="17">
        <v>2</v>
      </c>
      <c r="AC113" s="17">
        <v>1</v>
      </c>
      <c r="AD113" s="16">
        <f t="shared" si="102"/>
        <v>102.654445042137</v>
      </c>
      <c r="AE113" s="18">
        <f t="shared" si="103"/>
        <v>90.2849380578626</v>
      </c>
      <c r="AF113" s="1">
        <f t="shared" si="104"/>
        <v>59</v>
      </c>
      <c r="AG113" s="1">
        <f>'[1]5'!BH13</f>
        <v>59</v>
      </c>
    </row>
    <row r="114" s="1" customFormat="1" spans="1:33">
      <c r="A114" s="9">
        <v>46117</v>
      </c>
      <c r="B114" s="10" t="s">
        <v>46</v>
      </c>
      <c r="C114" s="10" t="s">
        <v>42</v>
      </c>
      <c r="D114" s="10" t="s">
        <v>47</v>
      </c>
      <c r="E114" s="12">
        <v>7173</v>
      </c>
      <c r="F114" s="12">
        <v>1774</v>
      </c>
      <c r="G114" s="13">
        <v>5508</v>
      </c>
      <c r="H114" s="14">
        <v>4</v>
      </c>
      <c r="I114" s="14">
        <f t="shared" si="88"/>
        <v>100.75</v>
      </c>
      <c r="J114" s="14">
        <v>13</v>
      </c>
      <c r="K114" s="15">
        <f t="shared" si="89"/>
        <v>551.769230769231</v>
      </c>
      <c r="L114" s="14">
        <f t="shared" si="105"/>
        <v>210.02</v>
      </c>
      <c r="M114" s="16">
        <f t="shared" si="91"/>
        <v>-210.02</v>
      </c>
      <c r="N114" s="14">
        <v>17</v>
      </c>
      <c r="O114" s="15">
        <f t="shared" si="92"/>
        <v>324</v>
      </c>
      <c r="P114" s="14">
        <f t="shared" si="93"/>
        <v>0.06859</v>
      </c>
      <c r="Q114" s="16">
        <f t="shared" si="94"/>
        <v>355.1260968</v>
      </c>
      <c r="R114" s="14">
        <f t="shared" si="106"/>
        <v>268.18</v>
      </c>
      <c r="S114" s="16">
        <f t="shared" si="96"/>
        <v>86.9460968</v>
      </c>
      <c r="T114" s="14">
        <v>30</v>
      </c>
      <c r="U114" s="15">
        <f t="shared" si="97"/>
        <v>59.1333333333333</v>
      </c>
      <c r="V114" s="14">
        <f t="shared" si="98"/>
        <v>0.276355</v>
      </c>
      <c r="W114" s="16">
        <f t="shared" si="99"/>
        <v>460.8385438</v>
      </c>
      <c r="X114" s="14">
        <f t="shared" si="100"/>
        <v>524.54</v>
      </c>
      <c r="Y114" s="16">
        <f t="shared" si="101"/>
        <v>-63.7014562000001</v>
      </c>
      <c r="Z114" s="17">
        <v>0</v>
      </c>
      <c r="AA114" s="17">
        <v>2</v>
      </c>
      <c r="AB114" s="17">
        <v>2</v>
      </c>
      <c r="AC114" s="17">
        <v>1</v>
      </c>
      <c r="AD114" s="16">
        <f t="shared" si="102"/>
        <v>102.654445042137</v>
      </c>
      <c r="AE114" s="18">
        <f t="shared" si="103"/>
        <v>-390.179804442137</v>
      </c>
      <c r="AF114" s="1">
        <f t="shared" si="104"/>
        <v>65</v>
      </c>
      <c r="AG114" s="1">
        <f>'[1]5'!BH14</f>
        <v>65</v>
      </c>
    </row>
    <row r="115" s="1" customFormat="1" spans="1:33">
      <c r="A115" s="9">
        <v>46117</v>
      </c>
      <c r="B115" s="10" t="s">
        <v>48</v>
      </c>
      <c r="C115" s="10" t="s">
        <v>42</v>
      </c>
      <c r="D115" s="10" t="s">
        <v>49</v>
      </c>
      <c r="E115" s="12">
        <v>11607</v>
      </c>
      <c r="F115" s="12">
        <v>6756</v>
      </c>
      <c r="G115" s="13">
        <v>14</v>
      </c>
      <c r="H115" s="14">
        <v>4</v>
      </c>
      <c r="I115" s="14">
        <f t="shared" si="88"/>
        <v>100.75</v>
      </c>
      <c r="J115" s="14">
        <v>18</v>
      </c>
      <c r="K115" s="15">
        <f t="shared" si="89"/>
        <v>644.833333333333</v>
      </c>
      <c r="L115" s="14">
        <f t="shared" si="105"/>
        <v>282.72</v>
      </c>
      <c r="M115" s="16">
        <f t="shared" si="91"/>
        <v>-282.72</v>
      </c>
      <c r="N115" s="14">
        <v>4</v>
      </c>
      <c r="O115" s="15">
        <f t="shared" si="92"/>
        <v>3.5</v>
      </c>
      <c r="P115" s="14">
        <f t="shared" si="93"/>
        <v>0.06859</v>
      </c>
      <c r="Q115" s="16">
        <f t="shared" si="94"/>
        <v>0.9026444</v>
      </c>
      <c r="R115" s="14">
        <f t="shared" si="106"/>
        <v>79.16</v>
      </c>
      <c r="S115" s="16">
        <f t="shared" si="96"/>
        <v>-78.2573556</v>
      </c>
      <c r="T115" s="14">
        <v>38</v>
      </c>
      <c r="U115" s="15">
        <f t="shared" si="97"/>
        <v>177.789473684211</v>
      </c>
      <c r="V115" s="14">
        <f t="shared" si="98"/>
        <v>0.276355</v>
      </c>
      <c r="W115" s="16">
        <f t="shared" si="99"/>
        <v>1755.0311172</v>
      </c>
      <c r="X115" s="14">
        <f t="shared" si="100"/>
        <v>641.5</v>
      </c>
      <c r="Y115" s="16">
        <f t="shared" si="101"/>
        <v>1113.5311172</v>
      </c>
      <c r="Z115" s="17">
        <v>0</v>
      </c>
      <c r="AA115" s="17">
        <v>2</v>
      </c>
      <c r="AB115" s="17">
        <v>2</v>
      </c>
      <c r="AC115" s="17">
        <v>1</v>
      </c>
      <c r="AD115" s="16">
        <f t="shared" si="102"/>
        <v>102.654445042137</v>
      </c>
      <c r="AE115" s="18">
        <f t="shared" si="103"/>
        <v>549.149316557862</v>
      </c>
      <c r="AF115" s="1">
        <f t="shared" si="104"/>
        <v>65</v>
      </c>
      <c r="AG115" s="1">
        <f>'[1]5'!BH15</f>
        <v>65</v>
      </c>
    </row>
    <row r="116" s="1" customFormat="1" spans="1:33">
      <c r="A116" s="9">
        <v>46117</v>
      </c>
      <c r="B116" s="10" t="s">
        <v>50</v>
      </c>
      <c r="C116" s="10" t="s">
        <v>42</v>
      </c>
      <c r="D116" s="10" t="s">
        <v>49</v>
      </c>
      <c r="E116" s="12">
        <v>7223</v>
      </c>
      <c r="F116" s="12">
        <v>3640</v>
      </c>
      <c r="G116" s="13">
        <v>7900</v>
      </c>
      <c r="H116" s="14">
        <v>4</v>
      </c>
      <c r="I116" s="14">
        <f t="shared" si="88"/>
        <v>100.75</v>
      </c>
      <c r="J116" s="14">
        <v>12</v>
      </c>
      <c r="K116" s="15">
        <f t="shared" si="89"/>
        <v>601.916666666667</v>
      </c>
      <c r="L116" s="14">
        <f t="shared" si="105"/>
        <v>195.48</v>
      </c>
      <c r="M116" s="16">
        <f t="shared" si="91"/>
        <v>-195.48</v>
      </c>
      <c r="N116" s="14">
        <v>17</v>
      </c>
      <c r="O116" s="15">
        <f t="shared" si="92"/>
        <v>464.705882352941</v>
      </c>
      <c r="P116" s="14">
        <f t="shared" si="93"/>
        <v>0.06859</v>
      </c>
      <c r="Q116" s="16">
        <f t="shared" si="94"/>
        <v>509.34934</v>
      </c>
      <c r="R116" s="14">
        <f t="shared" si="106"/>
        <v>268.18</v>
      </c>
      <c r="S116" s="16">
        <f t="shared" si="96"/>
        <v>241.16934</v>
      </c>
      <c r="T116" s="14">
        <v>31</v>
      </c>
      <c r="U116" s="15">
        <f t="shared" si="97"/>
        <v>117.41935483871</v>
      </c>
      <c r="V116" s="14">
        <f t="shared" si="98"/>
        <v>0.276355</v>
      </c>
      <c r="W116" s="16">
        <f t="shared" si="99"/>
        <v>945.576268</v>
      </c>
      <c r="X116" s="14">
        <f t="shared" si="100"/>
        <v>539.16</v>
      </c>
      <c r="Y116" s="16">
        <f t="shared" si="101"/>
        <v>406.416268</v>
      </c>
      <c r="Z116" s="17">
        <v>0</v>
      </c>
      <c r="AA116" s="17">
        <v>2</v>
      </c>
      <c r="AB116" s="17">
        <v>2</v>
      </c>
      <c r="AC116" s="17">
        <v>1</v>
      </c>
      <c r="AD116" s="16">
        <f t="shared" si="102"/>
        <v>102.654445042137</v>
      </c>
      <c r="AE116" s="18">
        <f t="shared" si="103"/>
        <v>248.701162957862</v>
      </c>
      <c r="AF116" s="1">
        <f t="shared" si="104"/>
        <v>65</v>
      </c>
      <c r="AG116" s="1">
        <f>'[1]5'!BH16</f>
        <v>65</v>
      </c>
    </row>
    <row r="117" s="1" customFormat="1" spans="1:33">
      <c r="A117" s="9">
        <v>46117</v>
      </c>
      <c r="B117" s="10" t="s">
        <v>51</v>
      </c>
      <c r="C117" s="10" t="s">
        <v>42</v>
      </c>
      <c r="D117" s="10" t="s">
        <v>49</v>
      </c>
      <c r="E117" s="12">
        <v>5444</v>
      </c>
      <c r="F117" s="12">
        <v>1787</v>
      </c>
      <c r="G117" s="13">
        <v>6390</v>
      </c>
      <c r="H117" s="14">
        <v>4</v>
      </c>
      <c r="I117" s="14">
        <f t="shared" si="88"/>
        <v>100.75</v>
      </c>
      <c r="J117" s="14">
        <v>12</v>
      </c>
      <c r="K117" s="15">
        <f t="shared" si="89"/>
        <v>453.666666666667</v>
      </c>
      <c r="L117" s="14">
        <f t="shared" si="105"/>
        <v>195.48</v>
      </c>
      <c r="M117" s="16">
        <f t="shared" si="91"/>
        <v>-195.48</v>
      </c>
      <c r="N117" s="14">
        <v>17</v>
      </c>
      <c r="O117" s="15">
        <f t="shared" si="92"/>
        <v>375.882352941176</v>
      </c>
      <c r="P117" s="14">
        <f t="shared" si="93"/>
        <v>0.06859</v>
      </c>
      <c r="Q117" s="16">
        <f t="shared" si="94"/>
        <v>411.992694</v>
      </c>
      <c r="R117" s="14">
        <f t="shared" si="106"/>
        <v>268.18</v>
      </c>
      <c r="S117" s="16">
        <f t="shared" si="96"/>
        <v>143.812694</v>
      </c>
      <c r="T117" s="14">
        <v>31</v>
      </c>
      <c r="U117" s="15">
        <f t="shared" si="97"/>
        <v>57.6451612903226</v>
      </c>
      <c r="V117" s="14">
        <f t="shared" si="98"/>
        <v>0.276355</v>
      </c>
      <c r="W117" s="16">
        <f t="shared" si="99"/>
        <v>464.2156019</v>
      </c>
      <c r="X117" s="14">
        <f t="shared" si="100"/>
        <v>539.16</v>
      </c>
      <c r="Y117" s="16">
        <f t="shared" si="101"/>
        <v>-74.9443981000001</v>
      </c>
      <c r="Z117" s="17">
        <v>0</v>
      </c>
      <c r="AA117" s="17">
        <v>2</v>
      </c>
      <c r="AB117" s="17">
        <v>2</v>
      </c>
      <c r="AC117" s="17">
        <v>1</v>
      </c>
      <c r="AD117" s="16">
        <f t="shared" si="102"/>
        <v>102.654445042137</v>
      </c>
      <c r="AE117" s="18">
        <f t="shared" si="103"/>
        <v>-330.016149142137</v>
      </c>
      <c r="AF117" s="1">
        <f t="shared" si="104"/>
        <v>65</v>
      </c>
      <c r="AG117" s="1">
        <f>'[1]5'!BH17</f>
        <v>65</v>
      </c>
    </row>
    <row r="118" s="1" customFormat="1" spans="1:33">
      <c r="A118" s="9">
        <v>46117</v>
      </c>
      <c r="B118" s="10" t="s">
        <v>52</v>
      </c>
      <c r="C118" s="10" t="s">
        <v>42</v>
      </c>
      <c r="D118" s="11" t="s">
        <v>34</v>
      </c>
      <c r="E118" s="12">
        <v>0</v>
      </c>
      <c r="F118" s="12">
        <v>4106</v>
      </c>
      <c r="G118" s="13">
        <v>10213</v>
      </c>
      <c r="H118" s="14">
        <v>4</v>
      </c>
      <c r="I118" s="14">
        <f t="shared" si="88"/>
        <v>100.75</v>
      </c>
      <c r="J118" s="14">
        <v>12</v>
      </c>
      <c r="K118" s="15">
        <f t="shared" si="89"/>
        <v>0</v>
      </c>
      <c r="L118" s="14">
        <f t="shared" si="105"/>
        <v>195.48</v>
      </c>
      <c r="M118" s="16">
        <f t="shared" si="91"/>
        <v>-195.48</v>
      </c>
      <c r="N118" s="14">
        <v>17</v>
      </c>
      <c r="O118" s="15">
        <f t="shared" si="92"/>
        <v>600.764705882353</v>
      </c>
      <c r="P118" s="14">
        <f t="shared" si="93"/>
        <v>0.06859</v>
      </c>
      <c r="Q118" s="16">
        <f t="shared" si="94"/>
        <v>658.4790898</v>
      </c>
      <c r="R118" s="14">
        <f t="shared" si="106"/>
        <v>268.18</v>
      </c>
      <c r="S118" s="16">
        <f t="shared" si="96"/>
        <v>390.2990898</v>
      </c>
      <c r="T118" s="14">
        <v>31</v>
      </c>
      <c r="U118" s="15">
        <f t="shared" si="97"/>
        <v>132.451612903226</v>
      </c>
      <c r="V118" s="14">
        <f t="shared" si="98"/>
        <v>0.276355</v>
      </c>
      <c r="W118" s="16">
        <f t="shared" si="99"/>
        <v>1066.6308122</v>
      </c>
      <c r="X118" s="14">
        <f t="shared" si="100"/>
        <v>539.16</v>
      </c>
      <c r="Y118" s="16">
        <f t="shared" si="101"/>
        <v>527.4708122</v>
      </c>
      <c r="Z118" s="17">
        <v>0</v>
      </c>
      <c r="AA118" s="17">
        <v>2</v>
      </c>
      <c r="AB118" s="17">
        <v>2</v>
      </c>
      <c r="AC118" s="17">
        <v>1</v>
      </c>
      <c r="AD118" s="16">
        <f t="shared" si="102"/>
        <v>102.654445042137</v>
      </c>
      <c r="AE118" s="18">
        <f t="shared" si="103"/>
        <v>518.885456957862</v>
      </c>
      <c r="AF118" s="1">
        <f t="shared" si="104"/>
        <v>65</v>
      </c>
      <c r="AG118" s="1">
        <f>'[1]5'!BH18</f>
        <v>65</v>
      </c>
    </row>
    <row r="119" s="1" customFormat="1" spans="1:33">
      <c r="A119" s="9">
        <v>46117</v>
      </c>
      <c r="B119" s="10" t="s">
        <v>53</v>
      </c>
      <c r="C119" s="10" t="s">
        <v>42</v>
      </c>
      <c r="D119" s="11" t="s">
        <v>34</v>
      </c>
      <c r="E119" s="12">
        <v>0</v>
      </c>
      <c r="F119" s="12">
        <v>910</v>
      </c>
      <c r="G119" s="13">
        <v>9804</v>
      </c>
      <c r="H119" s="14">
        <v>4</v>
      </c>
      <c r="I119" s="14">
        <f t="shared" si="88"/>
        <v>100.75</v>
      </c>
      <c r="J119" s="14">
        <v>12</v>
      </c>
      <c r="K119" s="15">
        <f t="shared" si="89"/>
        <v>0</v>
      </c>
      <c r="L119" s="14">
        <f t="shared" si="105"/>
        <v>195.48</v>
      </c>
      <c r="M119" s="16">
        <f t="shared" si="91"/>
        <v>-195.48</v>
      </c>
      <c r="N119" s="14">
        <v>17</v>
      </c>
      <c r="O119" s="15">
        <f t="shared" si="92"/>
        <v>576.705882352941</v>
      </c>
      <c r="P119" s="14">
        <f t="shared" si="93"/>
        <v>0.06859</v>
      </c>
      <c r="Q119" s="16">
        <f t="shared" si="94"/>
        <v>632.1089784</v>
      </c>
      <c r="R119" s="14">
        <f t="shared" si="106"/>
        <v>268.18</v>
      </c>
      <c r="S119" s="16">
        <f t="shared" si="96"/>
        <v>363.9289784</v>
      </c>
      <c r="T119" s="14">
        <v>31</v>
      </c>
      <c r="U119" s="15">
        <f t="shared" si="97"/>
        <v>29.3548387096774</v>
      </c>
      <c r="V119" s="14">
        <f t="shared" si="98"/>
        <v>0.276355</v>
      </c>
      <c r="W119" s="16">
        <f t="shared" si="99"/>
        <v>236.394067</v>
      </c>
      <c r="X119" s="14">
        <f t="shared" si="100"/>
        <v>539.16</v>
      </c>
      <c r="Y119" s="16">
        <f t="shared" si="101"/>
        <v>-302.765933</v>
      </c>
      <c r="Z119" s="17">
        <v>0</v>
      </c>
      <c r="AA119" s="17">
        <v>2</v>
      </c>
      <c r="AB119" s="17">
        <v>2</v>
      </c>
      <c r="AC119" s="17">
        <v>1</v>
      </c>
      <c r="AD119" s="16">
        <f t="shared" si="102"/>
        <v>102.654445042137</v>
      </c>
      <c r="AE119" s="18">
        <f t="shared" si="103"/>
        <v>-337.721399642137</v>
      </c>
      <c r="AF119" s="1">
        <f t="shared" si="104"/>
        <v>65</v>
      </c>
      <c r="AG119" s="1">
        <f>'[1]5'!BH19</f>
        <v>65</v>
      </c>
    </row>
    <row r="120" s="1" customFormat="1" spans="1:33">
      <c r="A120" s="9">
        <v>46117</v>
      </c>
      <c r="B120" s="10" t="s">
        <v>54</v>
      </c>
      <c r="C120" s="10" t="s">
        <v>42</v>
      </c>
      <c r="D120" s="10" t="s">
        <v>49</v>
      </c>
      <c r="E120" s="12">
        <v>2536</v>
      </c>
      <c r="F120" s="12">
        <v>2528</v>
      </c>
      <c r="G120" s="13">
        <v>6</v>
      </c>
      <c r="H120" s="14">
        <v>4</v>
      </c>
      <c r="I120" s="14">
        <f t="shared" si="88"/>
        <v>100.75</v>
      </c>
      <c r="J120" s="14">
        <v>12</v>
      </c>
      <c r="K120" s="15">
        <f t="shared" si="89"/>
        <v>211.333333333333</v>
      </c>
      <c r="L120" s="14">
        <f t="shared" si="105"/>
        <v>195.48</v>
      </c>
      <c r="M120" s="16">
        <f t="shared" si="91"/>
        <v>-195.48</v>
      </c>
      <c r="N120" s="14">
        <v>17</v>
      </c>
      <c r="O120" s="15">
        <f t="shared" si="92"/>
        <v>0.352941176470588</v>
      </c>
      <c r="P120" s="14">
        <f t="shared" si="93"/>
        <v>0.06859</v>
      </c>
      <c r="Q120" s="16">
        <f t="shared" si="94"/>
        <v>0.3868476</v>
      </c>
      <c r="R120" s="14">
        <f t="shared" si="106"/>
        <v>268.18</v>
      </c>
      <c r="S120" s="16">
        <f t="shared" si="96"/>
        <v>-267.7931524</v>
      </c>
      <c r="T120" s="14">
        <v>31</v>
      </c>
      <c r="U120" s="15">
        <f t="shared" si="97"/>
        <v>81.5483870967742</v>
      </c>
      <c r="V120" s="14">
        <f t="shared" si="98"/>
        <v>0.276355</v>
      </c>
      <c r="W120" s="16">
        <f t="shared" si="99"/>
        <v>656.7079136</v>
      </c>
      <c r="X120" s="14">
        <f t="shared" si="100"/>
        <v>539.16</v>
      </c>
      <c r="Y120" s="16">
        <f t="shared" si="101"/>
        <v>117.5479136</v>
      </c>
      <c r="Z120" s="17">
        <v>0</v>
      </c>
      <c r="AA120" s="17">
        <v>2</v>
      </c>
      <c r="AB120" s="17">
        <v>2</v>
      </c>
      <c r="AC120" s="17">
        <v>1</v>
      </c>
      <c r="AD120" s="16">
        <f t="shared" si="102"/>
        <v>102.654445042137</v>
      </c>
      <c r="AE120" s="18">
        <f t="shared" si="103"/>
        <v>-549.129683842137</v>
      </c>
      <c r="AF120" s="1">
        <f t="shared" si="104"/>
        <v>65</v>
      </c>
      <c r="AG120" s="1">
        <f>'[1]5'!BH20</f>
        <v>65</v>
      </c>
    </row>
    <row r="121" s="1" customFormat="1" spans="1:33">
      <c r="A121" s="9">
        <v>46117</v>
      </c>
      <c r="B121" s="10" t="s">
        <v>55</v>
      </c>
      <c r="C121" s="10" t="s">
        <v>33</v>
      </c>
      <c r="D121" s="10" t="s">
        <v>49</v>
      </c>
      <c r="E121" s="12">
        <v>20760</v>
      </c>
      <c r="F121" s="12">
        <v>2365</v>
      </c>
      <c r="G121" s="13">
        <v>1047</v>
      </c>
      <c r="H121" s="14">
        <v>2</v>
      </c>
      <c r="I121" s="14">
        <f t="shared" si="88"/>
        <v>44.0122222222222</v>
      </c>
      <c r="J121" s="14">
        <v>25</v>
      </c>
      <c r="K121" s="15">
        <f t="shared" si="89"/>
        <v>830.4</v>
      </c>
      <c r="L121" s="14">
        <f t="shared" ref="L121:L126" si="107">J121*14.62+21</f>
        <v>386.5</v>
      </c>
      <c r="M121" s="16">
        <f t="shared" si="91"/>
        <v>-386.5</v>
      </c>
      <c r="N121" s="14">
        <v>21</v>
      </c>
      <c r="O121" s="15">
        <f t="shared" si="92"/>
        <v>49.8571428571429</v>
      </c>
      <c r="P121" s="14">
        <f t="shared" si="93"/>
        <v>0.06859</v>
      </c>
      <c r="Q121" s="16">
        <f t="shared" si="94"/>
        <v>67.5049062</v>
      </c>
      <c r="R121" s="14">
        <f t="shared" ref="R121:R126" si="108">(N121-13)*14.62+13*18+21</f>
        <v>371.96</v>
      </c>
      <c r="S121" s="16">
        <f t="shared" si="96"/>
        <v>-304.4550938</v>
      </c>
      <c r="T121" s="14">
        <v>58</v>
      </c>
      <c r="U121" s="15">
        <f t="shared" si="97"/>
        <v>40.7758620689655</v>
      </c>
      <c r="V121" s="14">
        <f t="shared" si="98"/>
        <v>0.276355</v>
      </c>
      <c r="W121" s="16">
        <f t="shared" si="99"/>
        <v>614.3648005</v>
      </c>
      <c r="X121" s="14">
        <f t="shared" si="100"/>
        <v>933.9</v>
      </c>
      <c r="Y121" s="16">
        <f t="shared" si="101"/>
        <v>-319.5351995</v>
      </c>
      <c r="Z121" s="17">
        <v>4</v>
      </c>
      <c r="AA121" s="17">
        <v>3</v>
      </c>
      <c r="AB121" s="17">
        <v>0</v>
      </c>
      <c r="AC121" s="17">
        <v>1</v>
      </c>
      <c r="AD121" s="16">
        <f t="shared" si="102"/>
        <v>139.777009144701</v>
      </c>
      <c r="AE121" s="18">
        <f t="shared" si="103"/>
        <v>-1194.27952466692</v>
      </c>
      <c r="AF121" s="1">
        <f t="shared" si="104"/>
        <v>112</v>
      </c>
      <c r="AG121" s="1">
        <f>'[1]5'!BH21</f>
        <v>112</v>
      </c>
    </row>
    <row r="122" s="1" customFormat="1" spans="1:33">
      <c r="A122" s="9">
        <v>46117</v>
      </c>
      <c r="B122" s="10" t="s">
        <v>56</v>
      </c>
      <c r="C122" s="10" t="s">
        <v>33</v>
      </c>
      <c r="D122" s="10" t="s">
        <v>49</v>
      </c>
      <c r="E122" s="12">
        <v>21980</v>
      </c>
      <c r="F122" s="12">
        <v>6480</v>
      </c>
      <c r="G122" s="13">
        <v>10891</v>
      </c>
      <c r="H122" s="14">
        <v>2</v>
      </c>
      <c r="I122" s="14">
        <f t="shared" si="88"/>
        <v>44.0122222222222</v>
      </c>
      <c r="J122" s="14">
        <v>25</v>
      </c>
      <c r="K122" s="15">
        <f t="shared" si="89"/>
        <v>879.2</v>
      </c>
      <c r="L122" s="14">
        <f t="shared" si="107"/>
        <v>386.5</v>
      </c>
      <c r="M122" s="16">
        <f t="shared" si="91"/>
        <v>-386.5</v>
      </c>
      <c r="N122" s="14">
        <v>31</v>
      </c>
      <c r="O122" s="15">
        <f t="shared" si="92"/>
        <v>351.322580645161</v>
      </c>
      <c r="P122" s="14">
        <f t="shared" si="93"/>
        <v>0.06859</v>
      </c>
      <c r="Q122" s="16">
        <f t="shared" si="94"/>
        <v>702.1928686</v>
      </c>
      <c r="R122" s="14">
        <f t="shared" si="108"/>
        <v>518.16</v>
      </c>
      <c r="S122" s="16">
        <f t="shared" si="96"/>
        <v>184.0328686</v>
      </c>
      <c r="T122" s="14">
        <v>48</v>
      </c>
      <c r="U122" s="15">
        <f t="shared" si="97"/>
        <v>135</v>
      </c>
      <c r="V122" s="14">
        <f t="shared" si="98"/>
        <v>0.276355</v>
      </c>
      <c r="W122" s="16">
        <f t="shared" si="99"/>
        <v>1683.333576</v>
      </c>
      <c r="X122" s="14">
        <f t="shared" si="100"/>
        <v>787.7</v>
      </c>
      <c r="Y122" s="16">
        <f t="shared" si="101"/>
        <v>895.633575999999</v>
      </c>
      <c r="Z122" s="17">
        <v>4</v>
      </c>
      <c r="AA122" s="17">
        <v>3</v>
      </c>
      <c r="AB122" s="17">
        <v>0</v>
      </c>
      <c r="AC122" s="17">
        <v>1</v>
      </c>
      <c r="AD122" s="16">
        <f t="shared" si="102"/>
        <v>139.777009144701</v>
      </c>
      <c r="AE122" s="18">
        <f t="shared" si="103"/>
        <v>509.377213233076</v>
      </c>
      <c r="AF122" s="1">
        <f t="shared" si="104"/>
        <v>112</v>
      </c>
      <c r="AG122" s="1">
        <f>'[1]5'!BH22</f>
        <v>112</v>
      </c>
    </row>
    <row r="123" s="1" customFormat="1" spans="1:33">
      <c r="A123" s="9">
        <v>46117</v>
      </c>
      <c r="B123" s="10" t="s">
        <v>57</v>
      </c>
      <c r="C123" s="10" t="s">
        <v>33</v>
      </c>
      <c r="D123" s="10" t="s">
        <v>49</v>
      </c>
      <c r="E123" s="12">
        <v>13524</v>
      </c>
      <c r="F123" s="12">
        <v>4785</v>
      </c>
      <c r="G123" s="13">
        <v>11450</v>
      </c>
      <c r="H123" s="14">
        <v>2</v>
      </c>
      <c r="I123" s="14">
        <f t="shared" si="88"/>
        <v>44.0122222222222</v>
      </c>
      <c r="J123" s="14">
        <v>25</v>
      </c>
      <c r="K123" s="15">
        <f t="shared" si="89"/>
        <v>540.96</v>
      </c>
      <c r="L123" s="14">
        <f t="shared" si="107"/>
        <v>386.5</v>
      </c>
      <c r="M123" s="16">
        <f t="shared" si="91"/>
        <v>-386.5</v>
      </c>
      <c r="N123" s="14">
        <v>31</v>
      </c>
      <c r="O123" s="15">
        <f t="shared" si="92"/>
        <v>369.354838709677</v>
      </c>
      <c r="P123" s="14">
        <f t="shared" si="93"/>
        <v>0.06859</v>
      </c>
      <c r="Q123" s="16">
        <f t="shared" si="94"/>
        <v>738.23417</v>
      </c>
      <c r="R123" s="14">
        <f t="shared" si="108"/>
        <v>518.16</v>
      </c>
      <c r="S123" s="16">
        <f t="shared" si="96"/>
        <v>220.07417</v>
      </c>
      <c r="T123" s="14">
        <v>48</v>
      </c>
      <c r="U123" s="15">
        <f t="shared" si="97"/>
        <v>99.6875</v>
      </c>
      <c r="V123" s="14">
        <f t="shared" si="98"/>
        <v>0.276355</v>
      </c>
      <c r="W123" s="16">
        <f t="shared" si="99"/>
        <v>1243.0171545</v>
      </c>
      <c r="X123" s="14">
        <f t="shared" si="100"/>
        <v>787.7</v>
      </c>
      <c r="Y123" s="16">
        <f t="shared" si="101"/>
        <v>455.3171545</v>
      </c>
      <c r="Z123" s="17">
        <v>4</v>
      </c>
      <c r="AA123" s="17">
        <v>3</v>
      </c>
      <c r="AB123" s="17">
        <v>0</v>
      </c>
      <c r="AC123" s="17">
        <v>1</v>
      </c>
      <c r="AD123" s="16">
        <f t="shared" si="102"/>
        <v>139.777009144701</v>
      </c>
      <c r="AE123" s="18">
        <f t="shared" si="103"/>
        <v>105.102093133076</v>
      </c>
      <c r="AF123" s="1">
        <f t="shared" si="104"/>
        <v>112</v>
      </c>
      <c r="AG123" s="1">
        <f>'[1]5'!BH23</f>
        <v>112</v>
      </c>
    </row>
    <row r="124" s="1" customFormat="1" spans="1:33">
      <c r="A124" s="9">
        <v>46117</v>
      </c>
      <c r="B124" s="10" t="s">
        <v>58</v>
      </c>
      <c r="C124" s="10" t="s">
        <v>33</v>
      </c>
      <c r="D124" s="10" t="s">
        <v>49</v>
      </c>
      <c r="E124" s="12">
        <v>2</v>
      </c>
      <c r="F124" s="12">
        <v>2302</v>
      </c>
      <c r="G124" s="13">
        <v>12584</v>
      </c>
      <c r="H124" s="14">
        <v>2</v>
      </c>
      <c r="I124" s="14">
        <f t="shared" si="88"/>
        <v>44.0122222222222</v>
      </c>
      <c r="J124" s="14">
        <v>25</v>
      </c>
      <c r="K124" s="15">
        <f t="shared" si="89"/>
        <v>0.08</v>
      </c>
      <c r="L124" s="14">
        <f t="shared" si="107"/>
        <v>386.5</v>
      </c>
      <c r="M124" s="16">
        <f t="shared" si="91"/>
        <v>-386.5</v>
      </c>
      <c r="N124" s="14">
        <v>31</v>
      </c>
      <c r="O124" s="15">
        <f t="shared" si="92"/>
        <v>405.935483870968</v>
      </c>
      <c r="P124" s="14">
        <f t="shared" si="93"/>
        <v>0.06859</v>
      </c>
      <c r="Q124" s="16">
        <f t="shared" si="94"/>
        <v>811.3483664</v>
      </c>
      <c r="R124" s="14">
        <f t="shared" si="108"/>
        <v>518.16</v>
      </c>
      <c r="S124" s="16">
        <f t="shared" si="96"/>
        <v>293.1883664</v>
      </c>
      <c r="T124" s="14">
        <v>48</v>
      </c>
      <c r="U124" s="15">
        <f t="shared" si="97"/>
        <v>47.9583333333333</v>
      </c>
      <c r="V124" s="14">
        <f t="shared" si="98"/>
        <v>0.276355</v>
      </c>
      <c r="W124" s="16">
        <f t="shared" si="99"/>
        <v>597.9990574</v>
      </c>
      <c r="X124" s="14">
        <f t="shared" si="100"/>
        <v>787.7</v>
      </c>
      <c r="Y124" s="16">
        <f t="shared" si="101"/>
        <v>-189.7009426</v>
      </c>
      <c r="Z124" s="17">
        <v>4</v>
      </c>
      <c r="AA124" s="17">
        <v>3</v>
      </c>
      <c r="AB124" s="17">
        <v>0</v>
      </c>
      <c r="AC124" s="17">
        <v>1</v>
      </c>
      <c r="AD124" s="16">
        <f t="shared" si="102"/>
        <v>139.777009144701</v>
      </c>
      <c r="AE124" s="18">
        <f t="shared" si="103"/>
        <v>-466.801807566924</v>
      </c>
      <c r="AF124" s="1">
        <f t="shared" si="104"/>
        <v>112</v>
      </c>
      <c r="AG124" s="1">
        <f>'[1]5'!BH24</f>
        <v>112</v>
      </c>
    </row>
    <row r="125" s="1" customFormat="1" spans="1:33">
      <c r="A125" s="9">
        <v>46117</v>
      </c>
      <c r="B125" s="10" t="s">
        <v>59</v>
      </c>
      <c r="C125" s="10" t="s">
        <v>33</v>
      </c>
      <c r="D125" s="10" t="s">
        <v>49</v>
      </c>
      <c r="E125" s="12">
        <v>5372</v>
      </c>
      <c r="F125" s="12">
        <v>634</v>
      </c>
      <c r="G125" s="13">
        <v>9738</v>
      </c>
      <c r="H125" s="14">
        <v>2</v>
      </c>
      <c r="I125" s="14">
        <f t="shared" si="88"/>
        <v>44.0122222222222</v>
      </c>
      <c r="J125" s="14">
        <v>25</v>
      </c>
      <c r="K125" s="15">
        <f t="shared" si="89"/>
        <v>214.88</v>
      </c>
      <c r="L125" s="14">
        <f t="shared" si="107"/>
        <v>386.5</v>
      </c>
      <c r="M125" s="16">
        <f t="shared" si="91"/>
        <v>-386.5</v>
      </c>
      <c r="N125" s="14">
        <v>31</v>
      </c>
      <c r="O125" s="15">
        <f t="shared" si="92"/>
        <v>314.129032258065</v>
      </c>
      <c r="P125" s="14">
        <f t="shared" si="93"/>
        <v>0.06859</v>
      </c>
      <c r="Q125" s="16">
        <f t="shared" si="94"/>
        <v>627.8536548</v>
      </c>
      <c r="R125" s="14">
        <f t="shared" si="108"/>
        <v>518.16</v>
      </c>
      <c r="S125" s="16">
        <f t="shared" si="96"/>
        <v>109.6936548</v>
      </c>
      <c r="T125" s="14">
        <v>48</v>
      </c>
      <c r="U125" s="15">
        <f t="shared" si="97"/>
        <v>13.2083333333333</v>
      </c>
      <c r="V125" s="14">
        <f t="shared" si="98"/>
        <v>0.276355</v>
      </c>
      <c r="W125" s="16">
        <f t="shared" si="99"/>
        <v>164.6965258</v>
      </c>
      <c r="X125" s="14">
        <f t="shared" si="100"/>
        <v>787.7</v>
      </c>
      <c r="Y125" s="16">
        <f t="shared" si="101"/>
        <v>-623.0034742</v>
      </c>
      <c r="Z125" s="17">
        <v>4</v>
      </c>
      <c r="AA125" s="17">
        <v>3</v>
      </c>
      <c r="AB125" s="17">
        <v>0</v>
      </c>
      <c r="AC125" s="17">
        <v>1</v>
      </c>
      <c r="AD125" s="16">
        <f t="shared" si="102"/>
        <v>139.777009144701</v>
      </c>
      <c r="AE125" s="18">
        <f t="shared" si="103"/>
        <v>-1083.59905076692</v>
      </c>
      <c r="AF125" s="1">
        <f t="shared" si="104"/>
        <v>112</v>
      </c>
      <c r="AG125" s="1">
        <f>'[1]5'!BH25</f>
        <v>112</v>
      </c>
    </row>
    <row r="126" s="1" customFormat="1" spans="1:33">
      <c r="A126" s="9">
        <v>46117</v>
      </c>
      <c r="B126" s="10" t="s">
        <v>60</v>
      </c>
      <c r="C126" s="10" t="s">
        <v>33</v>
      </c>
      <c r="D126" s="11" t="s">
        <v>47</v>
      </c>
      <c r="E126" s="12">
        <v>0</v>
      </c>
      <c r="F126" s="12">
        <v>4309</v>
      </c>
      <c r="G126" s="13">
        <v>7744</v>
      </c>
      <c r="H126" s="14">
        <v>2</v>
      </c>
      <c r="I126" s="14">
        <f t="shared" si="88"/>
        <v>44.0122222222222</v>
      </c>
      <c r="J126" s="14">
        <v>27</v>
      </c>
      <c r="K126" s="15">
        <f t="shared" si="89"/>
        <v>0</v>
      </c>
      <c r="L126" s="14">
        <f t="shared" si="107"/>
        <v>415.74</v>
      </c>
      <c r="M126" s="16">
        <f t="shared" si="91"/>
        <v>-415.74</v>
      </c>
      <c r="N126" s="14">
        <v>28</v>
      </c>
      <c r="O126" s="15">
        <f t="shared" si="92"/>
        <v>276.571428571429</v>
      </c>
      <c r="P126" s="14">
        <f t="shared" si="93"/>
        <v>0.06859</v>
      </c>
      <c r="Q126" s="16">
        <f t="shared" si="94"/>
        <v>499.2913024</v>
      </c>
      <c r="R126" s="14">
        <f t="shared" si="108"/>
        <v>474.3</v>
      </c>
      <c r="S126" s="16">
        <f t="shared" si="96"/>
        <v>24.9913023999999</v>
      </c>
      <c r="T126" s="14">
        <v>49</v>
      </c>
      <c r="U126" s="15">
        <f t="shared" si="97"/>
        <v>87.9387755102041</v>
      </c>
      <c r="V126" s="14">
        <f t="shared" si="98"/>
        <v>0.276355</v>
      </c>
      <c r="W126" s="16">
        <f t="shared" si="99"/>
        <v>1119.3648733</v>
      </c>
      <c r="X126" s="14">
        <f t="shared" si="100"/>
        <v>802.32</v>
      </c>
      <c r="Y126" s="16">
        <f t="shared" si="101"/>
        <v>317.0448733</v>
      </c>
      <c r="Z126" s="17">
        <v>4</v>
      </c>
      <c r="AA126" s="17">
        <v>3</v>
      </c>
      <c r="AB126" s="17">
        <v>0</v>
      </c>
      <c r="AC126" s="17">
        <v>1</v>
      </c>
      <c r="AD126" s="16">
        <f t="shared" si="102"/>
        <v>139.777009144701</v>
      </c>
      <c r="AE126" s="18">
        <f t="shared" si="103"/>
        <v>-257.493055666924</v>
      </c>
      <c r="AF126" s="1">
        <f t="shared" si="104"/>
        <v>112</v>
      </c>
      <c r="AG126" s="1">
        <f>'[1]5'!BH26</f>
        <v>112</v>
      </c>
    </row>
    <row r="127" s="1" customFormat="1" spans="1:33">
      <c r="B127" s="2"/>
      <c r="C127" s="2"/>
      <c r="D127" s="2"/>
      <c r="E127" s="2"/>
      <c r="F127" s="2"/>
      <c r="G127" s="2"/>
      <c r="H127" s="2"/>
      <c r="I127" s="3"/>
      <c r="AE127" s="18">
        <f>SUM(AE103:AE126)</f>
        <v>-7863.22845693352</v>
      </c>
    </row>
    <row r="128" s="1" customFormat="1" spans="1:33">
      <c r="A128" s="9">
        <v>46118</v>
      </c>
      <c r="B128" s="10" t="s">
        <v>32</v>
      </c>
      <c r="C128" s="10" t="s">
        <v>33</v>
      </c>
      <c r="D128" s="11" t="s">
        <v>34</v>
      </c>
      <c r="E128" s="12">
        <v>14593</v>
      </c>
      <c r="F128" s="12">
        <v>2061</v>
      </c>
      <c r="G128" s="13">
        <v>4806</v>
      </c>
      <c r="H128" s="14">
        <v>2</v>
      </c>
      <c r="I128" s="14">
        <f t="shared" ref="I128:I151" si="109">IF(H128=2,21.79+16000/30/24,25.75+12000/30/24*2+30000/30/24)</f>
        <v>44.0122222222222</v>
      </c>
      <c r="J128" s="14">
        <v>15</v>
      </c>
      <c r="K128" s="15">
        <f t="shared" ref="K128:K151" si="110">E128/J128</f>
        <v>972.866666666667</v>
      </c>
      <c r="L128" s="14">
        <f t="shared" ref="L128:L134" si="111">J128*14.62+21</f>
        <v>240.3</v>
      </c>
      <c r="M128" s="16">
        <f t="shared" ref="M128:M151" si="112">0-L128</f>
        <v>-240.3</v>
      </c>
      <c r="N128" s="14">
        <v>25</v>
      </c>
      <c r="O128" s="15">
        <f t="shared" ref="O128:O151" si="113">G128/N128</f>
        <v>192.24</v>
      </c>
      <c r="P128" s="14">
        <f t="shared" ref="P128:P151" si="114">0.0722*0.95</f>
        <v>0.06859</v>
      </c>
      <c r="Q128" s="16">
        <f t="shared" ref="Q128:Q151" si="115">P128*G128*0.94</f>
        <v>309.8649276</v>
      </c>
      <c r="R128" s="14">
        <f t="shared" ref="R128:R134" si="116">(N128-13)*14.62+13*18+21</f>
        <v>430.44</v>
      </c>
      <c r="S128" s="16">
        <f t="shared" ref="S128:S151" si="117">Q128-R128</f>
        <v>-120.5750724</v>
      </c>
      <c r="T128" s="14">
        <v>45</v>
      </c>
      <c r="U128" s="15">
        <f t="shared" ref="U128:U151" si="118">F128/T128</f>
        <v>45.8</v>
      </c>
      <c r="V128" s="14">
        <f t="shared" ref="V128:V151" si="119">0.2909*0.95</f>
        <v>0.276355</v>
      </c>
      <c r="W128" s="16">
        <f t="shared" ref="W128:W151" si="120">V128*F128*0.94</f>
        <v>535.3935957</v>
      </c>
      <c r="X128" s="14">
        <f t="shared" ref="X128:X151" si="121">(T128-13)*14.62+13*18+42</f>
        <v>743.84</v>
      </c>
      <c r="Y128" s="16">
        <f t="shared" ref="Y128:Y151" si="122">W128-X128</f>
        <v>-208.4464043</v>
      </c>
      <c r="Z128" s="17">
        <v>4</v>
      </c>
      <c r="AA128" s="17">
        <v>3</v>
      </c>
      <c r="AB128" s="17">
        <v>0</v>
      </c>
      <c r="AC128" s="17">
        <v>1</v>
      </c>
      <c r="AD128" s="16">
        <f t="shared" ref="AD128:AD151" si="123">(Z128-1)*14.62+(9000/26/13)+(AA128-1)*14.54+7500/26/11+AB128*(4200/26/9)+AC128*(4000/26/11)+1000/24</f>
        <v>181.443675811368</v>
      </c>
      <c r="AE128" s="18">
        <f t="shared" ref="AE128:AE151" si="124">M128+S128+Y128-I128-AD128</f>
        <v>-794.77737473359</v>
      </c>
      <c r="AF128" s="1">
        <f t="shared" ref="AF128:AF151" si="125">AB128+AA128+Z128+T128+N128+J128+AC128</f>
        <v>93</v>
      </c>
      <c r="AG128" s="1">
        <f>'[1]6'!BH3</f>
        <v>93</v>
      </c>
    </row>
    <row r="129" s="1" customFormat="1" spans="1:33">
      <c r="A129" s="9">
        <v>46118</v>
      </c>
      <c r="B129" s="10" t="s">
        <v>35</v>
      </c>
      <c r="C129" s="10" t="s">
        <v>33</v>
      </c>
      <c r="D129" s="11" t="s">
        <v>34</v>
      </c>
      <c r="E129" s="12">
        <v>0</v>
      </c>
      <c r="F129" s="12">
        <v>3609</v>
      </c>
      <c r="G129" s="13">
        <v>13761</v>
      </c>
      <c r="H129" s="14">
        <v>2</v>
      </c>
      <c r="I129" s="14">
        <f t="shared" si="109"/>
        <v>44.0122222222222</v>
      </c>
      <c r="J129" s="14">
        <v>15</v>
      </c>
      <c r="K129" s="15">
        <f t="shared" si="110"/>
        <v>0</v>
      </c>
      <c r="L129" s="14">
        <f t="shared" si="111"/>
        <v>240.3</v>
      </c>
      <c r="M129" s="16">
        <f t="shared" si="112"/>
        <v>-240.3</v>
      </c>
      <c r="N129" s="14">
        <v>25</v>
      </c>
      <c r="O129" s="15">
        <f t="shared" si="113"/>
        <v>550.44</v>
      </c>
      <c r="P129" s="14">
        <f t="shared" si="114"/>
        <v>0.06859</v>
      </c>
      <c r="Q129" s="16">
        <f t="shared" si="115"/>
        <v>887.2349706</v>
      </c>
      <c r="R129" s="14">
        <f t="shared" si="116"/>
        <v>430.44</v>
      </c>
      <c r="S129" s="16">
        <f t="shared" si="117"/>
        <v>456.7949706</v>
      </c>
      <c r="T129" s="14">
        <v>45</v>
      </c>
      <c r="U129" s="15">
        <f t="shared" si="118"/>
        <v>80.2</v>
      </c>
      <c r="V129" s="14">
        <f t="shared" si="119"/>
        <v>0.276355</v>
      </c>
      <c r="W129" s="16">
        <f t="shared" si="120"/>
        <v>937.5232833</v>
      </c>
      <c r="X129" s="14">
        <f t="shared" si="121"/>
        <v>743.84</v>
      </c>
      <c r="Y129" s="16">
        <f t="shared" si="122"/>
        <v>193.6832833</v>
      </c>
      <c r="Z129" s="17">
        <v>4</v>
      </c>
      <c r="AA129" s="17">
        <v>3</v>
      </c>
      <c r="AB129" s="17">
        <v>0</v>
      </c>
      <c r="AC129" s="17">
        <v>1</v>
      </c>
      <c r="AD129" s="16">
        <f t="shared" si="123"/>
        <v>181.443675811368</v>
      </c>
      <c r="AE129" s="18">
        <f t="shared" si="124"/>
        <v>184.722355866409</v>
      </c>
      <c r="AF129" s="1">
        <f t="shared" si="125"/>
        <v>93</v>
      </c>
      <c r="AG129" s="1">
        <f>'[1]6'!BH4</f>
        <v>93</v>
      </c>
    </row>
    <row r="130" s="1" customFormat="1" spans="1:33">
      <c r="A130" s="9">
        <v>46118</v>
      </c>
      <c r="B130" s="10" t="s">
        <v>36</v>
      </c>
      <c r="C130" s="10" t="s">
        <v>33</v>
      </c>
      <c r="D130" s="11" t="s">
        <v>34</v>
      </c>
      <c r="E130" s="12">
        <v>0</v>
      </c>
      <c r="F130" s="12">
        <v>1236</v>
      </c>
      <c r="G130" s="13">
        <v>12311</v>
      </c>
      <c r="H130" s="14">
        <v>2</v>
      </c>
      <c r="I130" s="14">
        <f t="shared" si="109"/>
        <v>44.0122222222222</v>
      </c>
      <c r="J130" s="14">
        <v>15</v>
      </c>
      <c r="K130" s="15">
        <f t="shared" si="110"/>
        <v>0</v>
      </c>
      <c r="L130" s="14">
        <f t="shared" si="111"/>
        <v>240.3</v>
      </c>
      <c r="M130" s="16">
        <f t="shared" si="112"/>
        <v>-240.3</v>
      </c>
      <c r="N130" s="14">
        <v>25</v>
      </c>
      <c r="O130" s="15">
        <f t="shared" si="113"/>
        <v>492.44</v>
      </c>
      <c r="P130" s="14">
        <f t="shared" si="114"/>
        <v>0.06859</v>
      </c>
      <c r="Q130" s="16">
        <f t="shared" si="115"/>
        <v>793.7468006</v>
      </c>
      <c r="R130" s="14">
        <f t="shared" si="116"/>
        <v>430.44</v>
      </c>
      <c r="S130" s="16">
        <f t="shared" si="117"/>
        <v>363.3068006</v>
      </c>
      <c r="T130" s="14">
        <v>45</v>
      </c>
      <c r="U130" s="15">
        <f t="shared" si="118"/>
        <v>27.4666666666667</v>
      </c>
      <c r="V130" s="14">
        <f t="shared" si="119"/>
        <v>0.276355</v>
      </c>
      <c r="W130" s="16">
        <f t="shared" si="120"/>
        <v>321.0802932</v>
      </c>
      <c r="X130" s="14">
        <f t="shared" si="121"/>
        <v>743.84</v>
      </c>
      <c r="Y130" s="16">
        <f t="shared" si="122"/>
        <v>-422.7597068</v>
      </c>
      <c r="Z130" s="17">
        <v>4</v>
      </c>
      <c r="AA130" s="17">
        <v>3</v>
      </c>
      <c r="AB130" s="17">
        <v>0</v>
      </c>
      <c r="AC130" s="17">
        <v>1</v>
      </c>
      <c r="AD130" s="16">
        <f t="shared" si="123"/>
        <v>181.443675811368</v>
      </c>
      <c r="AE130" s="18">
        <f t="shared" si="124"/>
        <v>-525.20880423359</v>
      </c>
      <c r="AF130" s="1">
        <f t="shared" si="125"/>
        <v>93</v>
      </c>
      <c r="AG130" s="1">
        <f>'[1]6'!BH5</f>
        <v>93</v>
      </c>
    </row>
    <row r="131" s="1" customFormat="1" spans="1:33">
      <c r="A131" s="9">
        <v>46118</v>
      </c>
      <c r="B131" s="10" t="s">
        <v>37</v>
      </c>
      <c r="C131" s="10" t="s">
        <v>33</v>
      </c>
      <c r="D131" s="11" t="s">
        <v>34</v>
      </c>
      <c r="E131" s="12">
        <v>1822</v>
      </c>
      <c r="F131" s="12">
        <v>2544</v>
      </c>
      <c r="G131" s="13">
        <v>10964</v>
      </c>
      <c r="H131" s="14">
        <v>2</v>
      </c>
      <c r="I131" s="14">
        <f t="shared" si="109"/>
        <v>44.0122222222222</v>
      </c>
      <c r="J131" s="14">
        <v>15</v>
      </c>
      <c r="K131" s="15">
        <f t="shared" si="110"/>
        <v>121.466666666667</v>
      </c>
      <c r="L131" s="14">
        <f t="shared" si="111"/>
        <v>240.3</v>
      </c>
      <c r="M131" s="16">
        <f t="shared" si="112"/>
        <v>-240.3</v>
      </c>
      <c r="N131" s="14">
        <v>18</v>
      </c>
      <c r="O131" s="15">
        <f t="shared" si="113"/>
        <v>609.111111111111</v>
      </c>
      <c r="P131" s="14">
        <f t="shared" si="114"/>
        <v>0.06859</v>
      </c>
      <c r="Q131" s="16">
        <f t="shared" si="115"/>
        <v>706.8995144</v>
      </c>
      <c r="R131" s="14">
        <f t="shared" si="116"/>
        <v>328.1</v>
      </c>
      <c r="S131" s="16">
        <f t="shared" si="117"/>
        <v>378.7995144</v>
      </c>
      <c r="T131" s="14">
        <v>52</v>
      </c>
      <c r="U131" s="15">
        <f t="shared" si="118"/>
        <v>48.9230769230769</v>
      </c>
      <c r="V131" s="14">
        <f t="shared" si="119"/>
        <v>0.276355</v>
      </c>
      <c r="W131" s="16">
        <f t="shared" si="120"/>
        <v>660.8642928</v>
      </c>
      <c r="X131" s="14">
        <f t="shared" si="121"/>
        <v>846.18</v>
      </c>
      <c r="Y131" s="16">
        <f t="shared" si="122"/>
        <v>-185.3157072</v>
      </c>
      <c r="Z131" s="17">
        <v>4</v>
      </c>
      <c r="AA131" s="17">
        <v>3</v>
      </c>
      <c r="AB131" s="17">
        <v>0</v>
      </c>
      <c r="AC131" s="17">
        <v>1</v>
      </c>
      <c r="AD131" s="16">
        <f t="shared" si="123"/>
        <v>181.443675811368</v>
      </c>
      <c r="AE131" s="18">
        <f t="shared" si="124"/>
        <v>-272.27209083359</v>
      </c>
      <c r="AF131" s="1">
        <f t="shared" si="125"/>
        <v>93</v>
      </c>
      <c r="AG131" s="1">
        <f>'[1]6'!BH6</f>
        <v>93</v>
      </c>
    </row>
    <row r="132" s="1" customFormat="1" spans="1:33">
      <c r="A132" s="9">
        <v>46118</v>
      </c>
      <c r="B132" s="10" t="s">
        <v>38</v>
      </c>
      <c r="C132" s="10" t="s">
        <v>33</v>
      </c>
      <c r="D132" s="11" t="s">
        <v>34</v>
      </c>
      <c r="E132" s="12">
        <v>0</v>
      </c>
      <c r="F132" s="12">
        <v>2088</v>
      </c>
      <c r="G132" s="13">
        <v>131</v>
      </c>
      <c r="H132" s="14">
        <v>2</v>
      </c>
      <c r="I132" s="14">
        <f t="shared" si="109"/>
        <v>44.0122222222222</v>
      </c>
      <c r="J132" s="14">
        <v>15</v>
      </c>
      <c r="K132" s="15">
        <f t="shared" si="110"/>
        <v>0</v>
      </c>
      <c r="L132" s="14">
        <f t="shared" si="111"/>
        <v>240.3</v>
      </c>
      <c r="M132" s="16">
        <f t="shared" si="112"/>
        <v>-240.3</v>
      </c>
      <c r="N132" s="14">
        <v>25</v>
      </c>
      <c r="O132" s="15">
        <f t="shared" si="113"/>
        <v>5.24</v>
      </c>
      <c r="P132" s="14">
        <f t="shared" si="114"/>
        <v>0.06859</v>
      </c>
      <c r="Q132" s="16">
        <f t="shared" si="115"/>
        <v>8.4461726</v>
      </c>
      <c r="R132" s="14">
        <f t="shared" si="116"/>
        <v>430.44</v>
      </c>
      <c r="S132" s="16">
        <f t="shared" si="117"/>
        <v>-421.9938274</v>
      </c>
      <c r="T132" s="14">
        <v>45</v>
      </c>
      <c r="U132" s="15">
        <f t="shared" si="118"/>
        <v>46.4</v>
      </c>
      <c r="V132" s="14">
        <f t="shared" si="119"/>
        <v>0.276355</v>
      </c>
      <c r="W132" s="16">
        <f t="shared" si="120"/>
        <v>542.4074856</v>
      </c>
      <c r="X132" s="14">
        <f t="shared" si="121"/>
        <v>743.84</v>
      </c>
      <c r="Y132" s="16">
        <f t="shared" si="122"/>
        <v>-201.4325144</v>
      </c>
      <c r="Z132" s="17">
        <v>4</v>
      </c>
      <c r="AA132" s="17">
        <v>3</v>
      </c>
      <c r="AB132" s="17">
        <v>0</v>
      </c>
      <c r="AC132" s="17">
        <v>1</v>
      </c>
      <c r="AD132" s="16">
        <f t="shared" si="123"/>
        <v>181.443675811368</v>
      </c>
      <c r="AE132" s="18">
        <f t="shared" si="124"/>
        <v>-1089.18223983359</v>
      </c>
      <c r="AF132" s="1">
        <f t="shared" si="125"/>
        <v>93</v>
      </c>
      <c r="AG132" s="1">
        <f>'[1]6'!BH7</f>
        <v>93</v>
      </c>
    </row>
    <row r="133" s="1" customFormat="1" spans="1:33">
      <c r="A133" s="9">
        <v>46118</v>
      </c>
      <c r="B133" s="10" t="s">
        <v>39</v>
      </c>
      <c r="C133" s="10" t="s">
        <v>33</v>
      </c>
      <c r="D133" s="11" t="s">
        <v>34</v>
      </c>
      <c r="E133" s="12">
        <v>4269</v>
      </c>
      <c r="F133" s="12">
        <v>985</v>
      </c>
      <c r="G133" s="13">
        <v>147</v>
      </c>
      <c r="H133" s="14">
        <v>2</v>
      </c>
      <c r="I133" s="14">
        <f t="shared" si="109"/>
        <v>44.0122222222222</v>
      </c>
      <c r="J133" s="14">
        <v>15</v>
      </c>
      <c r="K133" s="15">
        <f t="shared" si="110"/>
        <v>284.6</v>
      </c>
      <c r="L133" s="14">
        <f t="shared" si="111"/>
        <v>240.3</v>
      </c>
      <c r="M133" s="16">
        <f t="shared" si="112"/>
        <v>-240.3</v>
      </c>
      <c r="N133" s="14">
        <v>25</v>
      </c>
      <c r="O133" s="15">
        <f t="shared" si="113"/>
        <v>5.88</v>
      </c>
      <c r="P133" s="14">
        <f t="shared" si="114"/>
        <v>0.06859</v>
      </c>
      <c r="Q133" s="16">
        <f t="shared" si="115"/>
        <v>9.4777662</v>
      </c>
      <c r="R133" s="14">
        <f t="shared" si="116"/>
        <v>430.44</v>
      </c>
      <c r="S133" s="16">
        <f t="shared" si="117"/>
        <v>-420.9622338</v>
      </c>
      <c r="T133" s="14">
        <v>45</v>
      </c>
      <c r="U133" s="15">
        <f t="shared" si="118"/>
        <v>21.8888888888889</v>
      </c>
      <c r="V133" s="14">
        <f t="shared" si="119"/>
        <v>0.276355</v>
      </c>
      <c r="W133" s="16">
        <f t="shared" si="120"/>
        <v>255.8770945</v>
      </c>
      <c r="X133" s="14">
        <f t="shared" si="121"/>
        <v>743.84</v>
      </c>
      <c r="Y133" s="16">
        <f t="shared" si="122"/>
        <v>-487.9629055</v>
      </c>
      <c r="Z133" s="17">
        <v>4</v>
      </c>
      <c r="AA133" s="17">
        <v>3</v>
      </c>
      <c r="AB133" s="17">
        <v>0</v>
      </c>
      <c r="AC133" s="17">
        <v>1</v>
      </c>
      <c r="AD133" s="16">
        <f t="shared" si="123"/>
        <v>181.443675811368</v>
      </c>
      <c r="AE133" s="18">
        <f t="shared" si="124"/>
        <v>-1374.68103733359</v>
      </c>
      <c r="AF133" s="1">
        <f t="shared" si="125"/>
        <v>93</v>
      </c>
      <c r="AG133" s="1">
        <f>'[1]6'!BH8</f>
        <v>93</v>
      </c>
    </row>
    <row r="134" s="1" customFormat="1" spans="1:33">
      <c r="A134" s="9">
        <v>46118</v>
      </c>
      <c r="B134" s="10" t="s">
        <v>40</v>
      </c>
      <c r="C134" s="10" t="s">
        <v>33</v>
      </c>
      <c r="D134" s="11" t="s">
        <v>34</v>
      </c>
      <c r="E134" s="12">
        <v>498</v>
      </c>
      <c r="F134" s="12">
        <v>2651</v>
      </c>
      <c r="G134" s="13">
        <v>6035</v>
      </c>
      <c r="H134" s="14">
        <v>2</v>
      </c>
      <c r="I134" s="14">
        <f t="shared" si="109"/>
        <v>44.0122222222222</v>
      </c>
      <c r="J134" s="14">
        <v>15</v>
      </c>
      <c r="K134" s="15">
        <f t="shared" si="110"/>
        <v>33.2</v>
      </c>
      <c r="L134" s="14">
        <f t="shared" si="111"/>
        <v>240.3</v>
      </c>
      <c r="M134" s="16">
        <f t="shared" si="112"/>
        <v>-240.3</v>
      </c>
      <c r="N134" s="14">
        <v>25</v>
      </c>
      <c r="O134" s="15">
        <f t="shared" si="113"/>
        <v>241.4</v>
      </c>
      <c r="P134" s="14">
        <f t="shared" si="114"/>
        <v>0.06859</v>
      </c>
      <c r="Q134" s="16">
        <f t="shared" si="115"/>
        <v>389.104211</v>
      </c>
      <c r="R134" s="14">
        <f t="shared" si="116"/>
        <v>430.44</v>
      </c>
      <c r="S134" s="16">
        <f t="shared" si="117"/>
        <v>-41.335789</v>
      </c>
      <c r="T134" s="14">
        <v>45</v>
      </c>
      <c r="U134" s="15">
        <f t="shared" si="118"/>
        <v>58.9111111111111</v>
      </c>
      <c r="V134" s="14">
        <f t="shared" si="119"/>
        <v>0.276355</v>
      </c>
      <c r="W134" s="16">
        <f t="shared" si="120"/>
        <v>688.6600787</v>
      </c>
      <c r="X134" s="14">
        <f t="shared" si="121"/>
        <v>743.84</v>
      </c>
      <c r="Y134" s="16">
        <f t="shared" si="122"/>
        <v>-55.1799213</v>
      </c>
      <c r="Z134" s="17">
        <v>4</v>
      </c>
      <c r="AA134" s="17">
        <v>3</v>
      </c>
      <c r="AB134" s="17">
        <v>0</v>
      </c>
      <c r="AC134" s="17">
        <v>1</v>
      </c>
      <c r="AD134" s="16">
        <f t="shared" si="123"/>
        <v>181.443675811368</v>
      </c>
      <c r="AE134" s="18">
        <f t="shared" si="124"/>
        <v>-562.27160833359</v>
      </c>
      <c r="AF134" s="1">
        <f t="shared" si="125"/>
        <v>93</v>
      </c>
      <c r="AG134" s="1">
        <f>'[1]6'!BH9</f>
        <v>93</v>
      </c>
    </row>
    <row r="135" s="1" customFormat="1" spans="1:33">
      <c r="A135" s="9">
        <v>46118</v>
      </c>
      <c r="B135" s="10" t="s">
        <v>41</v>
      </c>
      <c r="C135" s="10" t="s">
        <v>42</v>
      </c>
      <c r="D135" s="11" t="s">
        <v>34</v>
      </c>
      <c r="E135" s="12">
        <v>2205</v>
      </c>
      <c r="F135" s="12">
        <v>2386</v>
      </c>
      <c r="G135" s="13">
        <v>4536</v>
      </c>
      <c r="H135" s="14">
        <v>4</v>
      </c>
      <c r="I135" s="14">
        <f t="shared" si="109"/>
        <v>100.75</v>
      </c>
      <c r="J135" s="14">
        <v>9</v>
      </c>
      <c r="K135" s="15">
        <f t="shared" si="110"/>
        <v>245</v>
      </c>
      <c r="L135" s="14">
        <f t="shared" ref="L135:L145" si="126">J135*14.54+21</f>
        <v>151.86</v>
      </c>
      <c r="M135" s="16">
        <f t="shared" si="112"/>
        <v>-151.86</v>
      </c>
      <c r="N135" s="14">
        <v>12</v>
      </c>
      <c r="O135" s="15">
        <f t="shared" si="113"/>
        <v>378</v>
      </c>
      <c r="P135" s="14">
        <f t="shared" si="114"/>
        <v>0.06859</v>
      </c>
      <c r="Q135" s="16">
        <f t="shared" si="115"/>
        <v>292.4567856</v>
      </c>
      <c r="R135" s="14">
        <f t="shared" ref="R135:R145" si="127">N135*14.54+21</f>
        <v>195.48</v>
      </c>
      <c r="S135" s="16">
        <f t="shared" si="117"/>
        <v>96.9767856</v>
      </c>
      <c r="T135" s="14">
        <v>32</v>
      </c>
      <c r="U135" s="15">
        <f t="shared" si="118"/>
        <v>74.5625</v>
      </c>
      <c r="V135" s="14">
        <f t="shared" si="119"/>
        <v>0.276355</v>
      </c>
      <c r="W135" s="16">
        <f t="shared" si="120"/>
        <v>619.8200482</v>
      </c>
      <c r="X135" s="14">
        <f t="shared" si="121"/>
        <v>553.78</v>
      </c>
      <c r="Y135" s="16">
        <f t="shared" si="122"/>
        <v>66.0400482</v>
      </c>
      <c r="Z135" s="17">
        <v>0</v>
      </c>
      <c r="AA135" s="17">
        <v>2</v>
      </c>
      <c r="AB135" s="17">
        <v>2</v>
      </c>
      <c r="AC135" s="17">
        <v>1</v>
      </c>
      <c r="AD135" s="16">
        <f t="shared" si="123"/>
        <v>144.321111708804</v>
      </c>
      <c r="AE135" s="18">
        <f t="shared" si="124"/>
        <v>-233.914277908804</v>
      </c>
      <c r="AF135" s="1">
        <f t="shared" si="125"/>
        <v>58</v>
      </c>
      <c r="AG135" s="1">
        <f>'[1]6'!BH10</f>
        <v>58</v>
      </c>
    </row>
    <row r="136" s="1" customFormat="1" spans="1:33">
      <c r="A136" s="9">
        <v>46118</v>
      </c>
      <c r="B136" s="10" t="s">
        <v>43</v>
      </c>
      <c r="C136" s="10" t="s">
        <v>42</v>
      </c>
      <c r="D136" s="11" t="s">
        <v>34</v>
      </c>
      <c r="E136" s="12">
        <v>2692</v>
      </c>
      <c r="F136" s="12">
        <v>406</v>
      </c>
      <c r="G136" s="13">
        <v>2838</v>
      </c>
      <c r="H136" s="14">
        <v>4</v>
      </c>
      <c r="I136" s="14">
        <f t="shared" si="109"/>
        <v>100.75</v>
      </c>
      <c r="J136" s="14">
        <v>9</v>
      </c>
      <c r="K136" s="15">
        <f t="shared" si="110"/>
        <v>299.111111111111</v>
      </c>
      <c r="L136" s="14">
        <f t="shared" si="126"/>
        <v>151.86</v>
      </c>
      <c r="M136" s="16">
        <f t="shared" si="112"/>
        <v>-151.86</v>
      </c>
      <c r="N136" s="14">
        <v>12</v>
      </c>
      <c r="O136" s="15">
        <f t="shared" si="113"/>
        <v>236.5</v>
      </c>
      <c r="P136" s="14">
        <f t="shared" si="114"/>
        <v>0.06859</v>
      </c>
      <c r="Q136" s="16">
        <f t="shared" si="115"/>
        <v>182.9789148</v>
      </c>
      <c r="R136" s="14">
        <f t="shared" si="127"/>
        <v>195.48</v>
      </c>
      <c r="S136" s="16">
        <f t="shared" si="117"/>
        <v>-12.5010852</v>
      </c>
      <c r="T136" s="14">
        <v>32</v>
      </c>
      <c r="U136" s="15">
        <f t="shared" si="118"/>
        <v>12.6875</v>
      </c>
      <c r="V136" s="14">
        <f t="shared" si="119"/>
        <v>0.276355</v>
      </c>
      <c r="W136" s="16">
        <f t="shared" si="120"/>
        <v>105.4681222</v>
      </c>
      <c r="X136" s="14">
        <f t="shared" si="121"/>
        <v>553.78</v>
      </c>
      <c r="Y136" s="16">
        <f t="shared" si="122"/>
        <v>-448.3118778</v>
      </c>
      <c r="Z136" s="17">
        <v>0</v>
      </c>
      <c r="AA136" s="17">
        <v>2</v>
      </c>
      <c r="AB136" s="17">
        <v>2</v>
      </c>
      <c r="AC136" s="17">
        <v>1</v>
      </c>
      <c r="AD136" s="16">
        <f t="shared" si="123"/>
        <v>144.321111708804</v>
      </c>
      <c r="AE136" s="18">
        <f t="shared" si="124"/>
        <v>-857.744074708804</v>
      </c>
      <c r="AF136" s="1">
        <f t="shared" si="125"/>
        <v>58</v>
      </c>
      <c r="AG136" s="1">
        <f>'[1]6'!BH11</f>
        <v>58</v>
      </c>
    </row>
    <row r="137" s="1" customFormat="1" spans="1:33">
      <c r="A137" s="9">
        <v>46118</v>
      </c>
      <c r="B137" s="10" t="s">
        <v>44</v>
      </c>
      <c r="C137" s="10" t="s">
        <v>42</v>
      </c>
      <c r="D137" s="11" t="s">
        <v>34</v>
      </c>
      <c r="E137" s="12">
        <v>199</v>
      </c>
      <c r="F137" s="12">
        <v>2756</v>
      </c>
      <c r="G137" s="13">
        <v>9419</v>
      </c>
      <c r="H137" s="14">
        <v>4</v>
      </c>
      <c r="I137" s="14">
        <f t="shared" si="109"/>
        <v>100.75</v>
      </c>
      <c r="J137" s="14">
        <v>12</v>
      </c>
      <c r="K137" s="15">
        <f t="shared" si="110"/>
        <v>16.5833333333333</v>
      </c>
      <c r="L137" s="14">
        <f t="shared" si="126"/>
        <v>195.48</v>
      </c>
      <c r="M137" s="16">
        <f t="shared" si="112"/>
        <v>-195.48</v>
      </c>
      <c r="N137" s="14">
        <v>14</v>
      </c>
      <c r="O137" s="15">
        <f t="shared" si="113"/>
        <v>672.785714285714</v>
      </c>
      <c r="P137" s="14">
        <f t="shared" si="114"/>
        <v>0.06859</v>
      </c>
      <c r="Q137" s="16">
        <f t="shared" si="115"/>
        <v>607.2862574</v>
      </c>
      <c r="R137" s="14">
        <f t="shared" si="127"/>
        <v>224.56</v>
      </c>
      <c r="S137" s="16">
        <f t="shared" si="117"/>
        <v>382.7262574</v>
      </c>
      <c r="T137" s="14">
        <v>27</v>
      </c>
      <c r="U137" s="15">
        <f t="shared" si="118"/>
        <v>102.074074074074</v>
      </c>
      <c r="V137" s="14">
        <f t="shared" si="119"/>
        <v>0.276355</v>
      </c>
      <c r="W137" s="16">
        <f t="shared" si="120"/>
        <v>715.9363172</v>
      </c>
      <c r="X137" s="14">
        <f t="shared" si="121"/>
        <v>480.68</v>
      </c>
      <c r="Y137" s="16">
        <f t="shared" si="122"/>
        <v>235.2563172</v>
      </c>
      <c r="Z137" s="17">
        <v>0</v>
      </c>
      <c r="AA137" s="17">
        <v>2</v>
      </c>
      <c r="AB137" s="17">
        <v>2</v>
      </c>
      <c r="AC137" s="17">
        <v>1</v>
      </c>
      <c r="AD137" s="16">
        <f t="shared" si="123"/>
        <v>144.321111708804</v>
      </c>
      <c r="AE137" s="18">
        <f t="shared" si="124"/>
        <v>177.431462891196</v>
      </c>
      <c r="AF137" s="1">
        <f t="shared" si="125"/>
        <v>58</v>
      </c>
      <c r="AG137" s="1">
        <f>'[1]6'!BH12</f>
        <v>58</v>
      </c>
    </row>
    <row r="138" s="1" customFormat="1" spans="1:33">
      <c r="A138" s="9">
        <v>46118</v>
      </c>
      <c r="B138" s="10" t="s">
        <v>45</v>
      </c>
      <c r="C138" s="10" t="s">
        <v>42</v>
      </c>
      <c r="D138" s="11" t="s">
        <v>34</v>
      </c>
      <c r="E138" s="12">
        <v>99</v>
      </c>
      <c r="F138" s="12">
        <v>162</v>
      </c>
      <c r="G138" s="13">
        <v>198</v>
      </c>
      <c r="H138" s="14">
        <v>4</v>
      </c>
      <c r="I138" s="14">
        <f t="shared" si="109"/>
        <v>100.75</v>
      </c>
      <c r="J138" s="14">
        <v>12</v>
      </c>
      <c r="K138" s="15">
        <f t="shared" si="110"/>
        <v>8.25</v>
      </c>
      <c r="L138" s="14">
        <f t="shared" si="126"/>
        <v>195.48</v>
      </c>
      <c r="M138" s="16">
        <f t="shared" si="112"/>
        <v>-195.48</v>
      </c>
      <c r="N138" s="14">
        <v>14</v>
      </c>
      <c r="O138" s="15">
        <f t="shared" si="113"/>
        <v>14.1428571428571</v>
      </c>
      <c r="P138" s="14">
        <f t="shared" si="114"/>
        <v>0.06859</v>
      </c>
      <c r="Q138" s="16">
        <f t="shared" si="115"/>
        <v>12.7659708</v>
      </c>
      <c r="R138" s="14">
        <f t="shared" si="127"/>
        <v>224.56</v>
      </c>
      <c r="S138" s="16">
        <f t="shared" si="117"/>
        <v>-211.7940292</v>
      </c>
      <c r="T138" s="14">
        <v>27</v>
      </c>
      <c r="U138" s="15">
        <f t="shared" si="118"/>
        <v>6</v>
      </c>
      <c r="V138" s="14">
        <f t="shared" si="119"/>
        <v>0.276355</v>
      </c>
      <c r="W138" s="16">
        <f t="shared" si="120"/>
        <v>42.0833394</v>
      </c>
      <c r="X138" s="14">
        <f t="shared" si="121"/>
        <v>480.68</v>
      </c>
      <c r="Y138" s="16">
        <f t="shared" si="122"/>
        <v>-438.5966606</v>
      </c>
      <c r="Z138" s="17">
        <v>0</v>
      </c>
      <c r="AA138" s="17">
        <v>2</v>
      </c>
      <c r="AB138" s="17">
        <v>2</v>
      </c>
      <c r="AC138" s="17">
        <v>1</v>
      </c>
      <c r="AD138" s="16">
        <f t="shared" si="123"/>
        <v>144.321111708804</v>
      </c>
      <c r="AE138" s="18">
        <f t="shared" si="124"/>
        <v>-1090.9418015088</v>
      </c>
      <c r="AF138" s="1">
        <f t="shared" si="125"/>
        <v>58</v>
      </c>
      <c r="AG138" s="1">
        <f>'[1]6'!BH13</f>
        <v>58</v>
      </c>
    </row>
    <row r="139" s="1" customFormat="1" spans="1:33">
      <c r="A139" s="9">
        <v>46118</v>
      </c>
      <c r="B139" s="10" t="s">
        <v>46</v>
      </c>
      <c r="C139" s="10" t="s">
        <v>42</v>
      </c>
      <c r="D139" s="10" t="s">
        <v>47</v>
      </c>
      <c r="E139" s="12">
        <v>3861</v>
      </c>
      <c r="F139" s="12">
        <v>2079</v>
      </c>
      <c r="G139" s="13">
        <v>108</v>
      </c>
      <c r="H139" s="14">
        <v>4</v>
      </c>
      <c r="I139" s="14">
        <f t="shared" si="109"/>
        <v>100.75</v>
      </c>
      <c r="J139" s="14">
        <v>13</v>
      </c>
      <c r="K139" s="15">
        <f t="shared" si="110"/>
        <v>297</v>
      </c>
      <c r="L139" s="14">
        <f t="shared" si="126"/>
        <v>210.02</v>
      </c>
      <c r="M139" s="16">
        <f t="shared" si="112"/>
        <v>-210.02</v>
      </c>
      <c r="N139" s="14">
        <v>16</v>
      </c>
      <c r="O139" s="15">
        <f t="shared" si="113"/>
        <v>6.75</v>
      </c>
      <c r="P139" s="14">
        <f t="shared" si="114"/>
        <v>0.06859</v>
      </c>
      <c r="Q139" s="16">
        <f t="shared" si="115"/>
        <v>6.9632568</v>
      </c>
      <c r="R139" s="14">
        <f t="shared" si="127"/>
        <v>253.64</v>
      </c>
      <c r="S139" s="16">
        <f t="shared" si="117"/>
        <v>-246.6767432</v>
      </c>
      <c r="T139" s="14">
        <v>30</v>
      </c>
      <c r="U139" s="15">
        <f t="shared" si="118"/>
        <v>69.3</v>
      </c>
      <c r="V139" s="14">
        <f t="shared" si="119"/>
        <v>0.276355</v>
      </c>
      <c r="W139" s="16">
        <f t="shared" si="120"/>
        <v>540.0695223</v>
      </c>
      <c r="X139" s="14">
        <f t="shared" si="121"/>
        <v>524.54</v>
      </c>
      <c r="Y139" s="16">
        <f t="shared" si="122"/>
        <v>15.5295222999999</v>
      </c>
      <c r="Z139" s="17">
        <v>0</v>
      </c>
      <c r="AA139" s="17">
        <v>2</v>
      </c>
      <c r="AB139" s="17">
        <v>2</v>
      </c>
      <c r="AC139" s="17">
        <v>1</v>
      </c>
      <c r="AD139" s="16">
        <f t="shared" si="123"/>
        <v>144.321111708804</v>
      </c>
      <c r="AE139" s="18">
        <f t="shared" si="124"/>
        <v>-686.238332608804</v>
      </c>
      <c r="AF139" s="1">
        <f t="shared" si="125"/>
        <v>64</v>
      </c>
      <c r="AG139" s="1">
        <f>'[1]6'!BH14</f>
        <v>64</v>
      </c>
    </row>
    <row r="140" s="1" customFormat="1" spans="1:33">
      <c r="A140" s="9">
        <v>46118</v>
      </c>
      <c r="B140" s="10" t="s">
        <v>48</v>
      </c>
      <c r="C140" s="10" t="s">
        <v>42</v>
      </c>
      <c r="D140" s="10" t="s">
        <v>49</v>
      </c>
      <c r="E140" s="12">
        <v>12351</v>
      </c>
      <c r="F140" s="12">
        <v>6447</v>
      </c>
      <c r="G140" s="13">
        <v>15</v>
      </c>
      <c r="H140" s="14">
        <v>4</v>
      </c>
      <c r="I140" s="14">
        <f t="shared" si="109"/>
        <v>100.75</v>
      </c>
      <c r="J140" s="14">
        <v>18</v>
      </c>
      <c r="K140" s="15">
        <f t="shared" si="110"/>
        <v>686.166666666667</v>
      </c>
      <c r="L140" s="14">
        <f t="shared" si="126"/>
        <v>282.72</v>
      </c>
      <c r="M140" s="16">
        <f t="shared" si="112"/>
        <v>-282.72</v>
      </c>
      <c r="N140" s="14">
        <v>4</v>
      </c>
      <c r="O140" s="15">
        <f t="shared" si="113"/>
        <v>3.75</v>
      </c>
      <c r="P140" s="14">
        <f t="shared" si="114"/>
        <v>0.06859</v>
      </c>
      <c r="Q140" s="16">
        <f t="shared" si="115"/>
        <v>0.967119</v>
      </c>
      <c r="R140" s="14">
        <f t="shared" si="127"/>
        <v>79.16</v>
      </c>
      <c r="S140" s="16">
        <f t="shared" si="117"/>
        <v>-78.192881</v>
      </c>
      <c r="T140" s="14">
        <v>37</v>
      </c>
      <c r="U140" s="15">
        <f t="shared" si="118"/>
        <v>174.243243243243</v>
      </c>
      <c r="V140" s="14">
        <f t="shared" si="119"/>
        <v>0.276355</v>
      </c>
      <c r="W140" s="16">
        <f t="shared" si="120"/>
        <v>1674.7610439</v>
      </c>
      <c r="X140" s="14">
        <f t="shared" si="121"/>
        <v>626.88</v>
      </c>
      <c r="Y140" s="16">
        <f t="shared" si="122"/>
        <v>1047.8810439</v>
      </c>
      <c r="Z140" s="17">
        <v>0</v>
      </c>
      <c r="AA140" s="17">
        <v>2</v>
      </c>
      <c r="AB140" s="17">
        <v>2</v>
      </c>
      <c r="AC140" s="17">
        <v>1</v>
      </c>
      <c r="AD140" s="16">
        <f t="shared" si="123"/>
        <v>144.321111708804</v>
      </c>
      <c r="AE140" s="18">
        <f t="shared" si="124"/>
        <v>441.897051191196</v>
      </c>
      <c r="AF140" s="1">
        <f t="shared" si="125"/>
        <v>64</v>
      </c>
      <c r="AG140" s="1">
        <f>'[1]6'!BH15</f>
        <v>64</v>
      </c>
    </row>
    <row r="141" s="1" customFormat="1" spans="1:33">
      <c r="A141" s="9">
        <v>46118</v>
      </c>
      <c r="B141" s="10" t="s">
        <v>50</v>
      </c>
      <c r="C141" s="10" t="s">
        <v>42</v>
      </c>
      <c r="D141" s="10" t="s">
        <v>49</v>
      </c>
      <c r="E141" s="12">
        <v>7914</v>
      </c>
      <c r="F141" s="12">
        <v>2601</v>
      </c>
      <c r="G141" s="13">
        <v>5148</v>
      </c>
      <c r="H141" s="14">
        <v>4</v>
      </c>
      <c r="I141" s="14">
        <f t="shared" si="109"/>
        <v>100.75</v>
      </c>
      <c r="J141" s="14">
        <v>12</v>
      </c>
      <c r="K141" s="15">
        <f t="shared" si="110"/>
        <v>659.5</v>
      </c>
      <c r="L141" s="14">
        <f t="shared" si="126"/>
        <v>195.48</v>
      </c>
      <c r="M141" s="16">
        <f t="shared" si="112"/>
        <v>-195.48</v>
      </c>
      <c r="N141" s="14">
        <v>16</v>
      </c>
      <c r="O141" s="15">
        <f t="shared" si="113"/>
        <v>321.75</v>
      </c>
      <c r="P141" s="14">
        <f t="shared" si="114"/>
        <v>0.06859</v>
      </c>
      <c r="Q141" s="16">
        <f t="shared" si="115"/>
        <v>331.9152408</v>
      </c>
      <c r="R141" s="14">
        <f t="shared" si="127"/>
        <v>253.64</v>
      </c>
      <c r="S141" s="16">
        <f t="shared" si="117"/>
        <v>78.2752408</v>
      </c>
      <c r="T141" s="14">
        <v>31</v>
      </c>
      <c r="U141" s="15">
        <f t="shared" si="118"/>
        <v>83.9032258064516</v>
      </c>
      <c r="V141" s="14">
        <f t="shared" si="119"/>
        <v>0.276355</v>
      </c>
      <c r="W141" s="16">
        <f t="shared" si="120"/>
        <v>675.6713937</v>
      </c>
      <c r="X141" s="14">
        <f t="shared" si="121"/>
        <v>539.16</v>
      </c>
      <c r="Y141" s="16">
        <f t="shared" si="122"/>
        <v>136.5113937</v>
      </c>
      <c r="Z141" s="17">
        <v>0</v>
      </c>
      <c r="AA141" s="17">
        <v>2</v>
      </c>
      <c r="AB141" s="17">
        <v>2</v>
      </c>
      <c r="AC141" s="17">
        <v>1</v>
      </c>
      <c r="AD141" s="16">
        <f t="shared" si="123"/>
        <v>144.321111708804</v>
      </c>
      <c r="AE141" s="18">
        <f t="shared" si="124"/>
        <v>-225.764477208804</v>
      </c>
      <c r="AF141" s="1">
        <f t="shared" si="125"/>
        <v>64</v>
      </c>
      <c r="AG141" s="1">
        <f>'[1]6'!BH16</f>
        <v>64</v>
      </c>
    </row>
    <row r="142" s="1" customFormat="1" spans="1:33">
      <c r="A142" s="9">
        <v>46118</v>
      </c>
      <c r="B142" s="10" t="s">
        <v>51</v>
      </c>
      <c r="C142" s="10" t="s">
        <v>42</v>
      </c>
      <c r="D142" s="10" t="s">
        <v>49</v>
      </c>
      <c r="E142" s="12">
        <v>5822</v>
      </c>
      <c r="F142" s="12">
        <v>1373</v>
      </c>
      <c r="G142" s="13">
        <v>7939</v>
      </c>
      <c r="H142" s="14">
        <v>4</v>
      </c>
      <c r="I142" s="14">
        <f t="shared" si="109"/>
        <v>100.75</v>
      </c>
      <c r="J142" s="14">
        <v>12</v>
      </c>
      <c r="K142" s="15">
        <f t="shared" si="110"/>
        <v>485.166666666667</v>
      </c>
      <c r="L142" s="14">
        <f t="shared" si="126"/>
        <v>195.48</v>
      </c>
      <c r="M142" s="16">
        <f t="shared" si="112"/>
        <v>-195.48</v>
      </c>
      <c r="N142" s="14">
        <v>16</v>
      </c>
      <c r="O142" s="15">
        <f t="shared" si="113"/>
        <v>496.1875</v>
      </c>
      <c r="P142" s="14">
        <f t="shared" si="114"/>
        <v>0.06859</v>
      </c>
      <c r="Q142" s="16">
        <f t="shared" si="115"/>
        <v>511.8638494</v>
      </c>
      <c r="R142" s="14">
        <f t="shared" si="127"/>
        <v>253.64</v>
      </c>
      <c r="S142" s="16">
        <f t="shared" si="117"/>
        <v>258.2238494</v>
      </c>
      <c r="T142" s="14">
        <v>31</v>
      </c>
      <c r="U142" s="15">
        <f t="shared" si="118"/>
        <v>44.2903225806452</v>
      </c>
      <c r="V142" s="14">
        <f t="shared" si="119"/>
        <v>0.276355</v>
      </c>
      <c r="W142" s="16">
        <f t="shared" si="120"/>
        <v>356.6692901</v>
      </c>
      <c r="X142" s="14">
        <f t="shared" si="121"/>
        <v>539.16</v>
      </c>
      <c r="Y142" s="16">
        <f t="shared" si="122"/>
        <v>-182.4907099</v>
      </c>
      <c r="Z142" s="17">
        <v>0</v>
      </c>
      <c r="AA142" s="17">
        <v>2</v>
      </c>
      <c r="AB142" s="17">
        <v>2</v>
      </c>
      <c r="AC142" s="17">
        <v>1</v>
      </c>
      <c r="AD142" s="16">
        <f t="shared" si="123"/>
        <v>144.321111708804</v>
      </c>
      <c r="AE142" s="18">
        <f t="shared" si="124"/>
        <v>-364.817972208804</v>
      </c>
      <c r="AF142" s="1">
        <f t="shared" si="125"/>
        <v>64</v>
      </c>
      <c r="AG142" s="1">
        <f>'[1]6'!BH17</f>
        <v>64</v>
      </c>
    </row>
    <row r="143" s="1" customFormat="1" spans="1:33">
      <c r="A143" s="9">
        <v>46118</v>
      </c>
      <c r="B143" s="10" t="s">
        <v>52</v>
      </c>
      <c r="C143" s="10" t="s">
        <v>42</v>
      </c>
      <c r="D143" s="11" t="s">
        <v>34</v>
      </c>
      <c r="E143" s="12">
        <v>0</v>
      </c>
      <c r="F143" s="12">
        <v>3773</v>
      </c>
      <c r="G143" s="13">
        <v>7371</v>
      </c>
      <c r="H143" s="14">
        <v>4</v>
      </c>
      <c r="I143" s="14">
        <f t="shared" si="109"/>
        <v>100.75</v>
      </c>
      <c r="J143" s="14">
        <v>12</v>
      </c>
      <c r="K143" s="15">
        <f t="shared" si="110"/>
        <v>0</v>
      </c>
      <c r="L143" s="14">
        <f t="shared" si="126"/>
        <v>195.48</v>
      </c>
      <c r="M143" s="16">
        <f t="shared" si="112"/>
        <v>-195.48</v>
      </c>
      <c r="N143" s="14">
        <v>16</v>
      </c>
      <c r="O143" s="15">
        <f t="shared" si="113"/>
        <v>460.6875</v>
      </c>
      <c r="P143" s="14">
        <f t="shared" si="114"/>
        <v>0.06859</v>
      </c>
      <c r="Q143" s="16">
        <f t="shared" si="115"/>
        <v>475.2422766</v>
      </c>
      <c r="R143" s="14">
        <f t="shared" si="127"/>
        <v>253.64</v>
      </c>
      <c r="S143" s="16">
        <f t="shared" si="117"/>
        <v>221.6022766</v>
      </c>
      <c r="T143" s="14">
        <v>31</v>
      </c>
      <c r="U143" s="15">
        <f t="shared" si="118"/>
        <v>121.709677419355</v>
      </c>
      <c r="V143" s="14">
        <f t="shared" si="119"/>
        <v>0.276355</v>
      </c>
      <c r="W143" s="16">
        <f t="shared" si="120"/>
        <v>980.1261701</v>
      </c>
      <c r="X143" s="14">
        <f t="shared" si="121"/>
        <v>539.16</v>
      </c>
      <c r="Y143" s="16">
        <f t="shared" si="122"/>
        <v>440.9661701</v>
      </c>
      <c r="Z143" s="17">
        <v>0</v>
      </c>
      <c r="AA143" s="17">
        <v>2</v>
      </c>
      <c r="AB143" s="17">
        <v>2</v>
      </c>
      <c r="AC143" s="17">
        <v>1</v>
      </c>
      <c r="AD143" s="16">
        <f t="shared" si="123"/>
        <v>144.321111708804</v>
      </c>
      <c r="AE143" s="18">
        <f t="shared" si="124"/>
        <v>222.017334991196</v>
      </c>
      <c r="AF143" s="1">
        <f t="shared" si="125"/>
        <v>64</v>
      </c>
      <c r="AG143" s="1">
        <f>'[1]6'!BH18</f>
        <v>64</v>
      </c>
    </row>
    <row r="144" s="1" customFormat="1" spans="1:33">
      <c r="A144" s="9">
        <v>46118</v>
      </c>
      <c r="B144" s="10" t="s">
        <v>53</v>
      </c>
      <c r="C144" s="10" t="s">
        <v>42</v>
      </c>
      <c r="D144" s="11" t="s">
        <v>34</v>
      </c>
      <c r="E144" s="12">
        <v>6967</v>
      </c>
      <c r="F144" s="12">
        <v>2631</v>
      </c>
      <c r="G144" s="13">
        <v>14176</v>
      </c>
      <c r="H144" s="14">
        <v>4</v>
      </c>
      <c r="I144" s="14">
        <f t="shared" si="109"/>
        <v>100.75</v>
      </c>
      <c r="J144" s="14">
        <v>12</v>
      </c>
      <c r="K144" s="15">
        <f t="shared" si="110"/>
        <v>580.583333333333</v>
      </c>
      <c r="L144" s="14">
        <f t="shared" si="126"/>
        <v>195.48</v>
      </c>
      <c r="M144" s="16">
        <f t="shared" si="112"/>
        <v>-195.48</v>
      </c>
      <c r="N144" s="14">
        <v>16</v>
      </c>
      <c r="O144" s="15">
        <f t="shared" si="113"/>
        <v>886</v>
      </c>
      <c r="P144" s="14">
        <f t="shared" si="114"/>
        <v>0.06859</v>
      </c>
      <c r="Q144" s="16">
        <f t="shared" si="115"/>
        <v>913.9919296</v>
      </c>
      <c r="R144" s="14">
        <f t="shared" si="127"/>
        <v>253.64</v>
      </c>
      <c r="S144" s="16">
        <f t="shared" si="117"/>
        <v>660.3519296</v>
      </c>
      <c r="T144" s="14">
        <v>31</v>
      </c>
      <c r="U144" s="15">
        <f t="shared" si="118"/>
        <v>84.8709677419355</v>
      </c>
      <c r="V144" s="14">
        <f t="shared" si="119"/>
        <v>0.276355</v>
      </c>
      <c r="W144" s="16">
        <f t="shared" si="120"/>
        <v>683.4646047</v>
      </c>
      <c r="X144" s="14">
        <f t="shared" si="121"/>
        <v>539.16</v>
      </c>
      <c r="Y144" s="16">
        <f t="shared" si="122"/>
        <v>144.3046047</v>
      </c>
      <c r="Z144" s="17">
        <v>0</v>
      </c>
      <c r="AA144" s="17">
        <v>2</v>
      </c>
      <c r="AB144" s="17">
        <v>2</v>
      </c>
      <c r="AC144" s="17">
        <v>1</v>
      </c>
      <c r="AD144" s="16">
        <f t="shared" si="123"/>
        <v>144.321111708804</v>
      </c>
      <c r="AE144" s="18">
        <f t="shared" si="124"/>
        <v>364.105422591196</v>
      </c>
      <c r="AF144" s="1">
        <f t="shared" si="125"/>
        <v>64</v>
      </c>
      <c r="AG144" s="1">
        <f>'[1]6'!BH19</f>
        <v>64</v>
      </c>
    </row>
    <row r="145" s="1" customFormat="1" spans="1:33">
      <c r="A145" s="9">
        <v>46118</v>
      </c>
      <c r="B145" s="10" t="s">
        <v>54</v>
      </c>
      <c r="C145" s="10" t="s">
        <v>42</v>
      </c>
      <c r="D145" s="10" t="s">
        <v>49</v>
      </c>
      <c r="E145" s="12">
        <v>12361</v>
      </c>
      <c r="F145" s="12">
        <v>3387</v>
      </c>
      <c r="G145" s="13">
        <v>25</v>
      </c>
      <c r="H145" s="14">
        <v>4</v>
      </c>
      <c r="I145" s="14">
        <f t="shared" si="109"/>
        <v>100.75</v>
      </c>
      <c r="J145" s="14">
        <v>12</v>
      </c>
      <c r="K145" s="15">
        <f t="shared" si="110"/>
        <v>1030.08333333333</v>
      </c>
      <c r="L145" s="14">
        <f t="shared" si="126"/>
        <v>195.48</v>
      </c>
      <c r="M145" s="16">
        <f t="shared" si="112"/>
        <v>-195.48</v>
      </c>
      <c r="N145" s="14">
        <v>16</v>
      </c>
      <c r="O145" s="15">
        <f t="shared" si="113"/>
        <v>1.5625</v>
      </c>
      <c r="P145" s="14">
        <f t="shared" si="114"/>
        <v>0.06859</v>
      </c>
      <c r="Q145" s="16">
        <f t="shared" si="115"/>
        <v>1.611865</v>
      </c>
      <c r="R145" s="14">
        <f t="shared" si="127"/>
        <v>253.64</v>
      </c>
      <c r="S145" s="16">
        <f t="shared" si="117"/>
        <v>-252.028135</v>
      </c>
      <c r="T145" s="14">
        <v>31</v>
      </c>
      <c r="U145" s="15">
        <f t="shared" si="118"/>
        <v>109.258064516129</v>
      </c>
      <c r="V145" s="14">
        <f t="shared" si="119"/>
        <v>0.276355</v>
      </c>
      <c r="W145" s="16">
        <f t="shared" si="120"/>
        <v>879.8535219</v>
      </c>
      <c r="X145" s="14">
        <f t="shared" si="121"/>
        <v>539.16</v>
      </c>
      <c r="Y145" s="16">
        <f t="shared" si="122"/>
        <v>340.6935219</v>
      </c>
      <c r="Z145" s="17">
        <v>0</v>
      </c>
      <c r="AA145" s="17">
        <v>2</v>
      </c>
      <c r="AB145" s="17">
        <v>2</v>
      </c>
      <c r="AC145" s="17">
        <v>1</v>
      </c>
      <c r="AD145" s="16">
        <f t="shared" si="123"/>
        <v>144.321111708804</v>
      </c>
      <c r="AE145" s="18">
        <f t="shared" si="124"/>
        <v>-351.885724808804</v>
      </c>
      <c r="AF145" s="1">
        <f t="shared" si="125"/>
        <v>64</v>
      </c>
      <c r="AG145" s="1">
        <f>'[1]6'!BH20</f>
        <v>64</v>
      </c>
    </row>
    <row r="146" s="1" customFormat="1" spans="1:33">
      <c r="A146" s="9">
        <v>46118</v>
      </c>
      <c r="B146" s="10" t="s">
        <v>55</v>
      </c>
      <c r="C146" s="10" t="s">
        <v>33</v>
      </c>
      <c r="D146" s="10" t="s">
        <v>49</v>
      </c>
      <c r="E146" s="12">
        <v>8438</v>
      </c>
      <c r="F146" s="12">
        <v>2478</v>
      </c>
      <c r="G146" s="13">
        <v>1502</v>
      </c>
      <c r="H146" s="14">
        <v>2</v>
      </c>
      <c r="I146" s="14">
        <f t="shared" si="109"/>
        <v>44.0122222222222</v>
      </c>
      <c r="J146" s="14">
        <v>25</v>
      </c>
      <c r="K146" s="15">
        <f t="shared" si="110"/>
        <v>337.52</v>
      </c>
      <c r="L146" s="14">
        <f t="shared" ref="L146:L151" si="128">J146*14.62+21</f>
        <v>386.5</v>
      </c>
      <c r="M146" s="16">
        <f t="shared" si="112"/>
        <v>-386.5</v>
      </c>
      <c r="N146" s="14">
        <v>18</v>
      </c>
      <c r="O146" s="15">
        <f t="shared" si="113"/>
        <v>83.4444444444444</v>
      </c>
      <c r="P146" s="14">
        <f t="shared" si="114"/>
        <v>0.06859</v>
      </c>
      <c r="Q146" s="16">
        <f t="shared" si="115"/>
        <v>96.8408492</v>
      </c>
      <c r="R146" s="14">
        <f t="shared" ref="R146:R151" si="129">(N146-13)*14.62+13*18+21</f>
        <v>328.1</v>
      </c>
      <c r="S146" s="16">
        <f t="shared" si="117"/>
        <v>-231.2591508</v>
      </c>
      <c r="T146" s="14">
        <v>48</v>
      </c>
      <c r="U146" s="15">
        <f t="shared" si="118"/>
        <v>51.625</v>
      </c>
      <c r="V146" s="14">
        <f t="shared" si="119"/>
        <v>0.276355</v>
      </c>
      <c r="W146" s="16">
        <f t="shared" si="120"/>
        <v>643.7192286</v>
      </c>
      <c r="X146" s="14">
        <f t="shared" si="121"/>
        <v>787.7</v>
      </c>
      <c r="Y146" s="16">
        <f t="shared" si="122"/>
        <v>-143.9807714</v>
      </c>
      <c r="Z146" s="17">
        <v>4</v>
      </c>
      <c r="AA146" s="17">
        <v>3</v>
      </c>
      <c r="AB146" s="17">
        <v>0</v>
      </c>
      <c r="AC146" s="17">
        <v>1</v>
      </c>
      <c r="AD146" s="16">
        <f t="shared" si="123"/>
        <v>181.443675811368</v>
      </c>
      <c r="AE146" s="18">
        <f t="shared" si="124"/>
        <v>-987.195820233591</v>
      </c>
      <c r="AF146" s="1">
        <f t="shared" si="125"/>
        <v>99</v>
      </c>
      <c r="AG146" s="1">
        <f>'[1]6'!BH21</f>
        <v>99</v>
      </c>
    </row>
    <row r="147" s="1" customFormat="1" spans="1:33">
      <c r="A147" s="9">
        <v>46118</v>
      </c>
      <c r="B147" s="10" t="s">
        <v>56</v>
      </c>
      <c r="C147" s="10" t="s">
        <v>33</v>
      </c>
      <c r="D147" s="10" t="s">
        <v>49</v>
      </c>
      <c r="E147" s="12">
        <v>28209</v>
      </c>
      <c r="F147" s="12">
        <v>4544</v>
      </c>
      <c r="G147" s="13">
        <v>13682</v>
      </c>
      <c r="H147" s="14">
        <v>2</v>
      </c>
      <c r="I147" s="14">
        <f t="shared" si="109"/>
        <v>44.0122222222222</v>
      </c>
      <c r="J147" s="14">
        <v>24</v>
      </c>
      <c r="K147" s="15">
        <f t="shared" si="110"/>
        <v>1175.375</v>
      </c>
      <c r="L147" s="14">
        <f t="shared" si="128"/>
        <v>371.88</v>
      </c>
      <c r="M147" s="16">
        <f t="shared" si="112"/>
        <v>-371.88</v>
      </c>
      <c r="N147" s="14">
        <v>25</v>
      </c>
      <c r="O147" s="15">
        <f t="shared" si="113"/>
        <v>547.28</v>
      </c>
      <c r="P147" s="14">
        <f t="shared" si="114"/>
        <v>0.06859</v>
      </c>
      <c r="Q147" s="16">
        <f t="shared" si="115"/>
        <v>882.1414772</v>
      </c>
      <c r="R147" s="14">
        <f t="shared" si="129"/>
        <v>430.44</v>
      </c>
      <c r="S147" s="16">
        <f t="shared" si="117"/>
        <v>451.7014772</v>
      </c>
      <c r="T147" s="14">
        <v>42</v>
      </c>
      <c r="U147" s="15">
        <f t="shared" si="118"/>
        <v>108.190476190476</v>
      </c>
      <c r="V147" s="14">
        <f t="shared" si="119"/>
        <v>0.276355</v>
      </c>
      <c r="W147" s="16">
        <f t="shared" si="120"/>
        <v>1180.4116928</v>
      </c>
      <c r="X147" s="14">
        <f t="shared" si="121"/>
        <v>699.98</v>
      </c>
      <c r="Y147" s="16">
        <f t="shared" si="122"/>
        <v>480.4316928</v>
      </c>
      <c r="Z147" s="17">
        <v>4</v>
      </c>
      <c r="AA147" s="17">
        <v>3</v>
      </c>
      <c r="AB147" s="17">
        <v>0</v>
      </c>
      <c r="AC147" s="17">
        <v>1</v>
      </c>
      <c r="AD147" s="16">
        <f t="shared" si="123"/>
        <v>181.443675811368</v>
      </c>
      <c r="AE147" s="18">
        <f t="shared" si="124"/>
        <v>334.797271966409</v>
      </c>
      <c r="AF147" s="1">
        <f t="shared" si="125"/>
        <v>99</v>
      </c>
      <c r="AG147" s="1">
        <f>'[1]6'!BH22</f>
        <v>99</v>
      </c>
    </row>
    <row r="148" s="1" customFormat="1" spans="1:33">
      <c r="A148" s="9">
        <v>46118</v>
      </c>
      <c r="B148" s="10" t="s">
        <v>57</v>
      </c>
      <c r="C148" s="10" t="s">
        <v>33</v>
      </c>
      <c r="D148" s="10" t="s">
        <v>49</v>
      </c>
      <c r="E148" s="12">
        <v>17420</v>
      </c>
      <c r="F148" s="12">
        <v>6471</v>
      </c>
      <c r="G148" s="13">
        <v>13545</v>
      </c>
      <c r="H148" s="14">
        <v>2</v>
      </c>
      <c r="I148" s="14">
        <f t="shared" si="109"/>
        <v>44.0122222222222</v>
      </c>
      <c r="J148" s="14">
        <v>24</v>
      </c>
      <c r="K148" s="15">
        <f t="shared" si="110"/>
        <v>725.833333333333</v>
      </c>
      <c r="L148" s="14">
        <f t="shared" si="128"/>
        <v>371.88</v>
      </c>
      <c r="M148" s="16">
        <f t="shared" si="112"/>
        <v>-371.88</v>
      </c>
      <c r="N148" s="14">
        <v>25</v>
      </c>
      <c r="O148" s="15">
        <f t="shared" si="113"/>
        <v>541.8</v>
      </c>
      <c r="P148" s="14">
        <f t="shared" si="114"/>
        <v>0.06859</v>
      </c>
      <c r="Q148" s="16">
        <f t="shared" si="115"/>
        <v>873.308457</v>
      </c>
      <c r="R148" s="14">
        <f t="shared" si="129"/>
        <v>430.44</v>
      </c>
      <c r="S148" s="16">
        <f t="shared" si="117"/>
        <v>442.868457</v>
      </c>
      <c r="T148" s="14">
        <v>42</v>
      </c>
      <c r="U148" s="15">
        <f t="shared" si="118"/>
        <v>154.071428571429</v>
      </c>
      <c r="V148" s="14">
        <f t="shared" si="119"/>
        <v>0.276355</v>
      </c>
      <c r="W148" s="16">
        <f t="shared" si="120"/>
        <v>1680.9956127</v>
      </c>
      <c r="X148" s="14">
        <f t="shared" si="121"/>
        <v>699.98</v>
      </c>
      <c r="Y148" s="16">
        <f t="shared" si="122"/>
        <v>981.0156127</v>
      </c>
      <c r="Z148" s="17">
        <v>4</v>
      </c>
      <c r="AA148" s="17">
        <v>3</v>
      </c>
      <c r="AB148" s="17">
        <v>0</v>
      </c>
      <c r="AC148" s="17">
        <v>1</v>
      </c>
      <c r="AD148" s="16">
        <f t="shared" si="123"/>
        <v>181.443675811368</v>
      </c>
      <c r="AE148" s="18">
        <f t="shared" si="124"/>
        <v>826.548171666409</v>
      </c>
      <c r="AF148" s="1">
        <f t="shared" si="125"/>
        <v>99</v>
      </c>
      <c r="AG148" s="1">
        <f>'[1]6'!BH23</f>
        <v>99</v>
      </c>
    </row>
    <row r="149" s="1" customFormat="1" spans="1:33">
      <c r="A149" s="9">
        <v>46118</v>
      </c>
      <c r="B149" s="10" t="s">
        <v>58</v>
      </c>
      <c r="C149" s="10" t="s">
        <v>33</v>
      </c>
      <c r="D149" s="10" t="s">
        <v>49</v>
      </c>
      <c r="E149" s="12">
        <v>1</v>
      </c>
      <c r="F149" s="12">
        <v>3859</v>
      </c>
      <c r="G149" s="13">
        <v>13677</v>
      </c>
      <c r="H149" s="14">
        <v>2</v>
      </c>
      <c r="I149" s="14">
        <f t="shared" si="109"/>
        <v>44.0122222222222</v>
      </c>
      <c r="J149" s="14">
        <v>24</v>
      </c>
      <c r="K149" s="15">
        <f t="shared" si="110"/>
        <v>0.0416666666666667</v>
      </c>
      <c r="L149" s="14">
        <f t="shared" si="128"/>
        <v>371.88</v>
      </c>
      <c r="M149" s="16">
        <f t="shared" si="112"/>
        <v>-371.88</v>
      </c>
      <c r="N149" s="14">
        <v>25</v>
      </c>
      <c r="O149" s="15">
        <f t="shared" si="113"/>
        <v>547.08</v>
      </c>
      <c r="P149" s="14">
        <f t="shared" si="114"/>
        <v>0.06859</v>
      </c>
      <c r="Q149" s="16">
        <f t="shared" si="115"/>
        <v>881.8191042</v>
      </c>
      <c r="R149" s="14">
        <f t="shared" si="129"/>
        <v>430.44</v>
      </c>
      <c r="S149" s="16">
        <f t="shared" si="117"/>
        <v>451.3791042</v>
      </c>
      <c r="T149" s="14">
        <v>42</v>
      </c>
      <c r="U149" s="15">
        <f t="shared" si="118"/>
        <v>91.8809523809524</v>
      </c>
      <c r="V149" s="14">
        <f t="shared" si="119"/>
        <v>0.276355</v>
      </c>
      <c r="W149" s="16">
        <f t="shared" si="120"/>
        <v>1002.4667083</v>
      </c>
      <c r="X149" s="14">
        <f t="shared" si="121"/>
        <v>699.98</v>
      </c>
      <c r="Y149" s="16">
        <f t="shared" si="122"/>
        <v>302.4867083</v>
      </c>
      <c r="Z149" s="17">
        <v>4</v>
      </c>
      <c r="AA149" s="17">
        <v>3</v>
      </c>
      <c r="AB149" s="17">
        <v>0</v>
      </c>
      <c r="AC149" s="17">
        <v>1</v>
      </c>
      <c r="AD149" s="16">
        <f t="shared" si="123"/>
        <v>181.443675811368</v>
      </c>
      <c r="AE149" s="18">
        <f t="shared" si="124"/>
        <v>156.529914466409</v>
      </c>
      <c r="AF149" s="1">
        <f t="shared" si="125"/>
        <v>99</v>
      </c>
      <c r="AG149" s="1">
        <f>'[1]6'!BH24</f>
        <v>99</v>
      </c>
    </row>
    <row r="150" s="1" customFormat="1" spans="1:33">
      <c r="A150" s="9">
        <v>46118</v>
      </c>
      <c r="B150" s="10" t="s">
        <v>59</v>
      </c>
      <c r="C150" s="10" t="s">
        <v>33</v>
      </c>
      <c r="D150" s="10" t="s">
        <v>49</v>
      </c>
      <c r="E150" s="12">
        <v>6578</v>
      </c>
      <c r="F150" s="12">
        <v>1190</v>
      </c>
      <c r="G150" s="13">
        <v>9503</v>
      </c>
      <c r="H150" s="14">
        <v>2</v>
      </c>
      <c r="I150" s="14">
        <f t="shared" si="109"/>
        <v>44.0122222222222</v>
      </c>
      <c r="J150" s="14">
        <v>24</v>
      </c>
      <c r="K150" s="15">
        <f t="shared" si="110"/>
        <v>274.083333333333</v>
      </c>
      <c r="L150" s="14">
        <f t="shared" si="128"/>
        <v>371.88</v>
      </c>
      <c r="M150" s="16">
        <f t="shared" si="112"/>
        <v>-371.88</v>
      </c>
      <c r="N150" s="14">
        <v>25</v>
      </c>
      <c r="O150" s="15">
        <f t="shared" si="113"/>
        <v>380.12</v>
      </c>
      <c r="P150" s="14">
        <f t="shared" si="114"/>
        <v>0.06859</v>
      </c>
      <c r="Q150" s="16">
        <f t="shared" si="115"/>
        <v>612.7021238</v>
      </c>
      <c r="R150" s="14">
        <f t="shared" si="129"/>
        <v>430.44</v>
      </c>
      <c r="S150" s="16">
        <f t="shared" si="117"/>
        <v>182.2621238</v>
      </c>
      <c r="T150" s="14">
        <v>42</v>
      </c>
      <c r="U150" s="15">
        <f t="shared" si="118"/>
        <v>28.3333333333333</v>
      </c>
      <c r="V150" s="14">
        <f t="shared" si="119"/>
        <v>0.276355</v>
      </c>
      <c r="W150" s="16">
        <f t="shared" si="120"/>
        <v>309.130703</v>
      </c>
      <c r="X150" s="14">
        <f t="shared" si="121"/>
        <v>699.98</v>
      </c>
      <c r="Y150" s="16">
        <f t="shared" si="122"/>
        <v>-390.849297</v>
      </c>
      <c r="Z150" s="17">
        <v>4</v>
      </c>
      <c r="AA150" s="17">
        <v>3</v>
      </c>
      <c r="AB150" s="17">
        <v>0</v>
      </c>
      <c r="AC150" s="17">
        <v>1</v>
      </c>
      <c r="AD150" s="16">
        <f t="shared" si="123"/>
        <v>181.443675811368</v>
      </c>
      <c r="AE150" s="18">
        <f t="shared" si="124"/>
        <v>-805.92307123359</v>
      </c>
      <c r="AF150" s="1">
        <f t="shared" si="125"/>
        <v>99</v>
      </c>
      <c r="AG150" s="1">
        <f>'[1]6'!BH25</f>
        <v>99</v>
      </c>
    </row>
    <row r="151" s="1" customFormat="1" spans="1:33">
      <c r="A151" s="9">
        <v>46118</v>
      </c>
      <c r="B151" s="10" t="s">
        <v>60</v>
      </c>
      <c r="C151" s="10" t="s">
        <v>33</v>
      </c>
      <c r="D151" s="11" t="s">
        <v>47</v>
      </c>
      <c r="E151" s="12">
        <v>0</v>
      </c>
      <c r="F151" s="12">
        <v>4306</v>
      </c>
      <c r="G151" s="13">
        <v>10328</v>
      </c>
      <c r="H151" s="14">
        <v>2</v>
      </c>
      <c r="I151" s="14">
        <f t="shared" si="109"/>
        <v>44.0122222222222</v>
      </c>
      <c r="J151" s="14">
        <v>24</v>
      </c>
      <c r="K151" s="15">
        <f t="shared" si="110"/>
        <v>0</v>
      </c>
      <c r="L151" s="14">
        <f t="shared" si="128"/>
        <v>371.88</v>
      </c>
      <c r="M151" s="16">
        <f t="shared" si="112"/>
        <v>-371.88</v>
      </c>
      <c r="N151" s="14">
        <v>25</v>
      </c>
      <c r="O151" s="15">
        <f t="shared" si="113"/>
        <v>413.12</v>
      </c>
      <c r="P151" s="14">
        <f t="shared" si="114"/>
        <v>0.06859</v>
      </c>
      <c r="Q151" s="16">
        <f t="shared" si="115"/>
        <v>665.8936688</v>
      </c>
      <c r="R151" s="14">
        <f t="shared" si="129"/>
        <v>430.44</v>
      </c>
      <c r="S151" s="16">
        <f t="shared" si="117"/>
        <v>235.4536688</v>
      </c>
      <c r="T151" s="14">
        <v>42</v>
      </c>
      <c r="U151" s="15">
        <f t="shared" si="118"/>
        <v>102.52380952381</v>
      </c>
      <c r="V151" s="14">
        <f t="shared" si="119"/>
        <v>0.276355</v>
      </c>
      <c r="W151" s="16">
        <f t="shared" si="120"/>
        <v>1118.5855522</v>
      </c>
      <c r="X151" s="14">
        <f t="shared" si="121"/>
        <v>699.98</v>
      </c>
      <c r="Y151" s="16">
        <f t="shared" si="122"/>
        <v>418.6055522</v>
      </c>
      <c r="Z151" s="17">
        <v>4</v>
      </c>
      <c r="AA151" s="17">
        <v>3</v>
      </c>
      <c r="AB151" s="17">
        <v>0</v>
      </c>
      <c r="AC151" s="17">
        <v>1</v>
      </c>
      <c r="AD151" s="16">
        <f t="shared" si="123"/>
        <v>181.443675811368</v>
      </c>
      <c r="AE151" s="18">
        <f t="shared" si="124"/>
        <v>56.7233229664096</v>
      </c>
      <c r="AF151" s="1">
        <f t="shared" si="125"/>
        <v>99</v>
      </c>
      <c r="AG151" s="1">
        <f>'[1]6'!BH26</f>
        <v>99</v>
      </c>
    </row>
    <row r="152" s="1" customFormat="1" spans="1:33">
      <c r="B152" s="2"/>
      <c r="C152" s="2"/>
      <c r="D152" s="2"/>
      <c r="E152" s="2"/>
      <c r="F152" s="2"/>
      <c r="G152" s="2"/>
      <c r="H152" s="2"/>
      <c r="I152" s="3"/>
      <c r="AE152" s="18">
        <f>SUM(AE128:AE151)</f>
        <v>-7458.04639913352</v>
      </c>
    </row>
    <row r="153" s="1" customFormat="1" spans="1:33">
      <c r="A153" s="9">
        <v>46119</v>
      </c>
      <c r="B153" s="10" t="s">
        <v>32</v>
      </c>
      <c r="C153" s="10" t="s">
        <v>33</v>
      </c>
      <c r="D153" s="11" t="s">
        <v>34</v>
      </c>
      <c r="E153" s="12">
        <v>14198</v>
      </c>
      <c r="F153" s="12">
        <v>1269</v>
      </c>
      <c r="G153" s="13">
        <v>3720</v>
      </c>
      <c r="H153" s="14">
        <v>2</v>
      </c>
      <c r="I153" s="14">
        <f t="shared" ref="I153:I176" si="130">IF(H153=2,21.79+16000/30/24,25.75+12000/30/24*2+30000/30/24)</f>
        <v>44.0122222222222</v>
      </c>
      <c r="J153" s="14">
        <v>15</v>
      </c>
      <c r="K153" s="15">
        <f t="shared" ref="K153:K176" si="131">E153/J153</f>
        <v>946.533333333333</v>
      </c>
      <c r="L153" s="14">
        <f t="shared" ref="L153:L159" si="132">J153*14.62+21</f>
        <v>240.3</v>
      </c>
      <c r="M153" s="16">
        <f t="shared" ref="M153:M176" si="133">0-L153</f>
        <v>-240.3</v>
      </c>
      <c r="N153" s="14">
        <v>25</v>
      </c>
      <c r="O153" s="15">
        <f t="shared" ref="O153:O176" si="134">G153/N153</f>
        <v>148.8</v>
      </c>
      <c r="P153" s="14">
        <f t="shared" ref="P153:P176" si="135">0.0722*0.95</f>
        <v>0.06859</v>
      </c>
      <c r="Q153" s="16">
        <f t="shared" ref="Q153:Q176" si="136">P153*G153*0.94</f>
        <v>239.845512</v>
      </c>
      <c r="R153" s="14">
        <f t="shared" ref="R153:R159" si="137">(N153-13)*14.62+13*18+21</f>
        <v>430.44</v>
      </c>
      <c r="S153" s="16">
        <f t="shared" ref="S153:S176" si="138">Q153-R153</f>
        <v>-190.594488</v>
      </c>
      <c r="T153" s="14">
        <v>48</v>
      </c>
      <c r="U153" s="15">
        <f t="shared" ref="U153:U176" si="139">F153/T153</f>
        <v>26.4375</v>
      </c>
      <c r="V153" s="14">
        <f t="shared" ref="V153:V176" si="140">0.2909*0.95</f>
        <v>0.276355</v>
      </c>
      <c r="W153" s="16">
        <f t="shared" ref="W153:W176" si="141">V153*F153*0.94</f>
        <v>329.6528253</v>
      </c>
      <c r="X153" s="14">
        <f t="shared" ref="X153:X176" si="142">(T153-13)*14.62+13*18+42</f>
        <v>787.7</v>
      </c>
      <c r="Y153" s="16">
        <f t="shared" ref="Y153:Y176" si="143">W153-X153</f>
        <v>-458.0471747</v>
      </c>
      <c r="Z153" s="17">
        <v>4</v>
      </c>
      <c r="AA153" s="17">
        <v>3</v>
      </c>
      <c r="AB153" s="17">
        <v>0</v>
      </c>
      <c r="AC153" s="17">
        <v>1</v>
      </c>
      <c r="AD153" s="16">
        <f t="shared" ref="AD153:AD176" si="144">(Z153-1)*14.62+(9000/26/13)+(AA153-1)*14.54+7500/26/11+AB153*(4200/26/9)+AC153*(4000/26/11)+1000/24</f>
        <v>181.443675811368</v>
      </c>
      <c r="AE153" s="18">
        <f t="shared" ref="AE153:AE176" si="145">M153+S153+Y153-I153-AD153</f>
        <v>-1114.39756073359</v>
      </c>
      <c r="AF153" s="1">
        <f t="shared" ref="AF153:AF176" si="146">AB153+AA153+Z153+T153+N153+J153+AC153</f>
        <v>96</v>
      </c>
      <c r="AG153" s="1">
        <f>'[1]7'!BH3</f>
        <v>96</v>
      </c>
    </row>
    <row r="154" s="1" customFormat="1" spans="1:33">
      <c r="A154" s="9">
        <v>46119</v>
      </c>
      <c r="B154" s="10" t="s">
        <v>35</v>
      </c>
      <c r="C154" s="10" t="s">
        <v>33</v>
      </c>
      <c r="D154" s="11" t="s">
        <v>34</v>
      </c>
      <c r="E154" s="12">
        <v>0</v>
      </c>
      <c r="F154" s="12">
        <v>2812</v>
      </c>
      <c r="G154" s="13">
        <v>13896</v>
      </c>
      <c r="H154" s="14">
        <v>2</v>
      </c>
      <c r="I154" s="14">
        <f t="shared" si="130"/>
        <v>44.0122222222222</v>
      </c>
      <c r="J154" s="14">
        <v>15</v>
      </c>
      <c r="K154" s="15">
        <f t="shared" si="131"/>
        <v>0</v>
      </c>
      <c r="L154" s="14">
        <f t="shared" si="132"/>
        <v>240.3</v>
      </c>
      <c r="M154" s="16">
        <f t="shared" si="133"/>
        <v>-240.3</v>
      </c>
      <c r="N154" s="14">
        <v>25</v>
      </c>
      <c r="O154" s="15">
        <f t="shared" si="134"/>
        <v>555.84</v>
      </c>
      <c r="P154" s="14">
        <f t="shared" si="135"/>
        <v>0.06859</v>
      </c>
      <c r="Q154" s="16">
        <f t="shared" si="136"/>
        <v>895.9390416</v>
      </c>
      <c r="R154" s="14">
        <f t="shared" si="137"/>
        <v>430.44</v>
      </c>
      <c r="S154" s="16">
        <f t="shared" si="138"/>
        <v>465.4990416</v>
      </c>
      <c r="T154" s="14">
        <v>48</v>
      </c>
      <c r="U154" s="15">
        <f t="shared" si="139"/>
        <v>58.5833333333333</v>
      </c>
      <c r="V154" s="14">
        <f t="shared" si="140"/>
        <v>0.276355</v>
      </c>
      <c r="W154" s="16">
        <f t="shared" si="141"/>
        <v>730.4836444</v>
      </c>
      <c r="X154" s="14">
        <f t="shared" si="142"/>
        <v>787.7</v>
      </c>
      <c r="Y154" s="16">
        <f t="shared" si="143"/>
        <v>-57.2163556000002</v>
      </c>
      <c r="Z154" s="17">
        <v>4</v>
      </c>
      <c r="AA154" s="17">
        <v>3</v>
      </c>
      <c r="AB154" s="17">
        <v>0</v>
      </c>
      <c r="AC154" s="17">
        <v>1</v>
      </c>
      <c r="AD154" s="16">
        <f t="shared" si="144"/>
        <v>181.443675811368</v>
      </c>
      <c r="AE154" s="18">
        <f t="shared" si="145"/>
        <v>-57.4732120335906</v>
      </c>
      <c r="AF154" s="1">
        <f t="shared" si="146"/>
        <v>96</v>
      </c>
      <c r="AG154" s="1">
        <f>'[1]7'!BH4</f>
        <v>96</v>
      </c>
    </row>
    <row r="155" s="1" customFormat="1" spans="1:33">
      <c r="A155" s="9">
        <v>46119</v>
      </c>
      <c r="B155" s="10" t="s">
        <v>36</v>
      </c>
      <c r="C155" s="10" t="s">
        <v>33</v>
      </c>
      <c r="D155" s="11" t="s">
        <v>34</v>
      </c>
      <c r="E155" s="12">
        <v>0</v>
      </c>
      <c r="F155" s="12">
        <v>1306</v>
      </c>
      <c r="G155" s="13">
        <v>10081</v>
      </c>
      <c r="H155" s="14">
        <v>2</v>
      </c>
      <c r="I155" s="14">
        <f t="shared" si="130"/>
        <v>44.0122222222222</v>
      </c>
      <c r="J155" s="14">
        <v>15</v>
      </c>
      <c r="K155" s="15">
        <f t="shared" si="131"/>
        <v>0</v>
      </c>
      <c r="L155" s="14">
        <f t="shared" si="132"/>
        <v>240.3</v>
      </c>
      <c r="M155" s="16">
        <f t="shared" si="133"/>
        <v>-240.3</v>
      </c>
      <c r="N155" s="14">
        <v>25</v>
      </c>
      <c r="O155" s="15">
        <f t="shared" si="134"/>
        <v>403.24</v>
      </c>
      <c r="P155" s="14">
        <f t="shared" si="135"/>
        <v>0.06859</v>
      </c>
      <c r="Q155" s="16">
        <f t="shared" si="136"/>
        <v>649.9684426</v>
      </c>
      <c r="R155" s="14">
        <f t="shared" si="137"/>
        <v>430.44</v>
      </c>
      <c r="S155" s="16">
        <f t="shared" si="138"/>
        <v>219.5284426</v>
      </c>
      <c r="T155" s="14">
        <v>48</v>
      </c>
      <c r="U155" s="15">
        <f t="shared" si="139"/>
        <v>27.2083333333333</v>
      </c>
      <c r="V155" s="14">
        <f t="shared" si="140"/>
        <v>0.276355</v>
      </c>
      <c r="W155" s="16">
        <f t="shared" si="141"/>
        <v>339.2644522</v>
      </c>
      <c r="X155" s="14">
        <f t="shared" si="142"/>
        <v>787.7</v>
      </c>
      <c r="Y155" s="16">
        <f t="shared" si="143"/>
        <v>-448.4355478</v>
      </c>
      <c r="Z155" s="17">
        <v>4</v>
      </c>
      <c r="AA155" s="17">
        <v>3</v>
      </c>
      <c r="AB155" s="17">
        <v>0</v>
      </c>
      <c r="AC155" s="17">
        <v>1</v>
      </c>
      <c r="AD155" s="16">
        <f t="shared" si="144"/>
        <v>181.443675811368</v>
      </c>
      <c r="AE155" s="18">
        <f t="shared" si="145"/>
        <v>-694.663003233591</v>
      </c>
      <c r="AF155" s="1">
        <f t="shared" si="146"/>
        <v>96</v>
      </c>
      <c r="AG155" s="1">
        <f>'[1]7'!BH5</f>
        <v>96</v>
      </c>
    </row>
    <row r="156" s="1" customFormat="1" spans="1:33">
      <c r="A156" s="9">
        <v>46119</v>
      </c>
      <c r="B156" s="10" t="s">
        <v>37</v>
      </c>
      <c r="C156" s="10" t="s">
        <v>33</v>
      </c>
      <c r="D156" s="11" t="s">
        <v>34</v>
      </c>
      <c r="E156" s="12">
        <v>5784</v>
      </c>
      <c r="F156" s="12">
        <v>2813</v>
      </c>
      <c r="G156" s="13">
        <v>117</v>
      </c>
      <c r="H156" s="14">
        <v>2</v>
      </c>
      <c r="I156" s="14">
        <f t="shared" si="130"/>
        <v>44.0122222222222</v>
      </c>
      <c r="J156" s="14">
        <v>15</v>
      </c>
      <c r="K156" s="15">
        <f t="shared" si="131"/>
        <v>385.6</v>
      </c>
      <c r="L156" s="14">
        <f t="shared" si="132"/>
        <v>240.3</v>
      </c>
      <c r="M156" s="16">
        <f t="shared" si="133"/>
        <v>-240.3</v>
      </c>
      <c r="N156" s="14">
        <v>18</v>
      </c>
      <c r="O156" s="15">
        <f t="shared" si="134"/>
        <v>6.5</v>
      </c>
      <c r="P156" s="14">
        <f t="shared" si="135"/>
        <v>0.06859</v>
      </c>
      <c r="Q156" s="16">
        <f t="shared" si="136"/>
        <v>7.5435282</v>
      </c>
      <c r="R156" s="14">
        <f t="shared" si="137"/>
        <v>328.1</v>
      </c>
      <c r="S156" s="16">
        <f t="shared" si="138"/>
        <v>-320.5564718</v>
      </c>
      <c r="T156" s="14">
        <v>55</v>
      </c>
      <c r="U156" s="15">
        <f t="shared" si="139"/>
        <v>51.1454545454545</v>
      </c>
      <c r="V156" s="14">
        <f t="shared" si="140"/>
        <v>0.276355</v>
      </c>
      <c r="W156" s="16">
        <f t="shared" si="141"/>
        <v>730.7434181</v>
      </c>
      <c r="X156" s="14">
        <f t="shared" si="142"/>
        <v>890.04</v>
      </c>
      <c r="Y156" s="16">
        <f t="shared" si="143"/>
        <v>-159.2965819</v>
      </c>
      <c r="Z156" s="17">
        <v>4</v>
      </c>
      <c r="AA156" s="17">
        <v>3</v>
      </c>
      <c r="AB156" s="17">
        <v>0</v>
      </c>
      <c r="AC156" s="17">
        <v>1</v>
      </c>
      <c r="AD156" s="16">
        <f t="shared" si="144"/>
        <v>181.443675811368</v>
      </c>
      <c r="AE156" s="18">
        <f t="shared" si="145"/>
        <v>-945.60895173359</v>
      </c>
      <c r="AF156" s="1">
        <f t="shared" si="146"/>
        <v>96</v>
      </c>
      <c r="AG156" s="1">
        <f>'[1]7'!BH6</f>
        <v>96</v>
      </c>
    </row>
    <row r="157" s="1" customFormat="1" spans="1:33">
      <c r="A157" s="9">
        <v>46119</v>
      </c>
      <c r="B157" s="10" t="s">
        <v>38</v>
      </c>
      <c r="C157" s="10" t="s">
        <v>33</v>
      </c>
      <c r="D157" s="11" t="s">
        <v>34</v>
      </c>
      <c r="E157" s="12">
        <v>19</v>
      </c>
      <c r="F157" s="12">
        <v>3938</v>
      </c>
      <c r="G157" s="13">
        <v>9950</v>
      </c>
      <c r="H157" s="14">
        <v>2</v>
      </c>
      <c r="I157" s="14">
        <f t="shared" si="130"/>
        <v>44.0122222222222</v>
      </c>
      <c r="J157" s="14">
        <v>15</v>
      </c>
      <c r="K157" s="15">
        <f t="shared" si="131"/>
        <v>1.26666666666667</v>
      </c>
      <c r="L157" s="14">
        <f t="shared" si="132"/>
        <v>240.3</v>
      </c>
      <c r="M157" s="16">
        <f t="shared" si="133"/>
        <v>-240.3</v>
      </c>
      <c r="N157" s="14">
        <v>25</v>
      </c>
      <c r="O157" s="15">
        <f t="shared" si="134"/>
        <v>398</v>
      </c>
      <c r="P157" s="14">
        <f t="shared" si="135"/>
        <v>0.06859</v>
      </c>
      <c r="Q157" s="16">
        <f t="shared" si="136"/>
        <v>641.52227</v>
      </c>
      <c r="R157" s="14">
        <f t="shared" si="137"/>
        <v>430.44</v>
      </c>
      <c r="S157" s="16">
        <f t="shared" si="138"/>
        <v>211.08227</v>
      </c>
      <c r="T157" s="14">
        <v>48</v>
      </c>
      <c r="U157" s="15">
        <f t="shared" si="139"/>
        <v>82.0416666666667</v>
      </c>
      <c r="V157" s="14">
        <f t="shared" si="140"/>
        <v>0.276355</v>
      </c>
      <c r="W157" s="16">
        <f t="shared" si="141"/>
        <v>1022.9888306</v>
      </c>
      <c r="X157" s="14">
        <f t="shared" si="142"/>
        <v>787.7</v>
      </c>
      <c r="Y157" s="16">
        <f t="shared" si="143"/>
        <v>235.2888306</v>
      </c>
      <c r="Z157" s="17">
        <v>4</v>
      </c>
      <c r="AA157" s="17">
        <v>3</v>
      </c>
      <c r="AB157" s="17">
        <v>0</v>
      </c>
      <c r="AC157" s="17">
        <v>1</v>
      </c>
      <c r="AD157" s="16">
        <f t="shared" si="144"/>
        <v>181.443675811368</v>
      </c>
      <c r="AE157" s="18">
        <f t="shared" si="145"/>
        <v>-19.3847974335906</v>
      </c>
      <c r="AF157" s="1">
        <f t="shared" si="146"/>
        <v>96</v>
      </c>
      <c r="AG157" s="1">
        <f>'[1]7'!BH7</f>
        <v>96</v>
      </c>
    </row>
    <row r="158" s="1" customFormat="1" spans="1:33">
      <c r="A158" s="9">
        <v>46119</v>
      </c>
      <c r="B158" s="10" t="s">
        <v>39</v>
      </c>
      <c r="C158" s="10" t="s">
        <v>33</v>
      </c>
      <c r="D158" s="11" t="s">
        <v>34</v>
      </c>
      <c r="E158" s="12">
        <v>179</v>
      </c>
      <c r="F158" s="12">
        <v>1756</v>
      </c>
      <c r="G158" s="13">
        <v>11647</v>
      </c>
      <c r="H158" s="14">
        <v>2</v>
      </c>
      <c r="I158" s="14">
        <f t="shared" si="130"/>
        <v>44.0122222222222</v>
      </c>
      <c r="J158" s="14">
        <v>15</v>
      </c>
      <c r="K158" s="15">
        <f t="shared" si="131"/>
        <v>11.9333333333333</v>
      </c>
      <c r="L158" s="14">
        <f t="shared" si="132"/>
        <v>240.3</v>
      </c>
      <c r="M158" s="16">
        <f t="shared" si="133"/>
        <v>-240.3</v>
      </c>
      <c r="N158" s="14">
        <v>25</v>
      </c>
      <c r="O158" s="15">
        <f t="shared" si="134"/>
        <v>465.88</v>
      </c>
      <c r="P158" s="14">
        <f t="shared" si="135"/>
        <v>0.06859</v>
      </c>
      <c r="Q158" s="16">
        <f t="shared" si="136"/>
        <v>750.9356662</v>
      </c>
      <c r="R158" s="14">
        <f t="shared" si="137"/>
        <v>430.44</v>
      </c>
      <c r="S158" s="16">
        <f t="shared" si="138"/>
        <v>320.4956662</v>
      </c>
      <c r="T158" s="14">
        <v>48</v>
      </c>
      <c r="U158" s="15">
        <f t="shared" si="139"/>
        <v>36.5833333333333</v>
      </c>
      <c r="V158" s="14">
        <f t="shared" si="140"/>
        <v>0.276355</v>
      </c>
      <c r="W158" s="16">
        <f t="shared" si="141"/>
        <v>456.1626172</v>
      </c>
      <c r="X158" s="14">
        <f t="shared" si="142"/>
        <v>787.7</v>
      </c>
      <c r="Y158" s="16">
        <f t="shared" si="143"/>
        <v>-331.5373828</v>
      </c>
      <c r="Z158" s="17">
        <v>4</v>
      </c>
      <c r="AA158" s="17">
        <v>3</v>
      </c>
      <c r="AB158" s="17">
        <v>0</v>
      </c>
      <c r="AC158" s="17">
        <v>1</v>
      </c>
      <c r="AD158" s="16">
        <f t="shared" si="144"/>
        <v>181.443675811368</v>
      </c>
      <c r="AE158" s="18">
        <f t="shared" si="145"/>
        <v>-476.797614633591</v>
      </c>
      <c r="AF158" s="1">
        <f t="shared" si="146"/>
        <v>96</v>
      </c>
      <c r="AG158" s="1">
        <f>'[1]7'!BH8</f>
        <v>96</v>
      </c>
    </row>
    <row r="159" s="1" customFormat="1" spans="1:33">
      <c r="A159" s="9">
        <v>46119</v>
      </c>
      <c r="B159" s="10" t="s">
        <v>40</v>
      </c>
      <c r="C159" s="10" t="s">
        <v>33</v>
      </c>
      <c r="D159" s="11" t="s">
        <v>34</v>
      </c>
      <c r="E159" s="12">
        <v>562</v>
      </c>
      <c r="F159" s="12">
        <v>1125</v>
      </c>
      <c r="G159" s="13">
        <v>356</v>
      </c>
      <c r="H159" s="14">
        <v>2</v>
      </c>
      <c r="I159" s="14">
        <f t="shared" si="130"/>
        <v>44.0122222222222</v>
      </c>
      <c r="J159" s="14">
        <v>15</v>
      </c>
      <c r="K159" s="15">
        <f t="shared" si="131"/>
        <v>37.4666666666667</v>
      </c>
      <c r="L159" s="14">
        <f t="shared" si="132"/>
        <v>240.3</v>
      </c>
      <c r="M159" s="16">
        <f t="shared" si="133"/>
        <v>-240.3</v>
      </c>
      <c r="N159" s="14">
        <v>25</v>
      </c>
      <c r="O159" s="15">
        <f t="shared" si="134"/>
        <v>14.24</v>
      </c>
      <c r="P159" s="14">
        <f t="shared" si="135"/>
        <v>0.06859</v>
      </c>
      <c r="Q159" s="16">
        <f t="shared" si="136"/>
        <v>22.9529576</v>
      </c>
      <c r="R159" s="14">
        <f t="shared" si="137"/>
        <v>430.44</v>
      </c>
      <c r="S159" s="16">
        <f t="shared" si="138"/>
        <v>-407.4870424</v>
      </c>
      <c r="T159" s="14">
        <v>48</v>
      </c>
      <c r="U159" s="15">
        <f t="shared" si="139"/>
        <v>23.4375</v>
      </c>
      <c r="V159" s="14">
        <f t="shared" si="140"/>
        <v>0.276355</v>
      </c>
      <c r="W159" s="16">
        <f t="shared" si="141"/>
        <v>292.2454125</v>
      </c>
      <c r="X159" s="14">
        <f t="shared" si="142"/>
        <v>787.7</v>
      </c>
      <c r="Y159" s="16">
        <f t="shared" si="143"/>
        <v>-495.4545875</v>
      </c>
      <c r="Z159" s="17">
        <v>4</v>
      </c>
      <c r="AA159" s="17">
        <v>3</v>
      </c>
      <c r="AB159" s="17">
        <v>0</v>
      </c>
      <c r="AC159" s="17">
        <v>1</v>
      </c>
      <c r="AD159" s="16">
        <f t="shared" si="144"/>
        <v>181.443675811368</v>
      </c>
      <c r="AE159" s="18">
        <f t="shared" si="145"/>
        <v>-1368.69752793359</v>
      </c>
      <c r="AF159" s="1">
        <f t="shared" si="146"/>
        <v>96</v>
      </c>
      <c r="AG159" s="1">
        <f>'[1]7'!BH9</f>
        <v>96</v>
      </c>
    </row>
    <row r="160" s="1" customFormat="1" spans="1:33">
      <c r="A160" s="9">
        <v>46119</v>
      </c>
      <c r="B160" s="10" t="s">
        <v>41</v>
      </c>
      <c r="C160" s="10" t="s">
        <v>42</v>
      </c>
      <c r="D160" s="11" t="s">
        <v>34</v>
      </c>
      <c r="E160" s="12">
        <v>896</v>
      </c>
      <c r="F160" s="12">
        <v>995</v>
      </c>
      <c r="G160" s="13">
        <v>72</v>
      </c>
      <c r="H160" s="14">
        <v>4</v>
      </c>
      <c r="I160" s="14">
        <f t="shared" si="130"/>
        <v>100.75</v>
      </c>
      <c r="J160" s="14">
        <v>9</v>
      </c>
      <c r="K160" s="15">
        <f t="shared" si="131"/>
        <v>99.5555555555556</v>
      </c>
      <c r="L160" s="14">
        <f t="shared" ref="L160:L170" si="147">J160*14.54+21</f>
        <v>151.86</v>
      </c>
      <c r="M160" s="16">
        <f t="shared" si="133"/>
        <v>-151.86</v>
      </c>
      <c r="N160" s="14">
        <v>14</v>
      </c>
      <c r="O160" s="15">
        <f t="shared" si="134"/>
        <v>5.14285714285714</v>
      </c>
      <c r="P160" s="14">
        <f t="shared" si="135"/>
        <v>0.06859</v>
      </c>
      <c r="Q160" s="16">
        <f t="shared" si="136"/>
        <v>4.6421712</v>
      </c>
      <c r="R160" s="14">
        <f t="shared" ref="R160:R170" si="148">N160*14.54+21</f>
        <v>224.56</v>
      </c>
      <c r="S160" s="16">
        <f t="shared" si="138"/>
        <v>-219.9178288</v>
      </c>
      <c r="T160" s="14">
        <v>32</v>
      </c>
      <c r="U160" s="15">
        <f t="shared" si="139"/>
        <v>31.09375</v>
      </c>
      <c r="V160" s="14">
        <f t="shared" si="140"/>
        <v>0.276355</v>
      </c>
      <c r="W160" s="16">
        <f t="shared" si="141"/>
        <v>258.4748315</v>
      </c>
      <c r="X160" s="14">
        <f t="shared" si="142"/>
        <v>553.78</v>
      </c>
      <c r="Y160" s="16">
        <f t="shared" si="143"/>
        <v>-295.3051685</v>
      </c>
      <c r="Z160" s="17">
        <v>0</v>
      </c>
      <c r="AA160" s="17">
        <v>2</v>
      </c>
      <c r="AB160" s="17">
        <v>2</v>
      </c>
      <c r="AC160" s="17">
        <v>1</v>
      </c>
      <c r="AD160" s="16">
        <f t="shared" si="144"/>
        <v>144.321111708804</v>
      </c>
      <c r="AE160" s="18">
        <f t="shared" si="145"/>
        <v>-912.154109008804</v>
      </c>
      <c r="AF160" s="1">
        <f t="shared" si="146"/>
        <v>60</v>
      </c>
      <c r="AG160" s="1">
        <f>'[1]7'!BH10</f>
        <v>60</v>
      </c>
    </row>
    <row r="161" s="1" customFormat="1" spans="1:33">
      <c r="A161" s="9">
        <v>46119</v>
      </c>
      <c r="B161" s="10" t="s">
        <v>43</v>
      </c>
      <c r="C161" s="10" t="s">
        <v>42</v>
      </c>
      <c r="D161" s="11" t="s">
        <v>34</v>
      </c>
      <c r="E161" s="12">
        <v>4915</v>
      </c>
      <c r="F161" s="12">
        <v>1654</v>
      </c>
      <c r="G161" s="13">
        <v>2511</v>
      </c>
      <c r="H161" s="14">
        <v>4</v>
      </c>
      <c r="I161" s="14">
        <f t="shared" si="130"/>
        <v>100.75</v>
      </c>
      <c r="J161" s="14">
        <v>9</v>
      </c>
      <c r="K161" s="15">
        <f t="shared" si="131"/>
        <v>546.111111111111</v>
      </c>
      <c r="L161" s="14">
        <f t="shared" si="147"/>
        <v>151.86</v>
      </c>
      <c r="M161" s="16">
        <f t="shared" si="133"/>
        <v>-151.86</v>
      </c>
      <c r="N161" s="14">
        <v>14</v>
      </c>
      <c r="O161" s="15">
        <f t="shared" si="134"/>
        <v>179.357142857143</v>
      </c>
      <c r="P161" s="14">
        <f t="shared" si="135"/>
        <v>0.06859</v>
      </c>
      <c r="Q161" s="16">
        <f t="shared" si="136"/>
        <v>161.8957206</v>
      </c>
      <c r="R161" s="14">
        <f t="shared" si="148"/>
        <v>224.56</v>
      </c>
      <c r="S161" s="16">
        <f t="shared" si="138"/>
        <v>-62.6642794</v>
      </c>
      <c r="T161" s="14">
        <v>32</v>
      </c>
      <c r="U161" s="15">
        <f t="shared" si="139"/>
        <v>51.6875</v>
      </c>
      <c r="V161" s="14">
        <f t="shared" si="140"/>
        <v>0.276355</v>
      </c>
      <c r="W161" s="16">
        <f t="shared" si="141"/>
        <v>429.6656998</v>
      </c>
      <c r="X161" s="14">
        <f t="shared" si="142"/>
        <v>553.78</v>
      </c>
      <c r="Y161" s="16">
        <f t="shared" si="143"/>
        <v>-124.1143002</v>
      </c>
      <c r="Z161" s="17">
        <v>0</v>
      </c>
      <c r="AA161" s="17">
        <v>2</v>
      </c>
      <c r="AB161" s="17">
        <v>2</v>
      </c>
      <c r="AC161" s="17">
        <v>1</v>
      </c>
      <c r="AD161" s="16">
        <f t="shared" si="144"/>
        <v>144.321111708804</v>
      </c>
      <c r="AE161" s="18">
        <f t="shared" si="145"/>
        <v>-583.709691308804</v>
      </c>
      <c r="AF161" s="1">
        <f t="shared" si="146"/>
        <v>60</v>
      </c>
      <c r="AG161" s="1">
        <f>'[1]7'!BH11</f>
        <v>60</v>
      </c>
    </row>
    <row r="162" s="1" customFormat="1" spans="1:33">
      <c r="A162" s="9">
        <v>46119</v>
      </c>
      <c r="B162" s="10" t="s">
        <v>44</v>
      </c>
      <c r="C162" s="10" t="s">
        <v>42</v>
      </c>
      <c r="D162" s="11" t="s">
        <v>34</v>
      </c>
      <c r="E162" s="12">
        <v>0</v>
      </c>
      <c r="F162" s="12">
        <v>2822</v>
      </c>
      <c r="G162" s="13">
        <v>7565</v>
      </c>
      <c r="H162" s="14">
        <v>4</v>
      </c>
      <c r="I162" s="14">
        <f t="shared" si="130"/>
        <v>100.75</v>
      </c>
      <c r="J162" s="14">
        <v>12</v>
      </c>
      <c r="K162" s="15">
        <f t="shared" si="131"/>
        <v>0</v>
      </c>
      <c r="L162" s="14">
        <f t="shared" si="147"/>
        <v>195.48</v>
      </c>
      <c r="M162" s="16">
        <f t="shared" si="133"/>
        <v>-195.48</v>
      </c>
      <c r="N162" s="14">
        <v>16</v>
      </c>
      <c r="O162" s="15">
        <f t="shared" si="134"/>
        <v>472.8125</v>
      </c>
      <c r="P162" s="14">
        <f t="shared" si="135"/>
        <v>0.06859</v>
      </c>
      <c r="Q162" s="16">
        <f t="shared" si="136"/>
        <v>487.750349</v>
      </c>
      <c r="R162" s="14">
        <f t="shared" si="148"/>
        <v>253.64</v>
      </c>
      <c r="S162" s="16">
        <f t="shared" si="138"/>
        <v>234.110349</v>
      </c>
      <c r="T162" s="14">
        <v>27</v>
      </c>
      <c r="U162" s="15">
        <f t="shared" si="139"/>
        <v>104.518518518519</v>
      </c>
      <c r="V162" s="14">
        <f t="shared" si="140"/>
        <v>0.276355</v>
      </c>
      <c r="W162" s="16">
        <f t="shared" si="141"/>
        <v>733.0813814</v>
      </c>
      <c r="X162" s="14">
        <f t="shared" si="142"/>
        <v>480.68</v>
      </c>
      <c r="Y162" s="16">
        <f t="shared" si="143"/>
        <v>252.4013814</v>
      </c>
      <c r="Z162" s="17">
        <v>0</v>
      </c>
      <c r="AA162" s="17">
        <v>2</v>
      </c>
      <c r="AB162" s="17">
        <v>2</v>
      </c>
      <c r="AC162" s="17">
        <v>1</v>
      </c>
      <c r="AD162" s="16">
        <f t="shared" si="144"/>
        <v>144.321111708804</v>
      </c>
      <c r="AE162" s="18">
        <f t="shared" si="145"/>
        <v>45.9606186911959</v>
      </c>
      <c r="AF162" s="1">
        <f t="shared" si="146"/>
        <v>60</v>
      </c>
      <c r="AG162" s="1">
        <f>'[1]7'!BH12</f>
        <v>60</v>
      </c>
    </row>
    <row r="163" s="1" customFormat="1" spans="1:33">
      <c r="A163" s="9">
        <v>46119</v>
      </c>
      <c r="B163" s="10" t="s">
        <v>45</v>
      </c>
      <c r="C163" s="10" t="s">
        <v>42</v>
      </c>
      <c r="D163" s="11" t="s">
        <v>34</v>
      </c>
      <c r="E163" s="12">
        <v>439</v>
      </c>
      <c r="F163" s="12">
        <v>891</v>
      </c>
      <c r="G163" s="13">
        <v>5712</v>
      </c>
      <c r="H163" s="14">
        <v>4</v>
      </c>
      <c r="I163" s="14">
        <f t="shared" si="130"/>
        <v>100.75</v>
      </c>
      <c r="J163" s="14">
        <v>12</v>
      </c>
      <c r="K163" s="15">
        <f t="shared" si="131"/>
        <v>36.5833333333333</v>
      </c>
      <c r="L163" s="14">
        <f t="shared" si="147"/>
        <v>195.48</v>
      </c>
      <c r="M163" s="16">
        <f t="shared" si="133"/>
        <v>-195.48</v>
      </c>
      <c r="N163" s="14">
        <v>16</v>
      </c>
      <c r="O163" s="15">
        <f t="shared" si="134"/>
        <v>357</v>
      </c>
      <c r="P163" s="14">
        <f t="shared" si="135"/>
        <v>0.06859</v>
      </c>
      <c r="Q163" s="16">
        <f t="shared" si="136"/>
        <v>368.2789152</v>
      </c>
      <c r="R163" s="14">
        <f t="shared" si="148"/>
        <v>253.64</v>
      </c>
      <c r="S163" s="16">
        <f t="shared" si="138"/>
        <v>114.6389152</v>
      </c>
      <c r="T163" s="14">
        <v>27</v>
      </c>
      <c r="U163" s="15">
        <f t="shared" si="139"/>
        <v>33</v>
      </c>
      <c r="V163" s="14">
        <f t="shared" si="140"/>
        <v>0.276355</v>
      </c>
      <c r="W163" s="16">
        <f t="shared" si="141"/>
        <v>231.4583667</v>
      </c>
      <c r="X163" s="14">
        <f t="shared" si="142"/>
        <v>480.68</v>
      </c>
      <c r="Y163" s="16">
        <f t="shared" si="143"/>
        <v>-249.2216333</v>
      </c>
      <c r="Z163" s="17">
        <v>0</v>
      </c>
      <c r="AA163" s="17">
        <v>2</v>
      </c>
      <c r="AB163" s="17">
        <v>2</v>
      </c>
      <c r="AC163" s="17">
        <v>1</v>
      </c>
      <c r="AD163" s="16">
        <f t="shared" si="144"/>
        <v>144.321111708804</v>
      </c>
      <c r="AE163" s="18">
        <f t="shared" si="145"/>
        <v>-575.133829808804</v>
      </c>
      <c r="AF163" s="1">
        <f t="shared" si="146"/>
        <v>60</v>
      </c>
      <c r="AG163" s="1">
        <f>'[1]7'!BH13</f>
        <v>60</v>
      </c>
    </row>
    <row r="164" s="1" customFormat="1" spans="1:33">
      <c r="A164" s="9">
        <v>46119</v>
      </c>
      <c r="B164" s="10" t="s">
        <v>46</v>
      </c>
      <c r="C164" s="10" t="s">
        <v>42</v>
      </c>
      <c r="D164" s="10" t="s">
        <v>47</v>
      </c>
      <c r="E164" s="12">
        <v>6212</v>
      </c>
      <c r="F164" s="12">
        <v>1744</v>
      </c>
      <c r="G164" s="13">
        <v>62</v>
      </c>
      <c r="H164" s="14">
        <v>4</v>
      </c>
      <c r="I164" s="14">
        <f t="shared" si="130"/>
        <v>100.75</v>
      </c>
      <c r="J164" s="14">
        <v>13</v>
      </c>
      <c r="K164" s="15">
        <f t="shared" si="131"/>
        <v>477.846153846154</v>
      </c>
      <c r="L164" s="14">
        <f t="shared" si="147"/>
        <v>210.02</v>
      </c>
      <c r="M164" s="16">
        <f t="shared" si="133"/>
        <v>-210.02</v>
      </c>
      <c r="N164" s="14">
        <v>18</v>
      </c>
      <c r="O164" s="15">
        <f t="shared" si="134"/>
        <v>3.44444444444444</v>
      </c>
      <c r="P164" s="14">
        <f t="shared" si="135"/>
        <v>0.06859</v>
      </c>
      <c r="Q164" s="16">
        <f t="shared" si="136"/>
        <v>3.9974252</v>
      </c>
      <c r="R164" s="14">
        <f t="shared" si="148"/>
        <v>282.72</v>
      </c>
      <c r="S164" s="16">
        <f t="shared" si="138"/>
        <v>-278.7225748</v>
      </c>
      <c r="T164" s="14">
        <v>30</v>
      </c>
      <c r="U164" s="15">
        <f t="shared" si="139"/>
        <v>58.1333333333333</v>
      </c>
      <c r="V164" s="14">
        <f t="shared" si="140"/>
        <v>0.276355</v>
      </c>
      <c r="W164" s="16">
        <f t="shared" si="141"/>
        <v>453.0453328</v>
      </c>
      <c r="X164" s="14">
        <f t="shared" si="142"/>
        <v>524.54</v>
      </c>
      <c r="Y164" s="16">
        <f t="shared" si="143"/>
        <v>-71.4946672</v>
      </c>
      <c r="Z164" s="17">
        <v>0</v>
      </c>
      <c r="AA164" s="17">
        <v>2</v>
      </c>
      <c r="AB164" s="17">
        <v>2</v>
      </c>
      <c r="AC164" s="17">
        <v>1</v>
      </c>
      <c r="AD164" s="16">
        <f t="shared" si="144"/>
        <v>144.321111708804</v>
      </c>
      <c r="AE164" s="18">
        <f t="shared" si="145"/>
        <v>-805.308353708804</v>
      </c>
      <c r="AF164" s="1">
        <f t="shared" si="146"/>
        <v>66</v>
      </c>
      <c r="AG164" s="1">
        <f>'[1]7'!BH14</f>
        <v>66</v>
      </c>
    </row>
    <row r="165" s="1" customFormat="1" spans="1:33">
      <c r="A165" s="9">
        <v>46119</v>
      </c>
      <c r="B165" s="10" t="s">
        <v>48</v>
      </c>
      <c r="C165" s="10" t="s">
        <v>42</v>
      </c>
      <c r="D165" s="10" t="s">
        <v>49</v>
      </c>
      <c r="E165" s="12">
        <v>13532</v>
      </c>
      <c r="F165" s="12">
        <v>5663</v>
      </c>
      <c r="G165" s="13">
        <v>8</v>
      </c>
      <c r="H165" s="14">
        <v>4</v>
      </c>
      <c r="I165" s="14">
        <f t="shared" si="130"/>
        <v>100.75</v>
      </c>
      <c r="J165" s="14">
        <v>18</v>
      </c>
      <c r="K165" s="15">
        <f t="shared" si="131"/>
        <v>751.777777777778</v>
      </c>
      <c r="L165" s="14">
        <f t="shared" si="147"/>
        <v>282.72</v>
      </c>
      <c r="M165" s="16">
        <f t="shared" si="133"/>
        <v>-282.72</v>
      </c>
      <c r="N165" s="14">
        <v>4</v>
      </c>
      <c r="O165" s="15">
        <f t="shared" si="134"/>
        <v>2</v>
      </c>
      <c r="P165" s="14">
        <f t="shared" si="135"/>
        <v>0.06859</v>
      </c>
      <c r="Q165" s="16">
        <f t="shared" si="136"/>
        <v>0.5157968</v>
      </c>
      <c r="R165" s="14">
        <f t="shared" si="148"/>
        <v>79.16</v>
      </c>
      <c r="S165" s="16">
        <f t="shared" si="138"/>
        <v>-78.6442032</v>
      </c>
      <c r="T165" s="14">
        <v>39</v>
      </c>
      <c r="U165" s="15">
        <f t="shared" si="139"/>
        <v>145.205128205128</v>
      </c>
      <c r="V165" s="14">
        <f t="shared" si="140"/>
        <v>0.276355</v>
      </c>
      <c r="W165" s="16">
        <f t="shared" si="141"/>
        <v>1471.0984631</v>
      </c>
      <c r="X165" s="14">
        <f t="shared" si="142"/>
        <v>656.12</v>
      </c>
      <c r="Y165" s="16">
        <f t="shared" si="143"/>
        <v>814.9784631</v>
      </c>
      <c r="Z165" s="17">
        <v>0</v>
      </c>
      <c r="AA165" s="17">
        <v>2</v>
      </c>
      <c r="AB165" s="17">
        <v>2</v>
      </c>
      <c r="AC165" s="17">
        <v>1</v>
      </c>
      <c r="AD165" s="16">
        <f t="shared" si="144"/>
        <v>144.321111708804</v>
      </c>
      <c r="AE165" s="18">
        <f t="shared" si="145"/>
        <v>208.543148191196</v>
      </c>
      <c r="AF165" s="1">
        <f t="shared" si="146"/>
        <v>66</v>
      </c>
      <c r="AG165" s="1">
        <f>'[1]7'!BH15</f>
        <v>66</v>
      </c>
    </row>
    <row r="166" s="1" customFormat="1" spans="1:33">
      <c r="A166" s="9">
        <v>46119</v>
      </c>
      <c r="B166" s="10" t="s">
        <v>50</v>
      </c>
      <c r="C166" s="10" t="s">
        <v>42</v>
      </c>
      <c r="D166" s="10" t="s">
        <v>49</v>
      </c>
      <c r="E166" s="12">
        <v>4999</v>
      </c>
      <c r="F166" s="12">
        <v>3654</v>
      </c>
      <c r="G166" s="13">
        <v>5022</v>
      </c>
      <c r="H166" s="14">
        <v>4</v>
      </c>
      <c r="I166" s="14">
        <f t="shared" si="130"/>
        <v>100.75</v>
      </c>
      <c r="J166" s="14">
        <v>12</v>
      </c>
      <c r="K166" s="15">
        <f t="shared" si="131"/>
        <v>416.583333333333</v>
      </c>
      <c r="L166" s="14">
        <f t="shared" si="147"/>
        <v>195.48</v>
      </c>
      <c r="M166" s="16">
        <f t="shared" si="133"/>
        <v>-195.48</v>
      </c>
      <c r="N166" s="14">
        <v>18</v>
      </c>
      <c r="O166" s="15">
        <f t="shared" si="134"/>
        <v>279</v>
      </c>
      <c r="P166" s="14">
        <f t="shared" si="135"/>
        <v>0.06859</v>
      </c>
      <c r="Q166" s="16">
        <f t="shared" si="136"/>
        <v>323.7914412</v>
      </c>
      <c r="R166" s="14">
        <f t="shared" si="148"/>
        <v>282.72</v>
      </c>
      <c r="S166" s="16">
        <f t="shared" si="138"/>
        <v>41.0714412</v>
      </c>
      <c r="T166" s="14">
        <v>31</v>
      </c>
      <c r="U166" s="15">
        <f t="shared" si="139"/>
        <v>117.870967741935</v>
      </c>
      <c r="V166" s="14">
        <f t="shared" si="140"/>
        <v>0.276355</v>
      </c>
      <c r="W166" s="16">
        <f t="shared" si="141"/>
        <v>949.2130998</v>
      </c>
      <c r="X166" s="14">
        <f t="shared" si="142"/>
        <v>539.16</v>
      </c>
      <c r="Y166" s="16">
        <f t="shared" si="143"/>
        <v>410.0530998</v>
      </c>
      <c r="Z166" s="17">
        <v>0</v>
      </c>
      <c r="AA166" s="17">
        <v>2</v>
      </c>
      <c r="AB166" s="17">
        <v>2</v>
      </c>
      <c r="AC166" s="17">
        <v>1</v>
      </c>
      <c r="AD166" s="16">
        <f t="shared" si="144"/>
        <v>144.321111708804</v>
      </c>
      <c r="AE166" s="18">
        <f t="shared" si="145"/>
        <v>10.5734292911958</v>
      </c>
      <c r="AF166" s="1">
        <f t="shared" si="146"/>
        <v>66</v>
      </c>
      <c r="AG166" s="1">
        <f>'[1]7'!BH16</f>
        <v>66</v>
      </c>
    </row>
    <row r="167" s="1" customFormat="1" spans="1:33">
      <c r="A167" s="9">
        <v>46119</v>
      </c>
      <c r="B167" s="10" t="s">
        <v>51</v>
      </c>
      <c r="C167" s="10" t="s">
        <v>42</v>
      </c>
      <c r="D167" s="10" t="s">
        <v>49</v>
      </c>
      <c r="E167" s="12">
        <v>5655</v>
      </c>
      <c r="F167" s="12">
        <v>889</v>
      </c>
      <c r="G167" s="13">
        <v>10034</v>
      </c>
      <c r="H167" s="14">
        <v>4</v>
      </c>
      <c r="I167" s="14">
        <f t="shared" si="130"/>
        <v>100.75</v>
      </c>
      <c r="J167" s="14">
        <v>12</v>
      </c>
      <c r="K167" s="15">
        <f t="shared" si="131"/>
        <v>471.25</v>
      </c>
      <c r="L167" s="14">
        <f t="shared" si="147"/>
        <v>195.48</v>
      </c>
      <c r="M167" s="16">
        <f t="shared" si="133"/>
        <v>-195.48</v>
      </c>
      <c r="N167" s="14">
        <v>18</v>
      </c>
      <c r="O167" s="15">
        <f t="shared" si="134"/>
        <v>557.444444444444</v>
      </c>
      <c r="P167" s="14">
        <f t="shared" si="135"/>
        <v>0.06859</v>
      </c>
      <c r="Q167" s="16">
        <f t="shared" si="136"/>
        <v>646.9381364</v>
      </c>
      <c r="R167" s="14">
        <f t="shared" si="148"/>
        <v>282.72</v>
      </c>
      <c r="S167" s="16">
        <f t="shared" si="138"/>
        <v>364.2181364</v>
      </c>
      <c r="T167" s="14">
        <v>31</v>
      </c>
      <c r="U167" s="15">
        <f t="shared" si="139"/>
        <v>28.6774193548387</v>
      </c>
      <c r="V167" s="14">
        <f t="shared" si="140"/>
        <v>0.276355</v>
      </c>
      <c r="W167" s="16">
        <f t="shared" si="141"/>
        <v>230.9388193</v>
      </c>
      <c r="X167" s="14">
        <f t="shared" si="142"/>
        <v>539.16</v>
      </c>
      <c r="Y167" s="16">
        <f t="shared" si="143"/>
        <v>-308.2211807</v>
      </c>
      <c r="Z167" s="17">
        <v>0</v>
      </c>
      <c r="AA167" s="17">
        <v>2</v>
      </c>
      <c r="AB167" s="17">
        <v>2</v>
      </c>
      <c r="AC167" s="17">
        <v>1</v>
      </c>
      <c r="AD167" s="16">
        <f t="shared" si="144"/>
        <v>144.321111708804</v>
      </c>
      <c r="AE167" s="18">
        <f t="shared" si="145"/>
        <v>-384.554156008804</v>
      </c>
      <c r="AF167" s="1">
        <f t="shared" si="146"/>
        <v>66</v>
      </c>
      <c r="AG167" s="1">
        <f>'[1]7'!BH17</f>
        <v>66</v>
      </c>
    </row>
    <row r="168" s="1" customFormat="1" spans="1:33">
      <c r="A168" s="9">
        <v>46119</v>
      </c>
      <c r="B168" s="10" t="s">
        <v>52</v>
      </c>
      <c r="C168" s="10" t="s">
        <v>42</v>
      </c>
      <c r="D168" s="11" t="s">
        <v>34</v>
      </c>
      <c r="E168" s="12">
        <v>0</v>
      </c>
      <c r="F168" s="12">
        <v>4007</v>
      </c>
      <c r="G168" s="13">
        <v>8868</v>
      </c>
      <c r="H168" s="14">
        <v>4</v>
      </c>
      <c r="I168" s="14">
        <f t="shared" si="130"/>
        <v>100.75</v>
      </c>
      <c r="J168" s="14">
        <v>12</v>
      </c>
      <c r="K168" s="15">
        <f t="shared" si="131"/>
        <v>0</v>
      </c>
      <c r="L168" s="14">
        <f t="shared" si="147"/>
        <v>195.48</v>
      </c>
      <c r="M168" s="16">
        <f t="shared" si="133"/>
        <v>-195.48</v>
      </c>
      <c r="N168" s="14">
        <v>18</v>
      </c>
      <c r="O168" s="15">
        <f t="shared" si="134"/>
        <v>492.666666666667</v>
      </c>
      <c r="P168" s="14">
        <f t="shared" si="135"/>
        <v>0.06859</v>
      </c>
      <c r="Q168" s="16">
        <f t="shared" si="136"/>
        <v>571.7607528</v>
      </c>
      <c r="R168" s="14">
        <f t="shared" si="148"/>
        <v>282.72</v>
      </c>
      <c r="S168" s="16">
        <f t="shared" si="138"/>
        <v>289.0407528</v>
      </c>
      <c r="T168" s="14">
        <v>31</v>
      </c>
      <c r="U168" s="15">
        <f t="shared" si="139"/>
        <v>129.258064516129</v>
      </c>
      <c r="V168" s="14">
        <f t="shared" si="140"/>
        <v>0.276355</v>
      </c>
      <c r="W168" s="16">
        <f t="shared" si="141"/>
        <v>1040.9132159</v>
      </c>
      <c r="X168" s="14">
        <f t="shared" si="142"/>
        <v>539.16</v>
      </c>
      <c r="Y168" s="16">
        <f t="shared" si="143"/>
        <v>501.7532159</v>
      </c>
      <c r="Z168" s="17">
        <v>0</v>
      </c>
      <c r="AA168" s="17">
        <v>2</v>
      </c>
      <c r="AB168" s="17">
        <v>2</v>
      </c>
      <c r="AC168" s="17">
        <v>1</v>
      </c>
      <c r="AD168" s="16">
        <f t="shared" si="144"/>
        <v>144.321111708804</v>
      </c>
      <c r="AE168" s="18">
        <f t="shared" si="145"/>
        <v>350.242856991196</v>
      </c>
      <c r="AF168" s="1">
        <f t="shared" si="146"/>
        <v>66</v>
      </c>
      <c r="AG168" s="1">
        <f>'[1]7'!BH18</f>
        <v>66</v>
      </c>
    </row>
    <row r="169" s="1" customFormat="1" spans="1:33">
      <c r="A169" s="9">
        <v>46119</v>
      </c>
      <c r="B169" s="10" t="s">
        <v>53</v>
      </c>
      <c r="C169" s="10" t="s">
        <v>42</v>
      </c>
      <c r="D169" s="11" t="s">
        <v>34</v>
      </c>
      <c r="E169" s="12">
        <v>2723</v>
      </c>
      <c r="F169" s="12">
        <v>4009</v>
      </c>
      <c r="G169" s="13">
        <v>11850</v>
      </c>
      <c r="H169" s="14">
        <v>4</v>
      </c>
      <c r="I169" s="14">
        <f t="shared" si="130"/>
        <v>100.75</v>
      </c>
      <c r="J169" s="14">
        <v>12</v>
      </c>
      <c r="K169" s="15">
        <f t="shared" si="131"/>
        <v>226.916666666667</v>
      </c>
      <c r="L169" s="14">
        <f t="shared" si="147"/>
        <v>195.48</v>
      </c>
      <c r="M169" s="16">
        <f t="shared" si="133"/>
        <v>-195.48</v>
      </c>
      <c r="N169" s="14">
        <v>18</v>
      </c>
      <c r="O169" s="15">
        <f t="shared" si="134"/>
        <v>658.333333333333</v>
      </c>
      <c r="P169" s="14">
        <f t="shared" si="135"/>
        <v>0.06859</v>
      </c>
      <c r="Q169" s="16">
        <f t="shared" si="136"/>
        <v>764.02401</v>
      </c>
      <c r="R169" s="14">
        <f t="shared" si="148"/>
        <v>282.72</v>
      </c>
      <c r="S169" s="16">
        <f t="shared" si="138"/>
        <v>481.30401</v>
      </c>
      <c r="T169" s="14">
        <v>31</v>
      </c>
      <c r="U169" s="15">
        <f t="shared" si="139"/>
        <v>129.322580645161</v>
      </c>
      <c r="V169" s="14">
        <f t="shared" si="140"/>
        <v>0.276355</v>
      </c>
      <c r="W169" s="16">
        <f t="shared" si="141"/>
        <v>1041.4327633</v>
      </c>
      <c r="X169" s="14">
        <f t="shared" si="142"/>
        <v>539.16</v>
      </c>
      <c r="Y169" s="16">
        <f t="shared" si="143"/>
        <v>502.2727633</v>
      </c>
      <c r="Z169" s="17">
        <v>0</v>
      </c>
      <c r="AA169" s="17">
        <v>2</v>
      </c>
      <c r="AB169" s="17">
        <v>2</v>
      </c>
      <c r="AC169" s="17">
        <v>1</v>
      </c>
      <c r="AD169" s="16">
        <f t="shared" si="144"/>
        <v>144.321111708804</v>
      </c>
      <c r="AE169" s="18">
        <f t="shared" si="145"/>
        <v>543.025661591196</v>
      </c>
      <c r="AF169" s="1">
        <f t="shared" si="146"/>
        <v>66</v>
      </c>
      <c r="AG169" s="1">
        <f>'[1]7'!BH19</f>
        <v>66</v>
      </c>
    </row>
    <row r="170" s="1" customFormat="1" spans="1:33">
      <c r="A170" s="9">
        <v>46119</v>
      </c>
      <c r="B170" s="10" t="s">
        <v>54</v>
      </c>
      <c r="C170" s="10" t="s">
        <v>42</v>
      </c>
      <c r="D170" s="10" t="s">
        <v>49</v>
      </c>
      <c r="E170" s="12">
        <v>10800</v>
      </c>
      <c r="F170" s="12">
        <v>2183</v>
      </c>
      <c r="G170" s="13">
        <v>6215</v>
      </c>
      <c r="H170" s="14">
        <v>4</v>
      </c>
      <c r="I170" s="14">
        <f t="shared" si="130"/>
        <v>100.75</v>
      </c>
      <c r="J170" s="14">
        <v>12</v>
      </c>
      <c r="K170" s="15">
        <f t="shared" si="131"/>
        <v>900</v>
      </c>
      <c r="L170" s="14">
        <f t="shared" si="147"/>
        <v>195.48</v>
      </c>
      <c r="M170" s="16">
        <f t="shared" si="133"/>
        <v>-195.48</v>
      </c>
      <c r="N170" s="14">
        <v>18</v>
      </c>
      <c r="O170" s="15">
        <f t="shared" si="134"/>
        <v>345.277777777778</v>
      </c>
      <c r="P170" s="14">
        <f t="shared" si="135"/>
        <v>0.06859</v>
      </c>
      <c r="Q170" s="16">
        <f t="shared" si="136"/>
        <v>400.709639</v>
      </c>
      <c r="R170" s="14">
        <f t="shared" si="148"/>
        <v>282.72</v>
      </c>
      <c r="S170" s="16">
        <f t="shared" si="138"/>
        <v>117.989639</v>
      </c>
      <c r="T170" s="14">
        <v>31</v>
      </c>
      <c r="U170" s="15">
        <f t="shared" si="139"/>
        <v>70.4193548387097</v>
      </c>
      <c r="V170" s="14">
        <f t="shared" si="140"/>
        <v>0.276355</v>
      </c>
      <c r="W170" s="16">
        <f t="shared" si="141"/>
        <v>567.0859871</v>
      </c>
      <c r="X170" s="14">
        <f t="shared" si="142"/>
        <v>539.16</v>
      </c>
      <c r="Y170" s="16">
        <f t="shared" si="143"/>
        <v>27.9259870999999</v>
      </c>
      <c r="Z170" s="17">
        <v>0</v>
      </c>
      <c r="AA170" s="17">
        <v>2</v>
      </c>
      <c r="AB170" s="17">
        <v>2</v>
      </c>
      <c r="AC170" s="17">
        <v>1</v>
      </c>
      <c r="AD170" s="16">
        <f t="shared" si="144"/>
        <v>144.321111708804</v>
      </c>
      <c r="AE170" s="18">
        <f t="shared" si="145"/>
        <v>-294.635485608804</v>
      </c>
      <c r="AF170" s="1">
        <f t="shared" si="146"/>
        <v>66</v>
      </c>
      <c r="AG170" s="1">
        <f>'[1]7'!BH20</f>
        <v>66</v>
      </c>
    </row>
    <row r="171" s="1" customFormat="1" spans="1:33">
      <c r="A171" s="9">
        <v>46119</v>
      </c>
      <c r="B171" s="10" t="s">
        <v>55</v>
      </c>
      <c r="C171" s="10" t="s">
        <v>33</v>
      </c>
      <c r="D171" s="10" t="s">
        <v>49</v>
      </c>
      <c r="E171" s="12">
        <v>9754</v>
      </c>
      <c r="F171" s="12">
        <v>4642</v>
      </c>
      <c r="G171" s="13">
        <v>2109</v>
      </c>
      <c r="H171" s="14">
        <v>2</v>
      </c>
      <c r="I171" s="14">
        <f t="shared" si="130"/>
        <v>44.0122222222222</v>
      </c>
      <c r="J171" s="14">
        <v>26</v>
      </c>
      <c r="K171" s="15">
        <f t="shared" si="131"/>
        <v>375.153846153846</v>
      </c>
      <c r="L171" s="14">
        <f t="shared" ref="L171:L176" si="149">J171*14.62+21</f>
        <v>401.12</v>
      </c>
      <c r="M171" s="16">
        <f t="shared" si="133"/>
        <v>-401.12</v>
      </c>
      <c r="N171" s="14">
        <v>15</v>
      </c>
      <c r="O171" s="15">
        <f t="shared" si="134"/>
        <v>140.6</v>
      </c>
      <c r="P171" s="14">
        <f t="shared" si="135"/>
        <v>0.06859</v>
      </c>
      <c r="Q171" s="16">
        <f t="shared" si="136"/>
        <v>135.9769314</v>
      </c>
      <c r="R171" s="14">
        <f t="shared" ref="R171:R176" si="150">(N171-13)*14.62+13*18+21</f>
        <v>284.24</v>
      </c>
      <c r="S171" s="16">
        <f t="shared" si="138"/>
        <v>-148.2630686</v>
      </c>
      <c r="T171" s="14">
        <v>55</v>
      </c>
      <c r="U171" s="15">
        <f t="shared" si="139"/>
        <v>84.4</v>
      </c>
      <c r="V171" s="14">
        <f t="shared" si="140"/>
        <v>0.276355</v>
      </c>
      <c r="W171" s="16">
        <f t="shared" si="141"/>
        <v>1205.8695154</v>
      </c>
      <c r="X171" s="14">
        <f t="shared" si="142"/>
        <v>890.04</v>
      </c>
      <c r="Y171" s="16">
        <f t="shared" si="143"/>
        <v>315.8295154</v>
      </c>
      <c r="Z171" s="17">
        <v>4</v>
      </c>
      <c r="AA171" s="17">
        <v>3</v>
      </c>
      <c r="AB171" s="17">
        <v>0</v>
      </c>
      <c r="AC171" s="17">
        <v>1</v>
      </c>
      <c r="AD171" s="16">
        <f t="shared" si="144"/>
        <v>181.443675811368</v>
      </c>
      <c r="AE171" s="18">
        <f t="shared" si="145"/>
        <v>-459.00945123359</v>
      </c>
      <c r="AF171" s="1">
        <f t="shared" si="146"/>
        <v>104</v>
      </c>
      <c r="AG171" s="1">
        <f>'[1]7'!BH21</f>
        <v>104</v>
      </c>
    </row>
    <row r="172" s="1" customFormat="1" spans="1:33">
      <c r="A172" s="9">
        <v>46119</v>
      </c>
      <c r="B172" s="10" t="s">
        <v>56</v>
      </c>
      <c r="C172" s="10" t="s">
        <v>33</v>
      </c>
      <c r="D172" s="10" t="s">
        <v>49</v>
      </c>
      <c r="E172" s="12">
        <v>37653</v>
      </c>
      <c r="F172" s="12">
        <v>5593</v>
      </c>
      <c r="G172" s="13">
        <v>13903</v>
      </c>
      <c r="H172" s="14">
        <v>2</v>
      </c>
      <c r="I172" s="14">
        <f t="shared" si="130"/>
        <v>44.0122222222222</v>
      </c>
      <c r="J172" s="14">
        <v>25</v>
      </c>
      <c r="K172" s="15">
        <f t="shared" si="131"/>
        <v>1506.12</v>
      </c>
      <c r="L172" s="14">
        <f t="shared" si="149"/>
        <v>386.5</v>
      </c>
      <c r="M172" s="16">
        <f t="shared" si="133"/>
        <v>-386.5</v>
      </c>
      <c r="N172" s="14">
        <v>25</v>
      </c>
      <c r="O172" s="15">
        <f t="shared" si="134"/>
        <v>556.12</v>
      </c>
      <c r="P172" s="14">
        <f t="shared" si="135"/>
        <v>0.06859</v>
      </c>
      <c r="Q172" s="16">
        <f t="shared" si="136"/>
        <v>896.3903638</v>
      </c>
      <c r="R172" s="14">
        <f t="shared" si="150"/>
        <v>430.44</v>
      </c>
      <c r="S172" s="16">
        <f t="shared" si="138"/>
        <v>465.9503638</v>
      </c>
      <c r="T172" s="14">
        <v>46</v>
      </c>
      <c r="U172" s="15">
        <f t="shared" si="139"/>
        <v>121.586956521739</v>
      </c>
      <c r="V172" s="14">
        <f t="shared" si="140"/>
        <v>0.276355</v>
      </c>
      <c r="W172" s="16">
        <f t="shared" si="141"/>
        <v>1452.9143041</v>
      </c>
      <c r="X172" s="14">
        <f t="shared" si="142"/>
        <v>758.46</v>
      </c>
      <c r="Y172" s="16">
        <f t="shared" si="143"/>
        <v>694.4543041</v>
      </c>
      <c r="Z172" s="17">
        <v>4</v>
      </c>
      <c r="AA172" s="17">
        <v>3</v>
      </c>
      <c r="AB172" s="17">
        <v>0</v>
      </c>
      <c r="AC172" s="17">
        <v>1</v>
      </c>
      <c r="AD172" s="16">
        <f t="shared" si="144"/>
        <v>181.443675811368</v>
      </c>
      <c r="AE172" s="18">
        <f t="shared" si="145"/>
        <v>548.448769866409</v>
      </c>
      <c r="AF172" s="1">
        <f t="shared" si="146"/>
        <v>104</v>
      </c>
      <c r="AG172" s="1">
        <f>'[1]7'!BH22</f>
        <v>104</v>
      </c>
    </row>
    <row r="173" s="1" customFormat="1" spans="1:33">
      <c r="A173" s="9">
        <v>46119</v>
      </c>
      <c r="B173" s="10" t="s">
        <v>57</v>
      </c>
      <c r="C173" s="10" t="s">
        <v>33</v>
      </c>
      <c r="D173" s="10" t="s">
        <v>49</v>
      </c>
      <c r="E173" s="12">
        <v>17680</v>
      </c>
      <c r="F173" s="12">
        <v>6347</v>
      </c>
      <c r="G173" s="13">
        <v>15001</v>
      </c>
      <c r="H173" s="14">
        <v>2</v>
      </c>
      <c r="I173" s="14">
        <f t="shared" si="130"/>
        <v>44.0122222222222</v>
      </c>
      <c r="J173" s="14">
        <v>25</v>
      </c>
      <c r="K173" s="15">
        <f t="shared" si="131"/>
        <v>707.2</v>
      </c>
      <c r="L173" s="14">
        <f t="shared" si="149"/>
        <v>386.5</v>
      </c>
      <c r="M173" s="16">
        <f t="shared" si="133"/>
        <v>-386.5</v>
      </c>
      <c r="N173" s="14">
        <v>25</v>
      </c>
      <c r="O173" s="15">
        <f t="shared" si="134"/>
        <v>600.04</v>
      </c>
      <c r="P173" s="14">
        <f t="shared" si="135"/>
        <v>0.06859</v>
      </c>
      <c r="Q173" s="16">
        <f t="shared" si="136"/>
        <v>967.1834746</v>
      </c>
      <c r="R173" s="14">
        <f t="shared" si="150"/>
        <v>430.44</v>
      </c>
      <c r="S173" s="16">
        <f t="shared" si="138"/>
        <v>536.7434746</v>
      </c>
      <c r="T173" s="14">
        <v>46</v>
      </c>
      <c r="U173" s="15">
        <f t="shared" si="139"/>
        <v>137.978260869565</v>
      </c>
      <c r="V173" s="14">
        <f t="shared" si="140"/>
        <v>0.276355</v>
      </c>
      <c r="W173" s="16">
        <f t="shared" si="141"/>
        <v>1648.7836739</v>
      </c>
      <c r="X173" s="14">
        <f t="shared" si="142"/>
        <v>758.46</v>
      </c>
      <c r="Y173" s="16">
        <f t="shared" si="143"/>
        <v>890.3236739</v>
      </c>
      <c r="Z173" s="17">
        <v>4</v>
      </c>
      <c r="AA173" s="17">
        <v>3</v>
      </c>
      <c r="AB173" s="17">
        <v>0</v>
      </c>
      <c r="AC173" s="17">
        <v>1</v>
      </c>
      <c r="AD173" s="16">
        <f t="shared" si="144"/>
        <v>181.443675811368</v>
      </c>
      <c r="AE173" s="18">
        <f t="shared" si="145"/>
        <v>815.111250466409</v>
      </c>
      <c r="AF173" s="1">
        <f t="shared" si="146"/>
        <v>104</v>
      </c>
      <c r="AG173" s="1">
        <f>'[1]7'!BH23</f>
        <v>104</v>
      </c>
    </row>
    <row r="174" s="1" customFormat="1" spans="1:33">
      <c r="A174" s="9">
        <v>46119</v>
      </c>
      <c r="B174" s="10" t="s">
        <v>58</v>
      </c>
      <c r="C174" s="10" t="s">
        <v>33</v>
      </c>
      <c r="D174" s="10" t="s">
        <v>49</v>
      </c>
      <c r="E174" s="12">
        <v>2</v>
      </c>
      <c r="F174" s="12">
        <v>5273</v>
      </c>
      <c r="G174" s="13">
        <v>14724</v>
      </c>
      <c r="H174" s="14">
        <v>2</v>
      </c>
      <c r="I174" s="14">
        <f t="shared" si="130"/>
        <v>44.0122222222222</v>
      </c>
      <c r="J174" s="14">
        <v>25</v>
      </c>
      <c r="K174" s="15">
        <f t="shared" si="131"/>
        <v>0.08</v>
      </c>
      <c r="L174" s="14">
        <f t="shared" si="149"/>
        <v>386.5</v>
      </c>
      <c r="M174" s="16">
        <f t="shared" si="133"/>
        <v>-386.5</v>
      </c>
      <c r="N174" s="14">
        <v>25</v>
      </c>
      <c r="O174" s="15">
        <f t="shared" si="134"/>
        <v>588.96</v>
      </c>
      <c r="P174" s="14">
        <f t="shared" si="135"/>
        <v>0.06859</v>
      </c>
      <c r="Q174" s="16">
        <f t="shared" si="136"/>
        <v>949.3240104</v>
      </c>
      <c r="R174" s="14">
        <f t="shared" si="150"/>
        <v>430.44</v>
      </c>
      <c r="S174" s="16">
        <f t="shared" si="138"/>
        <v>518.8840104</v>
      </c>
      <c r="T174" s="14">
        <v>46</v>
      </c>
      <c r="U174" s="15">
        <f t="shared" si="139"/>
        <v>114.630434782609</v>
      </c>
      <c r="V174" s="14">
        <f t="shared" si="140"/>
        <v>0.276355</v>
      </c>
      <c r="W174" s="16">
        <f t="shared" si="141"/>
        <v>1369.7867201</v>
      </c>
      <c r="X174" s="14">
        <f t="shared" si="142"/>
        <v>758.46</v>
      </c>
      <c r="Y174" s="16">
        <f t="shared" si="143"/>
        <v>611.3267201</v>
      </c>
      <c r="Z174" s="17">
        <v>4</v>
      </c>
      <c r="AA174" s="17">
        <v>3</v>
      </c>
      <c r="AB174" s="17">
        <v>0</v>
      </c>
      <c r="AC174" s="17">
        <v>1</v>
      </c>
      <c r="AD174" s="16">
        <f t="shared" si="144"/>
        <v>181.443675811368</v>
      </c>
      <c r="AE174" s="18">
        <f t="shared" si="145"/>
        <v>518.254832466409</v>
      </c>
      <c r="AF174" s="1">
        <f t="shared" si="146"/>
        <v>104</v>
      </c>
      <c r="AG174" s="1">
        <f>'[1]7'!BH24</f>
        <v>104</v>
      </c>
    </row>
    <row r="175" s="1" customFormat="1" spans="1:33">
      <c r="A175" s="9">
        <v>46119</v>
      </c>
      <c r="B175" s="10" t="s">
        <v>59</v>
      </c>
      <c r="C175" s="10" t="s">
        <v>33</v>
      </c>
      <c r="D175" s="10" t="s">
        <v>49</v>
      </c>
      <c r="E175" s="12">
        <v>5558</v>
      </c>
      <c r="F175" s="12">
        <v>2272</v>
      </c>
      <c r="G175" s="13">
        <v>11440</v>
      </c>
      <c r="H175" s="14">
        <v>2</v>
      </c>
      <c r="I175" s="14">
        <f t="shared" si="130"/>
        <v>44.0122222222222</v>
      </c>
      <c r="J175" s="14">
        <v>25</v>
      </c>
      <c r="K175" s="15">
        <f t="shared" si="131"/>
        <v>222.32</v>
      </c>
      <c r="L175" s="14">
        <f t="shared" si="149"/>
        <v>386.5</v>
      </c>
      <c r="M175" s="16">
        <f t="shared" si="133"/>
        <v>-386.5</v>
      </c>
      <c r="N175" s="14">
        <v>25</v>
      </c>
      <c r="O175" s="15">
        <f t="shared" si="134"/>
        <v>457.6</v>
      </c>
      <c r="P175" s="14">
        <f t="shared" si="135"/>
        <v>0.06859</v>
      </c>
      <c r="Q175" s="16">
        <f t="shared" si="136"/>
        <v>737.589424</v>
      </c>
      <c r="R175" s="14">
        <f t="shared" si="150"/>
        <v>430.44</v>
      </c>
      <c r="S175" s="16">
        <f t="shared" si="138"/>
        <v>307.149424</v>
      </c>
      <c r="T175" s="14">
        <v>46</v>
      </c>
      <c r="U175" s="15">
        <f t="shared" si="139"/>
        <v>49.3913043478261</v>
      </c>
      <c r="V175" s="14">
        <f t="shared" si="140"/>
        <v>0.276355</v>
      </c>
      <c r="W175" s="16">
        <f t="shared" si="141"/>
        <v>590.2058464</v>
      </c>
      <c r="X175" s="14">
        <f t="shared" si="142"/>
        <v>758.46</v>
      </c>
      <c r="Y175" s="16">
        <f t="shared" si="143"/>
        <v>-168.2541536</v>
      </c>
      <c r="Z175" s="17">
        <v>4</v>
      </c>
      <c r="AA175" s="17">
        <v>3</v>
      </c>
      <c r="AB175" s="17">
        <v>0</v>
      </c>
      <c r="AC175" s="17">
        <v>1</v>
      </c>
      <c r="AD175" s="16">
        <f t="shared" si="144"/>
        <v>181.443675811368</v>
      </c>
      <c r="AE175" s="18">
        <f t="shared" si="145"/>
        <v>-473.060627633591</v>
      </c>
      <c r="AF175" s="1">
        <f t="shared" si="146"/>
        <v>104</v>
      </c>
      <c r="AG175" s="1">
        <f>'[1]7'!BH25</f>
        <v>104</v>
      </c>
    </row>
    <row r="176" s="1" customFormat="1" spans="1:33">
      <c r="A176" s="9">
        <v>46119</v>
      </c>
      <c r="B176" s="10" t="s">
        <v>60</v>
      </c>
      <c r="C176" s="10" t="s">
        <v>33</v>
      </c>
      <c r="D176" s="11" t="s">
        <v>47</v>
      </c>
      <c r="E176" s="12">
        <v>0</v>
      </c>
      <c r="F176" s="12">
        <v>3544</v>
      </c>
      <c r="G176" s="13">
        <v>6535</v>
      </c>
      <c r="H176" s="14">
        <v>2</v>
      </c>
      <c r="I176" s="14">
        <f t="shared" si="130"/>
        <v>44.0122222222222</v>
      </c>
      <c r="J176" s="14">
        <v>25</v>
      </c>
      <c r="K176" s="15">
        <f t="shared" si="131"/>
        <v>0</v>
      </c>
      <c r="L176" s="14">
        <f t="shared" si="149"/>
        <v>386.5</v>
      </c>
      <c r="M176" s="16">
        <f t="shared" si="133"/>
        <v>-386.5</v>
      </c>
      <c r="N176" s="14">
        <v>25</v>
      </c>
      <c r="O176" s="15">
        <f t="shared" si="134"/>
        <v>261.4</v>
      </c>
      <c r="P176" s="14">
        <f t="shared" si="135"/>
        <v>0.06859</v>
      </c>
      <c r="Q176" s="16">
        <f t="shared" si="136"/>
        <v>421.341511</v>
      </c>
      <c r="R176" s="14">
        <f t="shared" si="150"/>
        <v>430.44</v>
      </c>
      <c r="S176" s="16">
        <f t="shared" si="138"/>
        <v>-9.09848900000003</v>
      </c>
      <c r="T176" s="14">
        <v>46</v>
      </c>
      <c r="U176" s="15">
        <f t="shared" si="139"/>
        <v>77.0434782608696</v>
      </c>
      <c r="V176" s="14">
        <f t="shared" si="140"/>
        <v>0.276355</v>
      </c>
      <c r="W176" s="16">
        <f t="shared" si="141"/>
        <v>920.6379928</v>
      </c>
      <c r="X176" s="14">
        <f t="shared" si="142"/>
        <v>758.46</v>
      </c>
      <c r="Y176" s="16">
        <f t="shared" si="143"/>
        <v>162.1779928</v>
      </c>
      <c r="Z176" s="17">
        <v>4</v>
      </c>
      <c r="AA176" s="17">
        <v>3</v>
      </c>
      <c r="AB176" s="17">
        <v>0</v>
      </c>
      <c r="AC176" s="17">
        <v>1</v>
      </c>
      <c r="AD176" s="16">
        <f t="shared" si="144"/>
        <v>181.443675811368</v>
      </c>
      <c r="AE176" s="18">
        <f t="shared" si="145"/>
        <v>-458.876394233591</v>
      </c>
      <c r="AF176" s="1">
        <f t="shared" si="146"/>
        <v>104</v>
      </c>
      <c r="AG176" s="1">
        <f>'[1]7'!BH26</f>
        <v>104</v>
      </c>
    </row>
    <row r="177" s="1" customFormat="1" spans="1:33">
      <c r="B177" s="2"/>
      <c r="C177" s="2"/>
      <c r="D177" s="2"/>
      <c r="E177" s="2"/>
      <c r="F177" s="2"/>
      <c r="G177" s="2"/>
      <c r="H177" s="2"/>
      <c r="I177" s="3"/>
      <c r="AE177" s="18">
        <f>SUM(AE153:AE176)</f>
        <v>-6583.30419873352</v>
      </c>
    </row>
    <row r="178" s="1" customFormat="1" spans="1:33">
      <c r="A178" s="9">
        <v>46120</v>
      </c>
      <c r="B178" s="10" t="s">
        <v>32</v>
      </c>
      <c r="C178" s="10" t="s">
        <v>33</v>
      </c>
      <c r="D178" s="11" t="s">
        <v>34</v>
      </c>
      <c r="E178" s="12">
        <v>17371</v>
      </c>
      <c r="F178" s="12">
        <v>2061</v>
      </c>
      <c r="G178" s="13">
        <v>4806</v>
      </c>
      <c r="H178" s="14">
        <v>2</v>
      </c>
      <c r="I178" s="14">
        <f t="shared" ref="I178:I201" si="151">IF(H178=2,21.79+16000/30/24,25.75+12000/30/24*2+30000/30/24)</f>
        <v>44.0122222222222</v>
      </c>
      <c r="J178" s="14">
        <v>15</v>
      </c>
      <c r="K178" s="15">
        <f t="shared" ref="K178:K201" si="152">E178/J178</f>
        <v>1158.06666666667</v>
      </c>
      <c r="L178" s="14">
        <f t="shared" ref="L178:L184" si="153">J178*14.62+21</f>
        <v>240.3</v>
      </c>
      <c r="M178" s="16">
        <f t="shared" ref="M178:M201" si="154">0-L178</f>
        <v>-240.3</v>
      </c>
      <c r="N178" s="14">
        <v>25</v>
      </c>
      <c r="O178" s="15">
        <f t="shared" ref="O178:O201" si="155">G178/N178</f>
        <v>192.24</v>
      </c>
      <c r="P178" s="14">
        <f t="shared" ref="P178:P201" si="156">0.0722*0.95</f>
        <v>0.06859</v>
      </c>
      <c r="Q178" s="16">
        <f t="shared" ref="Q178:Q201" si="157">P178*G178*0.94</f>
        <v>309.8649276</v>
      </c>
      <c r="R178" s="14">
        <f t="shared" ref="R178:R184" si="158">(N178-13)*14.62+13*18+21</f>
        <v>430.44</v>
      </c>
      <c r="S178" s="16">
        <f t="shared" ref="S178:S201" si="159">Q178-R178</f>
        <v>-120.5750724</v>
      </c>
      <c r="T178" s="14">
        <v>47</v>
      </c>
      <c r="U178" s="15">
        <f t="shared" ref="U178:U201" si="160">F178/T178</f>
        <v>43.8510638297872</v>
      </c>
      <c r="V178" s="14">
        <f t="shared" ref="V178:V201" si="161">0.2909*0.95</f>
        <v>0.276355</v>
      </c>
      <c r="W178" s="16">
        <f t="shared" ref="W178:W201" si="162">V178*F178*0.94</f>
        <v>535.3935957</v>
      </c>
      <c r="X178" s="14">
        <f t="shared" ref="X178:X201" si="163">(T178-13)*14.62+13*18+42</f>
        <v>773.08</v>
      </c>
      <c r="Y178" s="16">
        <f t="shared" ref="Y178:Y201" si="164">W178-X178</f>
        <v>-237.6864043</v>
      </c>
      <c r="Z178" s="17">
        <v>4</v>
      </c>
      <c r="AA178" s="17">
        <v>3</v>
      </c>
      <c r="AB178" s="17">
        <v>0</v>
      </c>
      <c r="AC178" s="17">
        <v>0</v>
      </c>
      <c r="AD178" s="16">
        <f t="shared" ref="AD178:AD201" si="165">(Z178-1)*14.62+(9000/26/13)+(AA178-1)*14.54+7500/26/11+AB178*(4200/26/9)+AC178*(4000/26/11)</f>
        <v>125.790995158687</v>
      </c>
      <c r="AE178" s="18">
        <f t="shared" ref="AE178:AE201" si="166">M178+S178+Y178-I178-AD178</f>
        <v>-768.36469408091</v>
      </c>
      <c r="AF178" s="1">
        <f t="shared" ref="AF178:AF201" si="167">AB178+AA178+Z178+T178+N178+J178+AC178</f>
        <v>94</v>
      </c>
      <c r="AG178" s="1">
        <f>'[1]8'!BH3</f>
        <v>94</v>
      </c>
    </row>
    <row r="179" s="1" customFormat="1" spans="1:33">
      <c r="A179" s="9">
        <v>46120</v>
      </c>
      <c r="B179" s="10" t="s">
        <v>35</v>
      </c>
      <c r="C179" s="10" t="s">
        <v>33</v>
      </c>
      <c r="D179" s="11" t="s">
        <v>34</v>
      </c>
      <c r="E179" s="12">
        <v>0</v>
      </c>
      <c r="F179" s="12">
        <v>3609</v>
      </c>
      <c r="G179" s="13">
        <v>13761</v>
      </c>
      <c r="H179" s="14">
        <v>2</v>
      </c>
      <c r="I179" s="14">
        <f t="shared" si="151"/>
        <v>44.0122222222222</v>
      </c>
      <c r="J179" s="14">
        <v>15</v>
      </c>
      <c r="K179" s="15">
        <f t="shared" si="152"/>
        <v>0</v>
      </c>
      <c r="L179" s="14">
        <f t="shared" si="153"/>
        <v>240.3</v>
      </c>
      <c r="M179" s="16">
        <f t="shared" si="154"/>
        <v>-240.3</v>
      </c>
      <c r="N179" s="14">
        <v>25</v>
      </c>
      <c r="O179" s="15">
        <f t="shared" si="155"/>
        <v>550.44</v>
      </c>
      <c r="P179" s="14">
        <f t="shared" si="156"/>
        <v>0.06859</v>
      </c>
      <c r="Q179" s="16">
        <f t="shared" si="157"/>
        <v>887.2349706</v>
      </c>
      <c r="R179" s="14">
        <f t="shared" si="158"/>
        <v>430.44</v>
      </c>
      <c r="S179" s="16">
        <f t="shared" si="159"/>
        <v>456.7949706</v>
      </c>
      <c r="T179" s="14">
        <v>47</v>
      </c>
      <c r="U179" s="15">
        <f t="shared" si="160"/>
        <v>76.7872340425532</v>
      </c>
      <c r="V179" s="14">
        <f t="shared" si="161"/>
        <v>0.276355</v>
      </c>
      <c r="W179" s="16">
        <f t="shared" si="162"/>
        <v>937.5232833</v>
      </c>
      <c r="X179" s="14">
        <f t="shared" si="163"/>
        <v>773.08</v>
      </c>
      <c r="Y179" s="16">
        <f t="shared" si="164"/>
        <v>164.4432833</v>
      </c>
      <c r="Z179" s="17">
        <v>4</v>
      </c>
      <c r="AA179" s="17">
        <v>3</v>
      </c>
      <c r="AB179" s="17">
        <v>0</v>
      </c>
      <c r="AC179" s="17">
        <v>0</v>
      </c>
      <c r="AD179" s="16">
        <f t="shared" si="165"/>
        <v>125.790995158687</v>
      </c>
      <c r="AE179" s="18">
        <f t="shared" si="166"/>
        <v>211.13503651909</v>
      </c>
      <c r="AF179" s="1">
        <f t="shared" si="167"/>
        <v>94</v>
      </c>
      <c r="AG179" s="1">
        <f>'[1]8'!BH4</f>
        <v>94</v>
      </c>
    </row>
    <row r="180" s="1" customFormat="1" spans="1:33">
      <c r="A180" s="9">
        <v>46120</v>
      </c>
      <c r="B180" s="10" t="s">
        <v>36</v>
      </c>
      <c r="C180" s="10" t="s">
        <v>33</v>
      </c>
      <c r="D180" s="11" t="s">
        <v>34</v>
      </c>
      <c r="E180" s="12">
        <v>0</v>
      </c>
      <c r="F180" s="12">
        <v>1236</v>
      </c>
      <c r="G180" s="13">
        <v>12311</v>
      </c>
      <c r="H180" s="14">
        <v>2</v>
      </c>
      <c r="I180" s="14">
        <f t="shared" si="151"/>
        <v>44.0122222222222</v>
      </c>
      <c r="J180" s="14">
        <v>15</v>
      </c>
      <c r="K180" s="15">
        <f t="shared" si="152"/>
        <v>0</v>
      </c>
      <c r="L180" s="14">
        <f t="shared" si="153"/>
        <v>240.3</v>
      </c>
      <c r="M180" s="16">
        <f t="shared" si="154"/>
        <v>-240.3</v>
      </c>
      <c r="N180" s="14">
        <v>25</v>
      </c>
      <c r="O180" s="15">
        <f t="shared" si="155"/>
        <v>492.44</v>
      </c>
      <c r="P180" s="14">
        <f t="shared" si="156"/>
        <v>0.06859</v>
      </c>
      <c r="Q180" s="16">
        <f t="shared" si="157"/>
        <v>793.7468006</v>
      </c>
      <c r="R180" s="14">
        <f t="shared" si="158"/>
        <v>430.44</v>
      </c>
      <c r="S180" s="16">
        <f t="shared" si="159"/>
        <v>363.3068006</v>
      </c>
      <c r="T180" s="14">
        <v>47</v>
      </c>
      <c r="U180" s="15">
        <f t="shared" si="160"/>
        <v>26.2978723404255</v>
      </c>
      <c r="V180" s="14">
        <f t="shared" si="161"/>
        <v>0.276355</v>
      </c>
      <c r="W180" s="16">
        <f t="shared" si="162"/>
        <v>321.0802932</v>
      </c>
      <c r="X180" s="14">
        <f t="shared" si="163"/>
        <v>773.08</v>
      </c>
      <c r="Y180" s="16">
        <f t="shared" si="164"/>
        <v>-451.9997068</v>
      </c>
      <c r="Z180" s="17">
        <v>4</v>
      </c>
      <c r="AA180" s="17">
        <v>3</v>
      </c>
      <c r="AB180" s="17">
        <v>0</v>
      </c>
      <c r="AC180" s="17">
        <v>0</v>
      </c>
      <c r="AD180" s="16">
        <f t="shared" si="165"/>
        <v>125.790995158687</v>
      </c>
      <c r="AE180" s="18">
        <f t="shared" si="166"/>
        <v>-498.79612358091</v>
      </c>
      <c r="AF180" s="1">
        <f t="shared" si="167"/>
        <v>94</v>
      </c>
      <c r="AG180" s="1">
        <f>'[1]8'!BH5</f>
        <v>94</v>
      </c>
    </row>
    <row r="181" s="1" customFormat="1" spans="1:33">
      <c r="A181" s="9">
        <v>46120</v>
      </c>
      <c r="B181" s="10" t="s">
        <v>37</v>
      </c>
      <c r="C181" s="10" t="s">
        <v>33</v>
      </c>
      <c r="D181" s="11" t="s">
        <v>34</v>
      </c>
      <c r="E181" s="12">
        <v>1931</v>
      </c>
      <c r="F181" s="12">
        <v>2544</v>
      </c>
      <c r="G181" s="13">
        <v>10964</v>
      </c>
      <c r="H181" s="14">
        <v>2</v>
      </c>
      <c r="I181" s="14">
        <f t="shared" si="151"/>
        <v>44.0122222222222</v>
      </c>
      <c r="J181" s="14">
        <v>15</v>
      </c>
      <c r="K181" s="15">
        <f t="shared" si="152"/>
        <v>128.733333333333</v>
      </c>
      <c r="L181" s="14">
        <f t="shared" si="153"/>
        <v>240.3</v>
      </c>
      <c r="M181" s="16">
        <f t="shared" si="154"/>
        <v>-240.3</v>
      </c>
      <c r="N181" s="14">
        <v>18</v>
      </c>
      <c r="O181" s="15">
        <f t="shared" si="155"/>
        <v>609.111111111111</v>
      </c>
      <c r="P181" s="14">
        <f t="shared" si="156"/>
        <v>0.06859</v>
      </c>
      <c r="Q181" s="16">
        <f t="shared" si="157"/>
        <v>706.8995144</v>
      </c>
      <c r="R181" s="14">
        <f t="shared" si="158"/>
        <v>328.1</v>
      </c>
      <c r="S181" s="16">
        <f t="shared" si="159"/>
        <v>378.7995144</v>
      </c>
      <c r="T181" s="14">
        <v>54</v>
      </c>
      <c r="U181" s="15">
        <f t="shared" si="160"/>
        <v>47.1111111111111</v>
      </c>
      <c r="V181" s="14">
        <f t="shared" si="161"/>
        <v>0.276355</v>
      </c>
      <c r="W181" s="16">
        <f t="shared" si="162"/>
        <v>660.8642928</v>
      </c>
      <c r="X181" s="14">
        <f t="shared" si="163"/>
        <v>875.42</v>
      </c>
      <c r="Y181" s="16">
        <f t="shared" si="164"/>
        <v>-214.5557072</v>
      </c>
      <c r="Z181" s="17">
        <v>4</v>
      </c>
      <c r="AA181" s="17">
        <v>3</v>
      </c>
      <c r="AB181" s="17">
        <v>0</v>
      </c>
      <c r="AC181" s="17">
        <v>0</v>
      </c>
      <c r="AD181" s="16">
        <f t="shared" si="165"/>
        <v>125.790995158687</v>
      </c>
      <c r="AE181" s="18">
        <f t="shared" si="166"/>
        <v>-245.85941018091</v>
      </c>
      <c r="AF181" s="1">
        <f t="shared" si="167"/>
        <v>94</v>
      </c>
      <c r="AG181" s="1">
        <f>'[1]8'!BH6</f>
        <v>94</v>
      </c>
    </row>
    <row r="182" s="1" customFormat="1" spans="1:33">
      <c r="A182" s="9">
        <v>46120</v>
      </c>
      <c r="B182" s="10" t="s">
        <v>38</v>
      </c>
      <c r="C182" s="10" t="s">
        <v>33</v>
      </c>
      <c r="D182" s="11" t="s">
        <v>34</v>
      </c>
      <c r="E182" s="12">
        <v>3944</v>
      </c>
      <c r="F182" s="12">
        <v>2088</v>
      </c>
      <c r="G182" s="13">
        <v>131</v>
      </c>
      <c r="H182" s="14">
        <v>2</v>
      </c>
      <c r="I182" s="14">
        <f t="shared" si="151"/>
        <v>44.0122222222222</v>
      </c>
      <c r="J182" s="14">
        <v>15</v>
      </c>
      <c r="K182" s="15">
        <f t="shared" si="152"/>
        <v>262.933333333333</v>
      </c>
      <c r="L182" s="14">
        <f t="shared" si="153"/>
        <v>240.3</v>
      </c>
      <c r="M182" s="16">
        <f t="shared" si="154"/>
        <v>-240.3</v>
      </c>
      <c r="N182" s="14">
        <v>25</v>
      </c>
      <c r="O182" s="15">
        <f t="shared" si="155"/>
        <v>5.24</v>
      </c>
      <c r="P182" s="14">
        <f t="shared" si="156"/>
        <v>0.06859</v>
      </c>
      <c r="Q182" s="16">
        <f t="shared" si="157"/>
        <v>8.4461726</v>
      </c>
      <c r="R182" s="14">
        <f t="shared" si="158"/>
        <v>430.44</v>
      </c>
      <c r="S182" s="16">
        <f t="shared" si="159"/>
        <v>-421.9938274</v>
      </c>
      <c r="T182" s="14">
        <v>47</v>
      </c>
      <c r="U182" s="15">
        <f t="shared" si="160"/>
        <v>44.4255319148936</v>
      </c>
      <c r="V182" s="14">
        <f t="shared" si="161"/>
        <v>0.276355</v>
      </c>
      <c r="W182" s="16">
        <f t="shared" si="162"/>
        <v>542.4074856</v>
      </c>
      <c r="X182" s="14">
        <f t="shared" si="163"/>
        <v>773.08</v>
      </c>
      <c r="Y182" s="16">
        <f t="shared" si="164"/>
        <v>-230.6725144</v>
      </c>
      <c r="Z182" s="17">
        <v>4</v>
      </c>
      <c r="AA182" s="17">
        <v>3</v>
      </c>
      <c r="AB182" s="17">
        <v>0</v>
      </c>
      <c r="AC182" s="17">
        <v>0</v>
      </c>
      <c r="AD182" s="16">
        <f t="shared" si="165"/>
        <v>125.790995158687</v>
      </c>
      <c r="AE182" s="18">
        <f t="shared" si="166"/>
        <v>-1062.76955918091</v>
      </c>
      <c r="AF182" s="1">
        <f t="shared" si="167"/>
        <v>94</v>
      </c>
      <c r="AG182" s="1">
        <f>'[1]8'!BH7</f>
        <v>94</v>
      </c>
    </row>
    <row r="183" s="1" customFormat="1" spans="1:33">
      <c r="A183" s="9">
        <v>46120</v>
      </c>
      <c r="B183" s="10" t="s">
        <v>39</v>
      </c>
      <c r="C183" s="10" t="s">
        <v>33</v>
      </c>
      <c r="D183" s="11" t="s">
        <v>34</v>
      </c>
      <c r="E183" s="12">
        <v>265</v>
      </c>
      <c r="F183" s="12">
        <v>985</v>
      </c>
      <c r="G183" s="13">
        <v>147</v>
      </c>
      <c r="H183" s="14">
        <v>2</v>
      </c>
      <c r="I183" s="14">
        <f t="shared" si="151"/>
        <v>44.0122222222222</v>
      </c>
      <c r="J183" s="14">
        <v>15</v>
      </c>
      <c r="K183" s="15">
        <f t="shared" si="152"/>
        <v>17.6666666666667</v>
      </c>
      <c r="L183" s="14">
        <f t="shared" si="153"/>
        <v>240.3</v>
      </c>
      <c r="M183" s="16">
        <f t="shared" si="154"/>
        <v>-240.3</v>
      </c>
      <c r="N183" s="14">
        <v>25</v>
      </c>
      <c r="O183" s="15">
        <f t="shared" si="155"/>
        <v>5.88</v>
      </c>
      <c r="P183" s="14">
        <f t="shared" si="156"/>
        <v>0.06859</v>
      </c>
      <c r="Q183" s="16">
        <f t="shared" si="157"/>
        <v>9.4777662</v>
      </c>
      <c r="R183" s="14">
        <f t="shared" si="158"/>
        <v>430.44</v>
      </c>
      <c r="S183" s="16">
        <f t="shared" si="159"/>
        <v>-420.9622338</v>
      </c>
      <c r="T183" s="14">
        <v>47</v>
      </c>
      <c r="U183" s="15">
        <f t="shared" si="160"/>
        <v>20.9574468085106</v>
      </c>
      <c r="V183" s="14">
        <f t="shared" si="161"/>
        <v>0.276355</v>
      </c>
      <c r="W183" s="16">
        <f t="shared" si="162"/>
        <v>255.8770945</v>
      </c>
      <c r="X183" s="14">
        <f t="shared" si="163"/>
        <v>773.08</v>
      </c>
      <c r="Y183" s="16">
        <f t="shared" si="164"/>
        <v>-517.2029055</v>
      </c>
      <c r="Z183" s="17">
        <v>4</v>
      </c>
      <c r="AA183" s="17">
        <v>3</v>
      </c>
      <c r="AB183" s="17">
        <v>0</v>
      </c>
      <c r="AC183" s="17">
        <v>0</v>
      </c>
      <c r="AD183" s="16">
        <f t="shared" si="165"/>
        <v>125.790995158687</v>
      </c>
      <c r="AE183" s="18">
        <f t="shared" si="166"/>
        <v>-1348.26835668091</v>
      </c>
      <c r="AF183" s="1">
        <f t="shared" si="167"/>
        <v>94</v>
      </c>
      <c r="AG183" s="1">
        <f>'[1]8'!BH8</f>
        <v>94</v>
      </c>
    </row>
    <row r="184" s="1" customFormat="1" spans="1:33">
      <c r="A184" s="9">
        <v>46120</v>
      </c>
      <c r="B184" s="10" t="s">
        <v>40</v>
      </c>
      <c r="C184" s="10" t="s">
        <v>33</v>
      </c>
      <c r="D184" s="11" t="s">
        <v>34</v>
      </c>
      <c r="E184" s="12">
        <v>810</v>
      </c>
      <c r="F184" s="12">
        <v>2651</v>
      </c>
      <c r="G184" s="13">
        <v>6035</v>
      </c>
      <c r="H184" s="14">
        <v>2</v>
      </c>
      <c r="I184" s="14">
        <f t="shared" si="151"/>
        <v>44.0122222222222</v>
      </c>
      <c r="J184" s="14">
        <v>15</v>
      </c>
      <c r="K184" s="15">
        <f t="shared" si="152"/>
        <v>54</v>
      </c>
      <c r="L184" s="14">
        <f t="shared" si="153"/>
        <v>240.3</v>
      </c>
      <c r="M184" s="16">
        <f t="shared" si="154"/>
        <v>-240.3</v>
      </c>
      <c r="N184" s="14">
        <v>25</v>
      </c>
      <c r="O184" s="15">
        <f t="shared" si="155"/>
        <v>241.4</v>
      </c>
      <c r="P184" s="14">
        <f t="shared" si="156"/>
        <v>0.06859</v>
      </c>
      <c r="Q184" s="16">
        <f t="shared" si="157"/>
        <v>389.104211</v>
      </c>
      <c r="R184" s="14">
        <f t="shared" si="158"/>
        <v>430.44</v>
      </c>
      <c r="S184" s="16">
        <f t="shared" si="159"/>
        <v>-41.335789</v>
      </c>
      <c r="T184" s="14">
        <v>47</v>
      </c>
      <c r="U184" s="15">
        <f t="shared" si="160"/>
        <v>56.4042553191489</v>
      </c>
      <c r="V184" s="14">
        <f t="shared" si="161"/>
        <v>0.276355</v>
      </c>
      <c r="W184" s="16">
        <f t="shared" si="162"/>
        <v>688.6600787</v>
      </c>
      <c r="X184" s="14">
        <f t="shared" si="163"/>
        <v>773.08</v>
      </c>
      <c r="Y184" s="16">
        <f t="shared" si="164"/>
        <v>-84.4199213000001</v>
      </c>
      <c r="Z184" s="17">
        <v>4</v>
      </c>
      <c r="AA184" s="17">
        <v>3</v>
      </c>
      <c r="AB184" s="17">
        <v>0</v>
      </c>
      <c r="AC184" s="17">
        <v>0</v>
      </c>
      <c r="AD184" s="16">
        <f t="shared" si="165"/>
        <v>125.790995158687</v>
      </c>
      <c r="AE184" s="18">
        <f t="shared" si="166"/>
        <v>-535.85892768091</v>
      </c>
      <c r="AF184" s="1">
        <f t="shared" si="167"/>
        <v>94</v>
      </c>
      <c r="AG184" s="1">
        <f>'[1]8'!BH9</f>
        <v>94</v>
      </c>
    </row>
    <row r="185" s="1" customFormat="1" spans="1:33">
      <c r="A185" s="9">
        <v>46120</v>
      </c>
      <c r="B185" s="10" t="s">
        <v>41</v>
      </c>
      <c r="C185" s="10" t="s">
        <v>42</v>
      </c>
      <c r="D185" s="11" t="s">
        <v>34</v>
      </c>
      <c r="E185" s="12">
        <v>1012</v>
      </c>
      <c r="F185" s="12">
        <v>2386</v>
      </c>
      <c r="G185" s="13">
        <v>4536</v>
      </c>
      <c r="H185" s="14">
        <v>4</v>
      </c>
      <c r="I185" s="14">
        <f t="shared" si="151"/>
        <v>100.75</v>
      </c>
      <c r="J185" s="14">
        <v>9</v>
      </c>
      <c r="K185" s="15">
        <f t="shared" si="152"/>
        <v>112.444444444444</v>
      </c>
      <c r="L185" s="14">
        <f t="shared" ref="L185:L195" si="168">J185*14.54+21</f>
        <v>151.86</v>
      </c>
      <c r="M185" s="16">
        <f t="shared" si="154"/>
        <v>-151.86</v>
      </c>
      <c r="N185" s="14">
        <v>12</v>
      </c>
      <c r="O185" s="15">
        <f t="shared" si="155"/>
        <v>378</v>
      </c>
      <c r="P185" s="14">
        <f t="shared" si="156"/>
        <v>0.06859</v>
      </c>
      <c r="Q185" s="16">
        <f t="shared" si="157"/>
        <v>292.4567856</v>
      </c>
      <c r="R185" s="14">
        <f t="shared" ref="R185:R195" si="169">N185*14.54+21</f>
        <v>195.48</v>
      </c>
      <c r="S185" s="16">
        <f t="shared" si="159"/>
        <v>96.9767856</v>
      </c>
      <c r="T185" s="14">
        <v>32</v>
      </c>
      <c r="U185" s="15">
        <f t="shared" si="160"/>
        <v>74.5625</v>
      </c>
      <c r="V185" s="14">
        <f t="shared" si="161"/>
        <v>0.276355</v>
      </c>
      <c r="W185" s="16">
        <f t="shared" si="162"/>
        <v>619.8200482</v>
      </c>
      <c r="X185" s="14">
        <f t="shared" si="163"/>
        <v>553.78</v>
      </c>
      <c r="Y185" s="16">
        <f t="shared" si="164"/>
        <v>66.0400482</v>
      </c>
      <c r="Z185" s="17">
        <v>0</v>
      </c>
      <c r="AA185" s="17">
        <v>2</v>
      </c>
      <c r="AB185" s="17">
        <v>1</v>
      </c>
      <c r="AC185" s="17">
        <v>0</v>
      </c>
      <c r="AD185" s="16">
        <f t="shared" si="165"/>
        <v>70.7197131074054</v>
      </c>
      <c r="AE185" s="18">
        <f t="shared" si="166"/>
        <v>-160.312879307405</v>
      </c>
      <c r="AF185" s="1">
        <f t="shared" si="167"/>
        <v>56</v>
      </c>
      <c r="AG185" s="1">
        <f>'[1]8'!BH10</f>
        <v>56</v>
      </c>
    </row>
    <row r="186" s="1" customFormat="1" spans="1:33">
      <c r="A186" s="9">
        <v>46120</v>
      </c>
      <c r="B186" s="10" t="s">
        <v>43</v>
      </c>
      <c r="C186" s="10" t="s">
        <v>42</v>
      </c>
      <c r="D186" s="11" t="s">
        <v>34</v>
      </c>
      <c r="E186" s="12">
        <v>1735</v>
      </c>
      <c r="F186" s="12">
        <v>406</v>
      </c>
      <c r="G186" s="13">
        <v>2838</v>
      </c>
      <c r="H186" s="14">
        <v>4</v>
      </c>
      <c r="I186" s="14">
        <f t="shared" si="151"/>
        <v>100.75</v>
      </c>
      <c r="J186" s="14">
        <v>9</v>
      </c>
      <c r="K186" s="15">
        <f t="shared" si="152"/>
        <v>192.777777777778</v>
      </c>
      <c r="L186" s="14">
        <f t="shared" si="168"/>
        <v>151.86</v>
      </c>
      <c r="M186" s="16">
        <f t="shared" si="154"/>
        <v>-151.86</v>
      </c>
      <c r="N186" s="14">
        <v>12</v>
      </c>
      <c r="O186" s="15">
        <f t="shared" si="155"/>
        <v>236.5</v>
      </c>
      <c r="P186" s="14">
        <f t="shared" si="156"/>
        <v>0.06859</v>
      </c>
      <c r="Q186" s="16">
        <f t="shared" si="157"/>
        <v>182.9789148</v>
      </c>
      <c r="R186" s="14">
        <f t="shared" si="169"/>
        <v>195.48</v>
      </c>
      <c r="S186" s="16">
        <f t="shared" si="159"/>
        <v>-12.5010852</v>
      </c>
      <c r="T186" s="14">
        <v>32</v>
      </c>
      <c r="U186" s="15">
        <f t="shared" si="160"/>
        <v>12.6875</v>
      </c>
      <c r="V186" s="14">
        <f t="shared" si="161"/>
        <v>0.276355</v>
      </c>
      <c r="W186" s="16">
        <f t="shared" si="162"/>
        <v>105.4681222</v>
      </c>
      <c r="X186" s="14">
        <f t="shared" si="163"/>
        <v>553.78</v>
      </c>
      <c r="Y186" s="16">
        <f t="shared" si="164"/>
        <v>-448.3118778</v>
      </c>
      <c r="Z186" s="17">
        <v>0</v>
      </c>
      <c r="AA186" s="17">
        <v>2</v>
      </c>
      <c r="AB186" s="17">
        <v>1</v>
      </c>
      <c r="AC186" s="17">
        <v>0</v>
      </c>
      <c r="AD186" s="16">
        <f t="shared" si="165"/>
        <v>70.7197131074054</v>
      </c>
      <c r="AE186" s="18">
        <f t="shared" si="166"/>
        <v>-784.142676107405</v>
      </c>
      <c r="AF186" s="1">
        <f t="shared" si="167"/>
        <v>56</v>
      </c>
      <c r="AG186" s="1">
        <f>'[1]8'!BH11</f>
        <v>56</v>
      </c>
    </row>
    <row r="187" s="1" customFormat="1" spans="1:33">
      <c r="A187" s="9">
        <v>46120</v>
      </c>
      <c r="B187" s="10" t="s">
        <v>44</v>
      </c>
      <c r="C187" s="10" t="s">
        <v>42</v>
      </c>
      <c r="D187" s="11" t="s">
        <v>34</v>
      </c>
      <c r="E187" s="12">
        <v>3817</v>
      </c>
      <c r="F187" s="12">
        <v>2756</v>
      </c>
      <c r="G187" s="13">
        <v>9419</v>
      </c>
      <c r="H187" s="14">
        <v>4</v>
      </c>
      <c r="I187" s="14">
        <f t="shared" si="151"/>
        <v>100.75</v>
      </c>
      <c r="J187" s="14">
        <v>12</v>
      </c>
      <c r="K187" s="15">
        <f t="shared" si="152"/>
        <v>318.083333333333</v>
      </c>
      <c r="L187" s="14">
        <f t="shared" si="168"/>
        <v>195.48</v>
      </c>
      <c r="M187" s="16">
        <f t="shared" si="154"/>
        <v>-195.48</v>
      </c>
      <c r="N187" s="14">
        <v>14</v>
      </c>
      <c r="O187" s="15">
        <f t="shared" si="155"/>
        <v>672.785714285714</v>
      </c>
      <c r="P187" s="14">
        <f t="shared" si="156"/>
        <v>0.06859</v>
      </c>
      <c r="Q187" s="16">
        <f t="shared" si="157"/>
        <v>607.2862574</v>
      </c>
      <c r="R187" s="14">
        <f t="shared" si="169"/>
        <v>224.56</v>
      </c>
      <c r="S187" s="16">
        <f t="shared" si="159"/>
        <v>382.7262574</v>
      </c>
      <c r="T187" s="14">
        <v>27</v>
      </c>
      <c r="U187" s="15">
        <f t="shared" si="160"/>
        <v>102.074074074074</v>
      </c>
      <c r="V187" s="14">
        <f t="shared" si="161"/>
        <v>0.276355</v>
      </c>
      <c r="W187" s="16">
        <f t="shared" si="162"/>
        <v>715.9363172</v>
      </c>
      <c r="X187" s="14">
        <f t="shared" si="163"/>
        <v>480.68</v>
      </c>
      <c r="Y187" s="16">
        <f t="shared" si="164"/>
        <v>235.2563172</v>
      </c>
      <c r="Z187" s="17">
        <v>0</v>
      </c>
      <c r="AA187" s="17">
        <v>2</v>
      </c>
      <c r="AB187" s="17">
        <v>1</v>
      </c>
      <c r="AC187" s="17">
        <v>0</v>
      </c>
      <c r="AD187" s="16">
        <f t="shared" si="165"/>
        <v>70.7197131074054</v>
      </c>
      <c r="AE187" s="18">
        <f t="shared" si="166"/>
        <v>251.032861492594</v>
      </c>
      <c r="AF187" s="1">
        <f t="shared" si="167"/>
        <v>56</v>
      </c>
      <c r="AG187" s="1">
        <f>'[1]8'!BH12</f>
        <v>56</v>
      </c>
    </row>
    <row r="188" s="1" customFormat="1" spans="1:33">
      <c r="A188" s="9">
        <v>46120</v>
      </c>
      <c r="B188" s="10" t="s">
        <v>45</v>
      </c>
      <c r="C188" s="10" t="s">
        <v>42</v>
      </c>
      <c r="D188" s="11" t="s">
        <v>34</v>
      </c>
      <c r="E188" s="12">
        <v>501</v>
      </c>
      <c r="F188" s="12">
        <v>162</v>
      </c>
      <c r="G188" s="13">
        <v>198</v>
      </c>
      <c r="H188" s="14">
        <v>4</v>
      </c>
      <c r="I188" s="14">
        <f t="shared" si="151"/>
        <v>100.75</v>
      </c>
      <c r="J188" s="14">
        <v>12</v>
      </c>
      <c r="K188" s="15">
        <f t="shared" si="152"/>
        <v>41.75</v>
      </c>
      <c r="L188" s="14">
        <f t="shared" si="168"/>
        <v>195.48</v>
      </c>
      <c r="M188" s="16">
        <f t="shared" si="154"/>
        <v>-195.48</v>
      </c>
      <c r="N188" s="14">
        <v>14</v>
      </c>
      <c r="O188" s="15">
        <f t="shared" si="155"/>
        <v>14.1428571428571</v>
      </c>
      <c r="P188" s="14">
        <f t="shared" si="156"/>
        <v>0.06859</v>
      </c>
      <c r="Q188" s="16">
        <f t="shared" si="157"/>
        <v>12.7659708</v>
      </c>
      <c r="R188" s="14">
        <f t="shared" si="169"/>
        <v>224.56</v>
      </c>
      <c r="S188" s="16">
        <f t="shared" si="159"/>
        <v>-211.7940292</v>
      </c>
      <c r="T188" s="14">
        <v>27</v>
      </c>
      <c r="U188" s="15">
        <f t="shared" si="160"/>
        <v>6</v>
      </c>
      <c r="V188" s="14">
        <f t="shared" si="161"/>
        <v>0.276355</v>
      </c>
      <c r="W188" s="16">
        <f t="shared" si="162"/>
        <v>42.0833394</v>
      </c>
      <c r="X188" s="14">
        <f t="shared" si="163"/>
        <v>480.68</v>
      </c>
      <c r="Y188" s="16">
        <f t="shared" si="164"/>
        <v>-438.5966606</v>
      </c>
      <c r="Z188" s="17">
        <v>0</v>
      </c>
      <c r="AA188" s="17">
        <v>2</v>
      </c>
      <c r="AB188" s="17">
        <v>1</v>
      </c>
      <c r="AC188" s="17">
        <v>0</v>
      </c>
      <c r="AD188" s="16">
        <f t="shared" si="165"/>
        <v>70.7197131074054</v>
      </c>
      <c r="AE188" s="18">
        <f t="shared" si="166"/>
        <v>-1017.34040290741</v>
      </c>
      <c r="AF188" s="1">
        <f t="shared" si="167"/>
        <v>56</v>
      </c>
      <c r="AG188" s="1">
        <f>'[1]8'!BH13</f>
        <v>56</v>
      </c>
    </row>
    <row r="189" s="1" customFormat="1" spans="1:33">
      <c r="A189" s="9">
        <v>46120</v>
      </c>
      <c r="B189" s="10" t="s">
        <v>46</v>
      </c>
      <c r="C189" s="10" t="s">
        <v>42</v>
      </c>
      <c r="D189" s="10" t="s">
        <v>47</v>
      </c>
      <c r="E189" s="12">
        <v>5783</v>
      </c>
      <c r="F189" s="12">
        <v>2079</v>
      </c>
      <c r="G189" s="13">
        <v>108</v>
      </c>
      <c r="H189" s="14">
        <v>4</v>
      </c>
      <c r="I189" s="14">
        <f t="shared" si="151"/>
        <v>100.75</v>
      </c>
      <c r="J189" s="14">
        <v>13</v>
      </c>
      <c r="K189" s="15">
        <f t="shared" si="152"/>
        <v>444.846153846154</v>
      </c>
      <c r="L189" s="14">
        <f t="shared" si="168"/>
        <v>210.02</v>
      </c>
      <c r="M189" s="16">
        <f t="shared" si="154"/>
        <v>-210.02</v>
      </c>
      <c r="N189" s="14">
        <v>16</v>
      </c>
      <c r="O189" s="15">
        <f t="shared" si="155"/>
        <v>6.75</v>
      </c>
      <c r="P189" s="14">
        <f t="shared" si="156"/>
        <v>0.06859</v>
      </c>
      <c r="Q189" s="16">
        <f t="shared" si="157"/>
        <v>6.9632568</v>
      </c>
      <c r="R189" s="14">
        <f t="shared" si="169"/>
        <v>253.64</v>
      </c>
      <c r="S189" s="16">
        <f t="shared" si="159"/>
        <v>-246.6767432</v>
      </c>
      <c r="T189" s="14">
        <v>30</v>
      </c>
      <c r="U189" s="15">
        <f t="shared" si="160"/>
        <v>69.3</v>
      </c>
      <c r="V189" s="14">
        <f t="shared" si="161"/>
        <v>0.276355</v>
      </c>
      <c r="W189" s="16">
        <f t="shared" si="162"/>
        <v>540.0695223</v>
      </c>
      <c r="X189" s="14">
        <f t="shared" si="163"/>
        <v>524.54</v>
      </c>
      <c r="Y189" s="16">
        <f t="shared" si="164"/>
        <v>15.5295222999999</v>
      </c>
      <c r="Z189" s="17">
        <v>0</v>
      </c>
      <c r="AA189" s="17">
        <v>2</v>
      </c>
      <c r="AB189" s="17">
        <v>1</v>
      </c>
      <c r="AC189" s="17">
        <v>0</v>
      </c>
      <c r="AD189" s="16">
        <f t="shared" si="165"/>
        <v>70.7197131074054</v>
      </c>
      <c r="AE189" s="18">
        <f t="shared" si="166"/>
        <v>-612.636934007405</v>
      </c>
      <c r="AF189" s="1">
        <f t="shared" si="167"/>
        <v>62</v>
      </c>
      <c r="AG189" s="1">
        <f>'[1]8'!BH14</f>
        <v>62</v>
      </c>
    </row>
    <row r="190" s="1" customFormat="1" spans="1:33">
      <c r="A190" s="9">
        <v>46120</v>
      </c>
      <c r="B190" s="10" t="s">
        <v>48</v>
      </c>
      <c r="C190" s="10" t="s">
        <v>42</v>
      </c>
      <c r="D190" s="10" t="s">
        <v>49</v>
      </c>
      <c r="E190" s="12">
        <v>15494</v>
      </c>
      <c r="F190" s="12">
        <v>6447</v>
      </c>
      <c r="G190" s="13">
        <v>15</v>
      </c>
      <c r="H190" s="14">
        <v>4</v>
      </c>
      <c r="I190" s="14">
        <f t="shared" si="151"/>
        <v>100.75</v>
      </c>
      <c r="J190" s="14">
        <v>18</v>
      </c>
      <c r="K190" s="15">
        <f t="shared" si="152"/>
        <v>860.777777777778</v>
      </c>
      <c r="L190" s="14">
        <f t="shared" si="168"/>
        <v>282.72</v>
      </c>
      <c r="M190" s="16">
        <f t="shared" si="154"/>
        <v>-282.72</v>
      </c>
      <c r="N190" s="14">
        <v>4</v>
      </c>
      <c r="O190" s="15">
        <f t="shared" si="155"/>
        <v>3.75</v>
      </c>
      <c r="P190" s="14">
        <f t="shared" si="156"/>
        <v>0.06859</v>
      </c>
      <c r="Q190" s="16">
        <f t="shared" si="157"/>
        <v>0.967119</v>
      </c>
      <c r="R190" s="14">
        <f t="shared" si="169"/>
        <v>79.16</v>
      </c>
      <c r="S190" s="16">
        <f t="shared" si="159"/>
        <v>-78.192881</v>
      </c>
      <c r="T190" s="14">
        <v>37</v>
      </c>
      <c r="U190" s="15">
        <f t="shared" si="160"/>
        <v>174.243243243243</v>
      </c>
      <c r="V190" s="14">
        <f t="shared" si="161"/>
        <v>0.276355</v>
      </c>
      <c r="W190" s="16">
        <f t="shared" si="162"/>
        <v>1674.7610439</v>
      </c>
      <c r="X190" s="14">
        <f t="shared" si="163"/>
        <v>626.88</v>
      </c>
      <c r="Y190" s="16">
        <f t="shared" si="164"/>
        <v>1047.8810439</v>
      </c>
      <c r="Z190" s="17">
        <v>0</v>
      </c>
      <c r="AA190" s="17">
        <v>2</v>
      </c>
      <c r="AB190" s="17">
        <v>1</v>
      </c>
      <c r="AC190" s="17">
        <v>0</v>
      </c>
      <c r="AD190" s="16">
        <f t="shared" si="165"/>
        <v>70.7197131074054</v>
      </c>
      <c r="AE190" s="18">
        <f t="shared" si="166"/>
        <v>515.498449792595</v>
      </c>
      <c r="AF190" s="1">
        <f t="shared" si="167"/>
        <v>62</v>
      </c>
      <c r="AG190" s="1">
        <f>'[1]8'!BH15</f>
        <v>62</v>
      </c>
    </row>
    <row r="191" s="1" customFormat="1" spans="1:33">
      <c r="A191" s="9">
        <v>46120</v>
      </c>
      <c r="B191" s="10" t="s">
        <v>50</v>
      </c>
      <c r="C191" s="10" t="s">
        <v>42</v>
      </c>
      <c r="D191" s="10" t="s">
        <v>49</v>
      </c>
      <c r="E191" s="12">
        <v>7807</v>
      </c>
      <c r="F191" s="12">
        <v>2601</v>
      </c>
      <c r="G191" s="13">
        <v>5148</v>
      </c>
      <c r="H191" s="14">
        <v>4</v>
      </c>
      <c r="I191" s="14">
        <f t="shared" si="151"/>
        <v>100.75</v>
      </c>
      <c r="J191" s="14">
        <v>12</v>
      </c>
      <c r="K191" s="15">
        <f t="shared" si="152"/>
        <v>650.583333333333</v>
      </c>
      <c r="L191" s="14">
        <f t="shared" si="168"/>
        <v>195.48</v>
      </c>
      <c r="M191" s="16">
        <f t="shared" si="154"/>
        <v>-195.48</v>
      </c>
      <c r="N191" s="14">
        <v>16</v>
      </c>
      <c r="O191" s="15">
        <f t="shared" si="155"/>
        <v>321.75</v>
      </c>
      <c r="P191" s="14">
        <f t="shared" si="156"/>
        <v>0.06859</v>
      </c>
      <c r="Q191" s="16">
        <f t="shared" si="157"/>
        <v>331.9152408</v>
      </c>
      <c r="R191" s="14">
        <f t="shared" si="169"/>
        <v>253.64</v>
      </c>
      <c r="S191" s="16">
        <f t="shared" si="159"/>
        <v>78.2752408</v>
      </c>
      <c r="T191" s="14">
        <v>31</v>
      </c>
      <c r="U191" s="15">
        <f t="shared" si="160"/>
        <v>83.9032258064516</v>
      </c>
      <c r="V191" s="14">
        <f t="shared" si="161"/>
        <v>0.276355</v>
      </c>
      <c r="W191" s="16">
        <f t="shared" si="162"/>
        <v>675.6713937</v>
      </c>
      <c r="X191" s="14">
        <f t="shared" si="163"/>
        <v>539.16</v>
      </c>
      <c r="Y191" s="16">
        <f t="shared" si="164"/>
        <v>136.5113937</v>
      </c>
      <c r="Z191" s="17">
        <v>0</v>
      </c>
      <c r="AA191" s="17">
        <v>2</v>
      </c>
      <c r="AB191" s="17">
        <v>1</v>
      </c>
      <c r="AC191" s="17">
        <v>0</v>
      </c>
      <c r="AD191" s="16">
        <f t="shared" si="165"/>
        <v>70.7197131074054</v>
      </c>
      <c r="AE191" s="18">
        <f t="shared" si="166"/>
        <v>-152.163078607406</v>
      </c>
      <c r="AF191" s="1">
        <f t="shared" si="167"/>
        <v>62</v>
      </c>
      <c r="AG191" s="1">
        <f>'[1]8'!BH16</f>
        <v>62</v>
      </c>
    </row>
    <row r="192" s="1" customFormat="1" spans="1:33">
      <c r="A192" s="9">
        <v>46120</v>
      </c>
      <c r="B192" s="10" t="s">
        <v>51</v>
      </c>
      <c r="C192" s="10" t="s">
        <v>42</v>
      </c>
      <c r="D192" s="10" t="s">
        <v>49</v>
      </c>
      <c r="E192" s="12">
        <v>5350</v>
      </c>
      <c r="F192" s="12">
        <v>1373</v>
      </c>
      <c r="G192" s="13">
        <v>7939</v>
      </c>
      <c r="H192" s="14">
        <v>4</v>
      </c>
      <c r="I192" s="14">
        <f t="shared" si="151"/>
        <v>100.75</v>
      </c>
      <c r="J192" s="14">
        <v>12</v>
      </c>
      <c r="K192" s="15">
        <f t="shared" si="152"/>
        <v>445.833333333333</v>
      </c>
      <c r="L192" s="14">
        <f t="shared" si="168"/>
        <v>195.48</v>
      </c>
      <c r="M192" s="16">
        <f t="shared" si="154"/>
        <v>-195.48</v>
      </c>
      <c r="N192" s="14">
        <v>16</v>
      </c>
      <c r="O192" s="15">
        <f t="shared" si="155"/>
        <v>496.1875</v>
      </c>
      <c r="P192" s="14">
        <f t="shared" si="156"/>
        <v>0.06859</v>
      </c>
      <c r="Q192" s="16">
        <f t="shared" si="157"/>
        <v>511.8638494</v>
      </c>
      <c r="R192" s="14">
        <f t="shared" si="169"/>
        <v>253.64</v>
      </c>
      <c r="S192" s="16">
        <f t="shared" si="159"/>
        <v>258.2238494</v>
      </c>
      <c r="T192" s="14">
        <v>31</v>
      </c>
      <c r="U192" s="15">
        <f t="shared" si="160"/>
        <v>44.2903225806452</v>
      </c>
      <c r="V192" s="14">
        <f t="shared" si="161"/>
        <v>0.276355</v>
      </c>
      <c r="W192" s="16">
        <f t="shared" si="162"/>
        <v>356.6692901</v>
      </c>
      <c r="X192" s="14">
        <f t="shared" si="163"/>
        <v>539.16</v>
      </c>
      <c r="Y192" s="16">
        <f t="shared" si="164"/>
        <v>-182.4907099</v>
      </c>
      <c r="Z192" s="17">
        <v>0</v>
      </c>
      <c r="AA192" s="17">
        <v>2</v>
      </c>
      <c r="AB192" s="17">
        <v>1</v>
      </c>
      <c r="AC192" s="17">
        <v>0</v>
      </c>
      <c r="AD192" s="16">
        <f t="shared" si="165"/>
        <v>70.7197131074054</v>
      </c>
      <c r="AE192" s="18">
        <f t="shared" si="166"/>
        <v>-291.216573607406</v>
      </c>
      <c r="AF192" s="1">
        <f t="shared" si="167"/>
        <v>62</v>
      </c>
      <c r="AG192" s="1">
        <f>'[1]8'!BH17</f>
        <v>62</v>
      </c>
    </row>
    <row r="193" s="1" customFormat="1" spans="1:33">
      <c r="A193" s="9">
        <v>46120</v>
      </c>
      <c r="B193" s="10" t="s">
        <v>52</v>
      </c>
      <c r="C193" s="10" t="s">
        <v>42</v>
      </c>
      <c r="D193" s="11" t="s">
        <v>34</v>
      </c>
      <c r="E193" s="12">
        <v>0</v>
      </c>
      <c r="F193" s="12">
        <v>3773</v>
      </c>
      <c r="G193" s="13">
        <v>7371</v>
      </c>
      <c r="H193" s="14">
        <v>4</v>
      </c>
      <c r="I193" s="14">
        <f t="shared" si="151"/>
        <v>100.75</v>
      </c>
      <c r="J193" s="14">
        <v>12</v>
      </c>
      <c r="K193" s="15">
        <f t="shared" si="152"/>
        <v>0</v>
      </c>
      <c r="L193" s="14">
        <f t="shared" si="168"/>
        <v>195.48</v>
      </c>
      <c r="M193" s="16">
        <f t="shared" si="154"/>
        <v>-195.48</v>
      </c>
      <c r="N193" s="14">
        <v>16</v>
      </c>
      <c r="O193" s="15">
        <f t="shared" si="155"/>
        <v>460.6875</v>
      </c>
      <c r="P193" s="14">
        <f t="shared" si="156"/>
        <v>0.06859</v>
      </c>
      <c r="Q193" s="16">
        <f t="shared" si="157"/>
        <v>475.2422766</v>
      </c>
      <c r="R193" s="14">
        <f t="shared" si="169"/>
        <v>253.64</v>
      </c>
      <c r="S193" s="16">
        <f t="shared" si="159"/>
        <v>221.6022766</v>
      </c>
      <c r="T193" s="14">
        <v>31</v>
      </c>
      <c r="U193" s="15">
        <f t="shared" si="160"/>
        <v>121.709677419355</v>
      </c>
      <c r="V193" s="14">
        <f t="shared" si="161"/>
        <v>0.276355</v>
      </c>
      <c r="W193" s="16">
        <f t="shared" si="162"/>
        <v>980.1261701</v>
      </c>
      <c r="X193" s="14">
        <f t="shared" si="163"/>
        <v>539.16</v>
      </c>
      <c r="Y193" s="16">
        <f t="shared" si="164"/>
        <v>440.9661701</v>
      </c>
      <c r="Z193" s="17">
        <v>0</v>
      </c>
      <c r="AA193" s="17">
        <v>2</v>
      </c>
      <c r="AB193" s="17">
        <v>1</v>
      </c>
      <c r="AC193" s="17">
        <v>0</v>
      </c>
      <c r="AD193" s="16">
        <f t="shared" si="165"/>
        <v>70.7197131074054</v>
      </c>
      <c r="AE193" s="18">
        <f t="shared" si="166"/>
        <v>295.618733592594</v>
      </c>
      <c r="AF193" s="1">
        <f t="shared" si="167"/>
        <v>62</v>
      </c>
      <c r="AG193" s="1">
        <f>'[1]8'!BH18</f>
        <v>62</v>
      </c>
    </row>
    <row r="194" s="1" customFormat="1" spans="1:33">
      <c r="A194" s="9">
        <v>46120</v>
      </c>
      <c r="B194" s="10" t="s">
        <v>53</v>
      </c>
      <c r="C194" s="10" t="s">
        <v>42</v>
      </c>
      <c r="D194" s="11" t="s">
        <v>34</v>
      </c>
      <c r="E194" s="12">
        <v>0</v>
      </c>
      <c r="F194" s="12">
        <v>2631</v>
      </c>
      <c r="G194" s="13">
        <v>14176</v>
      </c>
      <c r="H194" s="14">
        <v>4</v>
      </c>
      <c r="I194" s="14">
        <f t="shared" si="151"/>
        <v>100.75</v>
      </c>
      <c r="J194" s="14">
        <v>12</v>
      </c>
      <c r="K194" s="15">
        <f t="shared" si="152"/>
        <v>0</v>
      </c>
      <c r="L194" s="14">
        <f t="shared" si="168"/>
        <v>195.48</v>
      </c>
      <c r="M194" s="16">
        <f t="shared" si="154"/>
        <v>-195.48</v>
      </c>
      <c r="N194" s="14">
        <v>16</v>
      </c>
      <c r="O194" s="15">
        <f t="shared" si="155"/>
        <v>886</v>
      </c>
      <c r="P194" s="14">
        <f t="shared" si="156"/>
        <v>0.06859</v>
      </c>
      <c r="Q194" s="16">
        <f t="shared" si="157"/>
        <v>913.9919296</v>
      </c>
      <c r="R194" s="14">
        <f t="shared" si="169"/>
        <v>253.64</v>
      </c>
      <c r="S194" s="16">
        <f t="shared" si="159"/>
        <v>660.3519296</v>
      </c>
      <c r="T194" s="14">
        <v>31</v>
      </c>
      <c r="U194" s="15">
        <f t="shared" si="160"/>
        <v>84.8709677419355</v>
      </c>
      <c r="V194" s="14">
        <f t="shared" si="161"/>
        <v>0.276355</v>
      </c>
      <c r="W194" s="16">
        <f t="shared" si="162"/>
        <v>683.4646047</v>
      </c>
      <c r="X194" s="14">
        <f t="shared" si="163"/>
        <v>539.16</v>
      </c>
      <c r="Y194" s="16">
        <f t="shared" si="164"/>
        <v>144.3046047</v>
      </c>
      <c r="Z194" s="17">
        <v>0</v>
      </c>
      <c r="AA194" s="17">
        <v>2</v>
      </c>
      <c r="AB194" s="17">
        <v>1</v>
      </c>
      <c r="AC194" s="17">
        <v>0</v>
      </c>
      <c r="AD194" s="16">
        <f t="shared" si="165"/>
        <v>70.7197131074054</v>
      </c>
      <c r="AE194" s="18">
        <f t="shared" si="166"/>
        <v>437.706821192594</v>
      </c>
      <c r="AF194" s="1">
        <f t="shared" si="167"/>
        <v>62</v>
      </c>
      <c r="AG194" s="1">
        <f>'[1]8'!BH19</f>
        <v>62</v>
      </c>
    </row>
    <row r="195" s="1" customFormat="1" spans="1:33">
      <c r="A195" s="9">
        <v>46120</v>
      </c>
      <c r="B195" s="10" t="s">
        <v>54</v>
      </c>
      <c r="C195" s="10" t="s">
        <v>42</v>
      </c>
      <c r="D195" s="10" t="s">
        <v>49</v>
      </c>
      <c r="E195" s="12">
        <v>11635</v>
      </c>
      <c r="F195" s="12">
        <v>3387</v>
      </c>
      <c r="G195" s="13">
        <v>25</v>
      </c>
      <c r="H195" s="14">
        <v>4</v>
      </c>
      <c r="I195" s="14">
        <f t="shared" si="151"/>
        <v>100.75</v>
      </c>
      <c r="J195" s="14">
        <v>12</v>
      </c>
      <c r="K195" s="15">
        <f t="shared" si="152"/>
        <v>969.583333333333</v>
      </c>
      <c r="L195" s="14">
        <f t="shared" si="168"/>
        <v>195.48</v>
      </c>
      <c r="M195" s="16">
        <f t="shared" si="154"/>
        <v>-195.48</v>
      </c>
      <c r="N195" s="14">
        <v>16</v>
      </c>
      <c r="O195" s="15">
        <f t="shared" si="155"/>
        <v>1.5625</v>
      </c>
      <c r="P195" s="14">
        <f t="shared" si="156"/>
        <v>0.06859</v>
      </c>
      <c r="Q195" s="16">
        <f t="shared" si="157"/>
        <v>1.611865</v>
      </c>
      <c r="R195" s="14">
        <f t="shared" si="169"/>
        <v>253.64</v>
      </c>
      <c r="S195" s="16">
        <f t="shared" si="159"/>
        <v>-252.028135</v>
      </c>
      <c r="T195" s="14">
        <v>31</v>
      </c>
      <c r="U195" s="15">
        <f t="shared" si="160"/>
        <v>109.258064516129</v>
      </c>
      <c r="V195" s="14">
        <f t="shared" si="161"/>
        <v>0.276355</v>
      </c>
      <c r="W195" s="16">
        <f t="shared" si="162"/>
        <v>879.8535219</v>
      </c>
      <c r="X195" s="14">
        <f t="shared" si="163"/>
        <v>539.16</v>
      </c>
      <c r="Y195" s="16">
        <f t="shared" si="164"/>
        <v>340.6935219</v>
      </c>
      <c r="Z195" s="17">
        <v>0</v>
      </c>
      <c r="AA195" s="17">
        <v>2</v>
      </c>
      <c r="AB195" s="17">
        <v>1</v>
      </c>
      <c r="AC195" s="17">
        <v>0</v>
      </c>
      <c r="AD195" s="16">
        <f t="shared" si="165"/>
        <v>70.7197131074054</v>
      </c>
      <c r="AE195" s="18">
        <f t="shared" si="166"/>
        <v>-278.284326207406</v>
      </c>
      <c r="AF195" s="1">
        <f t="shared" si="167"/>
        <v>62</v>
      </c>
      <c r="AG195" s="1">
        <f>'[1]8'!BH20</f>
        <v>62</v>
      </c>
    </row>
    <row r="196" s="1" customFormat="1" spans="1:33">
      <c r="A196" s="9">
        <v>46120</v>
      </c>
      <c r="B196" s="10" t="s">
        <v>55</v>
      </c>
      <c r="C196" s="10" t="s">
        <v>33</v>
      </c>
      <c r="D196" s="10" t="s">
        <v>49</v>
      </c>
      <c r="E196" s="12">
        <v>7162</v>
      </c>
      <c r="F196" s="12">
        <v>2478</v>
      </c>
      <c r="G196" s="13">
        <v>1502</v>
      </c>
      <c r="H196" s="14">
        <v>2</v>
      </c>
      <c r="I196" s="14">
        <f t="shared" si="151"/>
        <v>44.0122222222222</v>
      </c>
      <c r="J196" s="14">
        <v>25</v>
      </c>
      <c r="K196" s="15">
        <f t="shared" si="152"/>
        <v>286.48</v>
      </c>
      <c r="L196" s="14">
        <f t="shared" ref="L196:L201" si="170">J196*14.62+21</f>
        <v>386.5</v>
      </c>
      <c r="M196" s="16">
        <f t="shared" si="154"/>
        <v>-386.5</v>
      </c>
      <c r="N196" s="14">
        <v>18</v>
      </c>
      <c r="O196" s="15">
        <f t="shared" si="155"/>
        <v>83.4444444444444</v>
      </c>
      <c r="P196" s="14">
        <f t="shared" si="156"/>
        <v>0.06859</v>
      </c>
      <c r="Q196" s="16">
        <f t="shared" si="157"/>
        <v>96.8408492</v>
      </c>
      <c r="R196" s="14">
        <f t="shared" ref="R196:R201" si="171">(N196-13)*14.62+13*18+21</f>
        <v>328.1</v>
      </c>
      <c r="S196" s="16">
        <f t="shared" si="159"/>
        <v>-231.2591508</v>
      </c>
      <c r="T196" s="14">
        <v>50</v>
      </c>
      <c r="U196" s="15">
        <f t="shared" si="160"/>
        <v>49.56</v>
      </c>
      <c r="V196" s="14">
        <f t="shared" si="161"/>
        <v>0.276355</v>
      </c>
      <c r="W196" s="16">
        <f t="shared" si="162"/>
        <v>643.7192286</v>
      </c>
      <c r="X196" s="14">
        <f t="shared" si="163"/>
        <v>816.94</v>
      </c>
      <c r="Y196" s="16">
        <f t="shared" si="164"/>
        <v>-173.2207714</v>
      </c>
      <c r="Z196" s="17">
        <v>4</v>
      </c>
      <c r="AA196" s="17">
        <v>3</v>
      </c>
      <c r="AB196" s="17">
        <v>0</v>
      </c>
      <c r="AC196" s="17">
        <v>0</v>
      </c>
      <c r="AD196" s="16">
        <f t="shared" si="165"/>
        <v>125.790995158687</v>
      </c>
      <c r="AE196" s="18">
        <f t="shared" si="166"/>
        <v>-960.78313958091</v>
      </c>
      <c r="AF196" s="1">
        <f t="shared" si="167"/>
        <v>100</v>
      </c>
      <c r="AG196" s="1">
        <f>'[1]8'!BH21</f>
        <v>100</v>
      </c>
    </row>
    <row r="197" s="1" customFormat="1" spans="1:33">
      <c r="A197" s="9">
        <v>46120</v>
      </c>
      <c r="B197" s="10" t="s">
        <v>56</v>
      </c>
      <c r="C197" s="10" t="s">
        <v>33</v>
      </c>
      <c r="D197" s="10" t="s">
        <v>49</v>
      </c>
      <c r="E197" s="12">
        <v>36383</v>
      </c>
      <c r="F197" s="12">
        <v>4544</v>
      </c>
      <c r="G197" s="13">
        <v>13682</v>
      </c>
      <c r="H197" s="14">
        <v>2</v>
      </c>
      <c r="I197" s="14">
        <f t="shared" si="151"/>
        <v>44.0122222222222</v>
      </c>
      <c r="J197" s="14">
        <v>24</v>
      </c>
      <c r="K197" s="15">
        <f t="shared" si="152"/>
        <v>1515.95833333333</v>
      </c>
      <c r="L197" s="14">
        <f t="shared" si="170"/>
        <v>371.88</v>
      </c>
      <c r="M197" s="16">
        <f t="shared" si="154"/>
        <v>-371.88</v>
      </c>
      <c r="N197" s="14">
        <v>27</v>
      </c>
      <c r="O197" s="15">
        <f t="shared" si="155"/>
        <v>506.740740740741</v>
      </c>
      <c r="P197" s="14">
        <f t="shared" si="156"/>
        <v>0.06859</v>
      </c>
      <c r="Q197" s="16">
        <f t="shared" si="157"/>
        <v>882.1414772</v>
      </c>
      <c r="R197" s="14">
        <f t="shared" si="171"/>
        <v>459.68</v>
      </c>
      <c r="S197" s="16">
        <f t="shared" si="159"/>
        <v>422.4614772</v>
      </c>
      <c r="T197" s="14">
        <v>42</v>
      </c>
      <c r="U197" s="15">
        <f t="shared" si="160"/>
        <v>108.190476190476</v>
      </c>
      <c r="V197" s="14">
        <f t="shared" si="161"/>
        <v>0.276355</v>
      </c>
      <c r="W197" s="16">
        <f t="shared" si="162"/>
        <v>1180.4116928</v>
      </c>
      <c r="X197" s="14">
        <f t="shared" si="163"/>
        <v>699.98</v>
      </c>
      <c r="Y197" s="16">
        <f t="shared" si="164"/>
        <v>480.4316928</v>
      </c>
      <c r="Z197" s="17">
        <v>4</v>
      </c>
      <c r="AA197" s="17">
        <v>3</v>
      </c>
      <c r="AB197" s="17">
        <v>0</v>
      </c>
      <c r="AC197" s="17">
        <v>0</v>
      </c>
      <c r="AD197" s="16">
        <f t="shared" si="165"/>
        <v>125.790995158687</v>
      </c>
      <c r="AE197" s="18">
        <f t="shared" si="166"/>
        <v>361.20995261909</v>
      </c>
      <c r="AF197" s="1">
        <f t="shared" si="167"/>
        <v>100</v>
      </c>
      <c r="AG197" s="1">
        <f>'[1]8'!BH22</f>
        <v>100</v>
      </c>
    </row>
    <row r="198" s="1" customFormat="1" spans="1:33">
      <c r="A198" s="9">
        <v>46120</v>
      </c>
      <c r="B198" s="10" t="s">
        <v>57</v>
      </c>
      <c r="C198" s="10" t="s">
        <v>33</v>
      </c>
      <c r="D198" s="10" t="s">
        <v>49</v>
      </c>
      <c r="E198" s="12">
        <v>20687</v>
      </c>
      <c r="F198" s="12">
        <v>6471</v>
      </c>
      <c r="G198" s="13">
        <v>13545</v>
      </c>
      <c r="H198" s="14">
        <v>2</v>
      </c>
      <c r="I198" s="14">
        <f t="shared" si="151"/>
        <v>44.0122222222222</v>
      </c>
      <c r="J198" s="14">
        <v>24</v>
      </c>
      <c r="K198" s="15">
        <f t="shared" si="152"/>
        <v>861.958333333333</v>
      </c>
      <c r="L198" s="14">
        <f t="shared" si="170"/>
        <v>371.88</v>
      </c>
      <c r="M198" s="16">
        <f t="shared" si="154"/>
        <v>-371.88</v>
      </c>
      <c r="N198" s="14">
        <v>27</v>
      </c>
      <c r="O198" s="15">
        <f t="shared" si="155"/>
        <v>501.666666666667</v>
      </c>
      <c r="P198" s="14">
        <f t="shared" si="156"/>
        <v>0.06859</v>
      </c>
      <c r="Q198" s="16">
        <f t="shared" si="157"/>
        <v>873.308457</v>
      </c>
      <c r="R198" s="14">
        <f t="shared" si="171"/>
        <v>459.68</v>
      </c>
      <c r="S198" s="16">
        <f t="shared" si="159"/>
        <v>413.628457</v>
      </c>
      <c r="T198" s="14">
        <v>42</v>
      </c>
      <c r="U198" s="15">
        <f t="shared" si="160"/>
        <v>154.071428571429</v>
      </c>
      <c r="V198" s="14">
        <f t="shared" si="161"/>
        <v>0.276355</v>
      </c>
      <c r="W198" s="16">
        <f t="shared" si="162"/>
        <v>1680.9956127</v>
      </c>
      <c r="X198" s="14">
        <f t="shared" si="163"/>
        <v>699.98</v>
      </c>
      <c r="Y198" s="16">
        <f t="shared" si="164"/>
        <v>981.0156127</v>
      </c>
      <c r="Z198" s="17">
        <v>4</v>
      </c>
      <c r="AA198" s="17">
        <v>3</v>
      </c>
      <c r="AB198" s="17">
        <v>0</v>
      </c>
      <c r="AC198" s="17">
        <v>0</v>
      </c>
      <c r="AD198" s="16">
        <f t="shared" si="165"/>
        <v>125.790995158687</v>
      </c>
      <c r="AE198" s="18">
        <f t="shared" si="166"/>
        <v>852.96085231909</v>
      </c>
      <c r="AF198" s="1">
        <f t="shared" si="167"/>
        <v>100</v>
      </c>
      <c r="AG198" s="1">
        <f>'[1]8'!BH23</f>
        <v>100</v>
      </c>
    </row>
    <row r="199" s="1" customFormat="1" spans="1:33">
      <c r="A199" s="9">
        <v>46120</v>
      </c>
      <c r="B199" s="10" t="s">
        <v>58</v>
      </c>
      <c r="C199" s="10" t="s">
        <v>33</v>
      </c>
      <c r="D199" s="10" t="s">
        <v>49</v>
      </c>
      <c r="E199" s="12">
        <v>734</v>
      </c>
      <c r="F199" s="12">
        <v>3859</v>
      </c>
      <c r="G199" s="13">
        <v>13677</v>
      </c>
      <c r="H199" s="14">
        <v>2</v>
      </c>
      <c r="I199" s="14">
        <f t="shared" si="151"/>
        <v>44.0122222222222</v>
      </c>
      <c r="J199" s="14">
        <v>24</v>
      </c>
      <c r="K199" s="15">
        <f t="shared" si="152"/>
        <v>30.5833333333333</v>
      </c>
      <c r="L199" s="14">
        <f t="shared" si="170"/>
        <v>371.88</v>
      </c>
      <c r="M199" s="16">
        <f t="shared" si="154"/>
        <v>-371.88</v>
      </c>
      <c r="N199" s="14">
        <v>27</v>
      </c>
      <c r="O199" s="15">
        <f t="shared" si="155"/>
        <v>506.555555555556</v>
      </c>
      <c r="P199" s="14">
        <f t="shared" si="156"/>
        <v>0.06859</v>
      </c>
      <c r="Q199" s="16">
        <f t="shared" si="157"/>
        <v>881.8191042</v>
      </c>
      <c r="R199" s="14">
        <f t="shared" si="171"/>
        <v>459.68</v>
      </c>
      <c r="S199" s="16">
        <f t="shared" si="159"/>
        <v>422.1391042</v>
      </c>
      <c r="T199" s="14">
        <v>42</v>
      </c>
      <c r="U199" s="15">
        <f t="shared" si="160"/>
        <v>91.8809523809524</v>
      </c>
      <c r="V199" s="14">
        <f t="shared" si="161"/>
        <v>0.276355</v>
      </c>
      <c r="W199" s="16">
        <f t="shared" si="162"/>
        <v>1002.4667083</v>
      </c>
      <c r="X199" s="14">
        <f t="shared" si="163"/>
        <v>699.98</v>
      </c>
      <c r="Y199" s="16">
        <f t="shared" si="164"/>
        <v>302.4867083</v>
      </c>
      <c r="Z199" s="17">
        <v>4</v>
      </c>
      <c r="AA199" s="17">
        <v>3</v>
      </c>
      <c r="AB199" s="17">
        <v>0</v>
      </c>
      <c r="AC199" s="17">
        <v>0</v>
      </c>
      <c r="AD199" s="16">
        <f t="shared" si="165"/>
        <v>125.790995158687</v>
      </c>
      <c r="AE199" s="18">
        <f t="shared" si="166"/>
        <v>182.94259511909</v>
      </c>
      <c r="AF199" s="1">
        <f t="shared" si="167"/>
        <v>100</v>
      </c>
      <c r="AG199" s="1">
        <f>'[1]8'!BH24</f>
        <v>100</v>
      </c>
    </row>
    <row r="200" s="1" customFormat="1" spans="1:33">
      <c r="A200" s="9">
        <v>46120</v>
      </c>
      <c r="B200" s="10" t="s">
        <v>59</v>
      </c>
      <c r="C200" s="10" t="s">
        <v>33</v>
      </c>
      <c r="D200" s="10" t="s">
        <v>49</v>
      </c>
      <c r="E200" s="12">
        <v>3355</v>
      </c>
      <c r="F200" s="12">
        <v>1190</v>
      </c>
      <c r="G200" s="13">
        <v>9503</v>
      </c>
      <c r="H200" s="14">
        <v>2</v>
      </c>
      <c r="I200" s="14">
        <f t="shared" si="151"/>
        <v>44.0122222222222</v>
      </c>
      <c r="J200" s="14">
        <v>24</v>
      </c>
      <c r="K200" s="15">
        <f t="shared" si="152"/>
        <v>139.791666666667</v>
      </c>
      <c r="L200" s="14">
        <f t="shared" si="170"/>
        <v>371.88</v>
      </c>
      <c r="M200" s="16">
        <f t="shared" si="154"/>
        <v>-371.88</v>
      </c>
      <c r="N200" s="14">
        <v>27</v>
      </c>
      <c r="O200" s="15">
        <f t="shared" si="155"/>
        <v>351.962962962963</v>
      </c>
      <c r="P200" s="14">
        <f t="shared" si="156"/>
        <v>0.06859</v>
      </c>
      <c r="Q200" s="16">
        <f t="shared" si="157"/>
        <v>612.7021238</v>
      </c>
      <c r="R200" s="14">
        <f t="shared" si="171"/>
        <v>459.68</v>
      </c>
      <c r="S200" s="16">
        <f t="shared" si="159"/>
        <v>153.0221238</v>
      </c>
      <c r="T200" s="14">
        <v>42</v>
      </c>
      <c r="U200" s="15">
        <f t="shared" si="160"/>
        <v>28.3333333333333</v>
      </c>
      <c r="V200" s="14">
        <f t="shared" si="161"/>
        <v>0.276355</v>
      </c>
      <c r="W200" s="16">
        <f t="shared" si="162"/>
        <v>309.130703</v>
      </c>
      <c r="X200" s="14">
        <f t="shared" si="163"/>
        <v>699.98</v>
      </c>
      <c r="Y200" s="16">
        <f t="shared" si="164"/>
        <v>-390.849297</v>
      </c>
      <c r="Z200" s="17">
        <v>4</v>
      </c>
      <c r="AA200" s="17">
        <v>3</v>
      </c>
      <c r="AB200" s="17">
        <v>0</v>
      </c>
      <c r="AC200" s="17">
        <v>0</v>
      </c>
      <c r="AD200" s="16">
        <f t="shared" si="165"/>
        <v>125.790995158687</v>
      </c>
      <c r="AE200" s="18">
        <f t="shared" si="166"/>
        <v>-779.51039058091</v>
      </c>
      <c r="AF200" s="1">
        <f t="shared" si="167"/>
        <v>100</v>
      </c>
      <c r="AG200" s="1">
        <f>'[1]8'!BH25</f>
        <v>100</v>
      </c>
    </row>
    <row r="201" s="1" customFormat="1" spans="1:33">
      <c r="A201" s="9">
        <v>46120</v>
      </c>
      <c r="B201" s="10" t="s">
        <v>60</v>
      </c>
      <c r="C201" s="10" t="s">
        <v>33</v>
      </c>
      <c r="D201" s="11" t="s">
        <v>47</v>
      </c>
      <c r="E201" s="12">
        <v>0</v>
      </c>
      <c r="F201" s="12">
        <v>4306</v>
      </c>
      <c r="G201" s="13">
        <v>10328</v>
      </c>
      <c r="H201" s="14">
        <v>2</v>
      </c>
      <c r="I201" s="14">
        <f t="shared" si="151"/>
        <v>44.0122222222222</v>
      </c>
      <c r="J201" s="14">
        <v>24</v>
      </c>
      <c r="K201" s="15">
        <f t="shared" si="152"/>
        <v>0</v>
      </c>
      <c r="L201" s="14">
        <f t="shared" si="170"/>
        <v>371.88</v>
      </c>
      <c r="M201" s="16">
        <f t="shared" si="154"/>
        <v>-371.88</v>
      </c>
      <c r="N201" s="14">
        <v>27</v>
      </c>
      <c r="O201" s="15">
        <f t="shared" si="155"/>
        <v>382.518518518519</v>
      </c>
      <c r="P201" s="14">
        <f t="shared" si="156"/>
        <v>0.06859</v>
      </c>
      <c r="Q201" s="16">
        <f t="shared" si="157"/>
        <v>665.8936688</v>
      </c>
      <c r="R201" s="14">
        <f t="shared" si="171"/>
        <v>459.68</v>
      </c>
      <c r="S201" s="16">
        <f t="shared" si="159"/>
        <v>206.2136688</v>
      </c>
      <c r="T201" s="14">
        <v>42</v>
      </c>
      <c r="U201" s="15">
        <f t="shared" si="160"/>
        <v>102.52380952381</v>
      </c>
      <c r="V201" s="14">
        <f t="shared" si="161"/>
        <v>0.276355</v>
      </c>
      <c r="W201" s="16">
        <f t="shared" si="162"/>
        <v>1118.5855522</v>
      </c>
      <c r="X201" s="14">
        <f t="shared" si="163"/>
        <v>699.98</v>
      </c>
      <c r="Y201" s="16">
        <f t="shared" si="164"/>
        <v>418.6055522</v>
      </c>
      <c r="Z201" s="17">
        <v>4</v>
      </c>
      <c r="AA201" s="17">
        <v>3</v>
      </c>
      <c r="AB201" s="17">
        <v>0</v>
      </c>
      <c r="AC201" s="17">
        <v>0</v>
      </c>
      <c r="AD201" s="16">
        <f t="shared" si="165"/>
        <v>125.790995158687</v>
      </c>
      <c r="AE201" s="18">
        <f t="shared" si="166"/>
        <v>83.1360036190903</v>
      </c>
      <c r="AF201" s="1">
        <f t="shared" si="167"/>
        <v>100</v>
      </c>
      <c r="AG201" s="1">
        <f>'[1]8'!BH26</f>
        <v>100</v>
      </c>
    </row>
    <row r="202" s="1" customFormat="1" spans="1:33">
      <c r="B202" s="2"/>
      <c r="C202" s="2"/>
      <c r="D202" s="2"/>
      <c r="E202" s="2"/>
      <c r="F202" s="2"/>
      <c r="G202" s="2"/>
      <c r="H202" s="2"/>
      <c r="I202" s="3"/>
      <c r="AE202" s="18">
        <f>SUM(AE178:AE201)</f>
        <v>-6305.06616603329</v>
      </c>
    </row>
  </sheetData>
  <mergeCells count="33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</mergeCells>
  <conditionalFormatting sqref="Y52">
    <cfRule type="iconSet" priority="21">
      <iconSet iconSet="3Arrows">
        <cfvo type="percent" val="0"/>
        <cfvo type="num" val="0"/>
        <cfvo type="num" val="0"/>
      </iconSet>
    </cfRule>
  </conditionalFormatting>
  <conditionalFormatting sqref="Y77">
    <cfRule type="iconSet" priority="18">
      <iconSet iconSet="3Arrows">
        <cfvo type="percent" val="0"/>
        <cfvo type="num" val="0"/>
        <cfvo type="num" val="0"/>
      </iconSet>
    </cfRule>
  </conditionalFormatting>
  <conditionalFormatting sqref="M3:M27">
    <cfRule type="iconSet" priority="26">
      <iconSet iconSet="3Arrows">
        <cfvo type="percent" val="0"/>
        <cfvo type="num" val="0"/>
        <cfvo type="num" val="0"/>
      </iconSet>
    </cfRule>
  </conditionalFormatting>
  <conditionalFormatting sqref="M28:M52">
    <cfRule type="iconSet" priority="23">
      <iconSet iconSet="3Arrows">
        <cfvo type="percent" val="0"/>
        <cfvo type="num" val="0"/>
        <cfvo type="num" val="0"/>
      </iconSet>
    </cfRule>
  </conditionalFormatting>
  <conditionalFormatting sqref="M53:M77">
    <cfRule type="iconSet" priority="20">
      <iconSet iconSet="3Arrows">
        <cfvo type="percent" val="0"/>
        <cfvo type="num" val="0"/>
        <cfvo type="num" val="0"/>
      </iconSet>
    </cfRule>
  </conditionalFormatting>
  <conditionalFormatting sqref="M78:M101">
    <cfRule type="iconSet" priority="17">
      <iconSet iconSet="3Arrows">
        <cfvo type="percent" val="0"/>
        <cfvo type="num" val="0"/>
        <cfvo type="num" val="0"/>
      </iconSet>
    </cfRule>
  </conditionalFormatting>
  <conditionalFormatting sqref="M103:M126">
    <cfRule type="iconSet" priority="12">
      <iconSet iconSet="3Arrows">
        <cfvo type="percent" val="0"/>
        <cfvo type="num" val="0"/>
        <cfvo type="num" val="0"/>
      </iconSet>
    </cfRule>
  </conditionalFormatting>
  <conditionalFormatting sqref="M128:M151">
    <cfRule type="iconSet" priority="9">
      <iconSet iconSet="3Arrows">
        <cfvo type="percent" val="0"/>
        <cfvo type="num" val="0"/>
        <cfvo type="num" val="0"/>
      </iconSet>
    </cfRule>
  </conditionalFormatting>
  <conditionalFormatting sqref="M153:M176">
    <cfRule type="iconSet" priority="6">
      <iconSet iconSet="3Arrows">
        <cfvo type="percent" val="0"/>
        <cfvo type="num" val="0"/>
        <cfvo type="num" val="0"/>
      </iconSet>
    </cfRule>
  </conditionalFormatting>
  <conditionalFormatting sqref="M178:M201">
    <cfRule type="iconSet" priority="3">
      <iconSet iconSet="3Arrows">
        <cfvo type="percent" val="0"/>
        <cfvo type="num" val="0"/>
        <cfvo type="num" val="0"/>
      </iconSet>
    </cfRule>
  </conditionalFormatting>
  <conditionalFormatting sqref="S3:S27">
    <cfRule type="iconSet" priority="25">
      <iconSet iconSet="3Arrows">
        <cfvo type="percent" val="0"/>
        <cfvo type="num" val="0"/>
        <cfvo type="num" val="0"/>
      </iconSet>
    </cfRule>
  </conditionalFormatting>
  <conditionalFormatting sqref="S28:S52">
    <cfRule type="iconSet" priority="22">
      <iconSet iconSet="3Arrows">
        <cfvo type="percent" val="0"/>
        <cfvo type="num" val="0"/>
        <cfvo type="num" val="0"/>
      </iconSet>
    </cfRule>
  </conditionalFormatting>
  <conditionalFormatting sqref="S53:S77">
    <cfRule type="iconSet" priority="19">
      <iconSet iconSet="3Arrows">
        <cfvo type="percent" val="0"/>
        <cfvo type="num" val="0"/>
        <cfvo type="num" val="0"/>
      </iconSet>
    </cfRule>
  </conditionalFormatting>
  <conditionalFormatting sqref="S78:S101">
    <cfRule type="iconSet" priority="16">
      <iconSet iconSet="3Arrows">
        <cfvo type="percent" val="0"/>
        <cfvo type="num" val="0"/>
        <cfvo type="num" val="0"/>
      </iconSet>
    </cfRule>
  </conditionalFormatting>
  <conditionalFormatting sqref="S103:S126">
    <cfRule type="iconSet" priority="11">
      <iconSet iconSet="3Arrows">
        <cfvo type="percent" val="0"/>
        <cfvo type="num" val="0"/>
        <cfvo type="num" val="0"/>
      </iconSet>
    </cfRule>
  </conditionalFormatting>
  <conditionalFormatting sqref="S128:S151">
    <cfRule type="iconSet" priority="8">
      <iconSet iconSet="3Arrows">
        <cfvo type="percent" val="0"/>
        <cfvo type="num" val="0"/>
        <cfvo type="num" val="0"/>
      </iconSet>
    </cfRule>
  </conditionalFormatting>
  <conditionalFormatting sqref="S153:S176">
    <cfRule type="iconSet" priority="5">
      <iconSet iconSet="3Arrows">
        <cfvo type="percent" val="0"/>
        <cfvo type="num" val="0"/>
        <cfvo type="num" val="0"/>
      </iconSet>
    </cfRule>
  </conditionalFormatting>
  <conditionalFormatting sqref="S178:S201">
    <cfRule type="iconSet" priority="2">
      <iconSet iconSet="3Arrows">
        <cfvo type="percent" val="0"/>
        <cfvo type="num" val="0"/>
        <cfvo type="num" val="0"/>
      </iconSet>
    </cfRule>
  </conditionalFormatting>
  <conditionalFormatting sqref="Y3:Y27">
    <cfRule type="iconSet" priority="24">
      <iconSet iconSet="3Arrows">
        <cfvo type="percent" val="0"/>
        <cfvo type="num" val="0"/>
        <cfvo type="num" val="0"/>
      </iconSet>
    </cfRule>
  </conditionalFormatting>
  <conditionalFormatting sqref="Y28:Y51">
    <cfRule type="iconSet" priority="15">
      <iconSet iconSet="3Arrows">
        <cfvo type="percent" val="0"/>
        <cfvo type="num" val="0"/>
        <cfvo type="num" val="0"/>
      </iconSet>
    </cfRule>
  </conditionalFormatting>
  <conditionalFormatting sqref="Y53:Y76">
    <cfRule type="iconSet" priority="14">
      <iconSet iconSet="3Arrows">
        <cfvo type="percent" val="0"/>
        <cfvo type="num" val="0"/>
        <cfvo type="num" val="0"/>
      </iconSet>
    </cfRule>
  </conditionalFormatting>
  <conditionalFormatting sqref="Y78:Y101">
    <cfRule type="iconSet" priority="13">
      <iconSet iconSet="3Arrows">
        <cfvo type="percent" val="0"/>
        <cfvo type="num" val="0"/>
        <cfvo type="num" val="0"/>
      </iconSet>
    </cfRule>
  </conditionalFormatting>
  <conditionalFormatting sqref="Y103:Y126">
    <cfRule type="iconSet" priority="10">
      <iconSet iconSet="3Arrows">
        <cfvo type="percent" val="0"/>
        <cfvo type="num" val="0"/>
        <cfvo type="num" val="0"/>
      </iconSet>
    </cfRule>
  </conditionalFormatting>
  <conditionalFormatting sqref="Y128:Y151">
    <cfRule type="iconSet" priority="7">
      <iconSet iconSet="3Arrows">
        <cfvo type="percent" val="0"/>
        <cfvo type="num" val="0"/>
        <cfvo type="num" val="0"/>
      </iconSet>
    </cfRule>
  </conditionalFormatting>
  <conditionalFormatting sqref="Y153:Y176">
    <cfRule type="iconSet" priority="4">
      <iconSet iconSet="3Arrows">
        <cfvo type="percent" val="0"/>
        <cfvo type="num" val="0"/>
        <cfvo type="num" val="0"/>
      </iconSet>
    </cfRule>
  </conditionalFormatting>
  <conditionalFormatting sqref="Y178:Y201">
    <cfRule type="iconSet" priority="1">
      <iconSet iconSet="3Arrows">
        <cfvo type="percent" val="0"/>
        <cfvo type="num" val="0"/>
        <cfvo type="num" val="0"/>
      </iconSet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山东分公司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11404</dc:creator>
  <cp:lastModifiedBy>11404</cp:lastModifiedBy>
  <dcterms:created xsi:type="dcterms:W3CDTF">2026-04-12T03:44:54Z</dcterms:created>
  <dcterms:modified xsi:type="dcterms:W3CDTF">2026-04-12T03:46:19Z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268B3DE6B14E4CBA9EA330BCECA4DAFD_11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