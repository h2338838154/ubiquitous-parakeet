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tabRatio="798" firstSheet="14" activeTab="14"/>
  </bookViews>
  <sheets>
    <sheet name="6月日经营数据" sheetId="25" state="hidden" r:id="rId1"/>
    <sheet name="6月处理量" sheetId="26" state="hidden" r:id="rId2"/>
    <sheet name="7月日经营数据" sheetId="27" state="hidden" r:id="rId3"/>
    <sheet name="7月处理量" sheetId="28" state="hidden" r:id="rId4"/>
    <sheet name="8月日经营数据" sheetId="29" state="hidden" r:id="rId5"/>
    <sheet name="8月处理量" sheetId="30" state="hidden" r:id="rId6"/>
    <sheet name="25年9月日经营数据" sheetId="31" state="hidden" r:id="rId7"/>
    <sheet name="25年9月处理量" sheetId="32" state="hidden" r:id="rId8"/>
    <sheet name="25年10月日经营数据" sheetId="33" state="hidden" r:id="rId9"/>
    <sheet name="25年10月处理量" sheetId="34" state="hidden" r:id="rId10"/>
    <sheet name="25年11月日经营数据" sheetId="35" state="hidden" r:id="rId11"/>
    <sheet name="25年11月处理量" sheetId="36" state="hidden" r:id="rId12"/>
    <sheet name="25年12月日经营数据" sheetId="37" state="hidden" r:id="rId13"/>
    <sheet name="25年12月处理量" sheetId="38" state="hidden" r:id="rId14"/>
    <sheet name="26年4月日经营数据" sheetId="39" r:id="rId15"/>
    <sheet name="26年4月处理量" sheetId="40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ZTWB</author>
  </authors>
  <commentList>
    <comment ref="D20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外租宿舍费用</t>
        </r>
      </text>
    </comment>
    <comment ref="E26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双十一旺季储备胶带采购费</t>
        </r>
      </text>
    </comment>
    <comment ref="F26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双十一旺季储备袋牌纸采购费</t>
        </r>
      </text>
    </comment>
    <comment ref="C40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三季度食堂保洁费支付</t>
        </r>
      </text>
    </comment>
    <comment ref="D40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办公用品采购费</t>
        </r>
      </text>
    </comment>
    <comment ref="X40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周三处理中心集中开会咖啡招待费</t>
        </r>
      </text>
    </comment>
    <comment ref="D41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PDA扫描枪维修费</t>
        </r>
      </text>
    </comment>
  </commentList>
</comments>
</file>

<file path=xl/comments2.xml><?xml version="1.0" encoding="utf-8"?>
<comments xmlns="http://schemas.openxmlformats.org/spreadsheetml/2006/main">
  <authors>
    <author>ZTWB</author>
  </authors>
  <commentList>
    <comment ref="E27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邮政规范新马甲采购费</t>
        </r>
      </text>
    </comment>
    <comment ref="F27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邮政规范新马甲采购费
</t>
        </r>
      </text>
    </comment>
    <comment ref="G27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邮政规范新马甲采购费
</t>
        </r>
      </text>
    </comment>
    <comment ref="H27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邮政规范新马甲采购费
</t>
        </r>
      </text>
    </comment>
    <comment ref="I27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邮政规范新马甲采购费
</t>
        </r>
      </text>
    </comment>
    <comment ref="AB27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检修牌采购、后勤物品采购</t>
        </r>
      </text>
    </comment>
    <comment ref="C41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管理沟通会采购费</t>
        </r>
      </text>
    </comment>
    <comment ref="D41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办公费用</t>
        </r>
      </text>
    </comment>
    <comment ref="AF41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材料发公司快递运费</t>
        </r>
      </text>
    </comment>
  </commentList>
</comments>
</file>

<file path=xl/comments3.xml><?xml version="1.0" encoding="utf-8"?>
<comments xmlns="http://schemas.openxmlformats.org/spreadsheetml/2006/main">
  <authors>
    <author>ZTWB</author>
  </authors>
  <commentList>
    <comment ref="S28" authorId="0">
      <text>
        <r>
          <rPr>
            <b/>
            <sz val="9"/>
            <rFont val="宋体"/>
            <charset val="134"/>
          </rPr>
          <t>ZTWB:</t>
        </r>
        <r>
          <rPr>
            <sz val="9"/>
            <rFont val="宋体"/>
            <charset val="134"/>
          </rPr>
          <t xml:space="preserve">
安检探测仪采购费</t>
        </r>
      </text>
    </comment>
  </commentList>
</comments>
</file>

<file path=xl/sharedStrings.xml><?xml version="1.0" encoding="utf-8"?>
<sst xmlns="http://schemas.openxmlformats.org/spreadsheetml/2006/main" count="923" uniqueCount="182">
  <si>
    <t>2025年南京项目处理经营情况（6月）</t>
  </si>
  <si>
    <t>科目</t>
  </si>
  <si>
    <t>月度合计</t>
  </si>
  <si>
    <t>进口处理</t>
  </si>
  <si>
    <t>1</t>
  </si>
  <si>
    <t>散件处理量</t>
  </si>
  <si>
    <t>2</t>
  </si>
  <si>
    <t>散件处理单价</t>
  </si>
  <si>
    <t>3</t>
  </si>
  <si>
    <t>散件处理收入</t>
  </si>
  <si>
    <t>4</t>
  </si>
  <si>
    <t>考核扣款</t>
  </si>
  <si>
    <t>5</t>
  </si>
  <si>
    <t>补贴费用</t>
  </si>
  <si>
    <t>6</t>
  </si>
  <si>
    <t>开票金额</t>
  </si>
  <si>
    <t>一、主营业务收入总计</t>
  </si>
  <si>
    <t>管理人员数量</t>
  </si>
  <si>
    <t>自有员工数量</t>
  </si>
  <si>
    <t>劳务人员数量</t>
  </si>
  <si>
    <t>总人数</t>
  </si>
  <si>
    <t>总工时</t>
  </si>
  <si>
    <t>人均效能</t>
  </si>
  <si>
    <t>人均小时效能</t>
  </si>
  <si>
    <t>自有员工工资</t>
  </si>
  <si>
    <t>员工宿舍费</t>
  </si>
  <si>
    <t>意外险</t>
  </si>
  <si>
    <t>雇主险</t>
  </si>
  <si>
    <t>员工餐费</t>
  </si>
  <si>
    <t>高温福利费用</t>
  </si>
  <si>
    <t>劳务人员工资</t>
  </si>
  <si>
    <t>物料采购</t>
  </si>
  <si>
    <t>工单赔付</t>
  </si>
  <si>
    <t>设备成本摊销</t>
  </si>
  <si>
    <t>二、主营业务成本总计</t>
  </si>
  <si>
    <t>主营业务税金及附加</t>
  </si>
  <si>
    <t>三、主营业务利润（亏损以“-”号填列)</t>
  </si>
  <si>
    <t>管理人员工资</t>
  </si>
  <si>
    <t>人事工资</t>
  </si>
  <si>
    <t>社会保险费</t>
  </si>
  <si>
    <t>福利费</t>
  </si>
  <si>
    <t>招聘费</t>
  </si>
  <si>
    <t>招标代理费</t>
  </si>
  <si>
    <t>其他</t>
  </si>
  <si>
    <t>设备维修费</t>
  </si>
  <si>
    <t>人员差旅费</t>
  </si>
  <si>
    <t>四、管理费用合计</t>
  </si>
  <si>
    <t>五、利润总额（亏损总额以“-”号填列）</t>
  </si>
  <si>
    <t>六、亏损分析</t>
  </si>
  <si>
    <t>细分三高速拐弯机轨道磨损，增加10人进行人工操作，19点维修完成</t>
  </si>
  <si>
    <t>邮政省公司副总现场参观检查，全场卫生清理，开机时间延后</t>
  </si>
  <si>
    <t>翻盘机故障12：30-17：30维修5小时，异小件留人处理</t>
  </si>
  <si>
    <t>小件区开拆循环线拐弯机故障两条维修4：10-9：10修复，用时5小时</t>
  </si>
  <si>
    <t>邮政集团及省安全组上午9点现场检查，白班增加投入12人进行现场整理</t>
  </si>
  <si>
    <t>粗分一拆解8点开始，粗分二摆轮故障5小时，细分8滚筒故障3小时，人员增投20人应急操作成本增加</t>
  </si>
  <si>
    <t>粗分一拆解维修，单班增投8人，全天共增投16人应急分流操作</t>
  </si>
  <si>
    <t>粗分一拆解维修，白班增投8人</t>
  </si>
  <si>
    <t>粗分十拆解维修，单班增投8人，全天共增投16人应急分流操作</t>
  </si>
  <si>
    <t>注：请注意业务量跳档时单价的变化</t>
  </si>
  <si>
    <t>南京项目人效</t>
  </si>
  <si>
    <t>部门</t>
  </si>
  <si>
    <t>南京进口</t>
  </si>
  <si>
    <t>日期</t>
  </si>
  <si>
    <t>管理人数</t>
  </si>
  <si>
    <t>自有员工</t>
  </si>
  <si>
    <t>劳务人员</t>
  </si>
  <si>
    <t>日</t>
  </si>
  <si>
    <t>新一代查询业务量
（散件外走）</t>
  </si>
  <si>
    <t>新一代查询业务量
（分拣封发）</t>
  </si>
  <si>
    <t>新一代查询业务量
（总包经转）</t>
  </si>
  <si>
    <t>平刷件量(剔除）</t>
  </si>
  <si>
    <t>合计</t>
  </si>
  <si>
    <t>2025年南京项目处理经营情况（7月）</t>
  </si>
  <si>
    <t>粗分十拆解维修，白班增投8人，晚班开拆循环线拐弯机脱轨未维修增投8人人工拉包，全天共增投16人应急分流操作</t>
  </si>
  <si>
    <t>白班开拆循环线拐弯机脱轨未维修增投8人人工拉包应急拉包</t>
  </si>
  <si>
    <t>晚班卸车17、18垛口伸缩机电机烧毁，增投5人应急生产</t>
  </si>
  <si>
    <t>省公司及集团公司领导现场参观，白班增投人员进行打扫整理</t>
  </si>
  <si>
    <t>细分五摆轮故障15：15-22：50维修，现场应急操作增投8人</t>
  </si>
  <si>
    <t>粗分十单件分离前端传输线联动故障，增投4人辅助操作</t>
  </si>
  <si>
    <t>2025年南京项目处理经营情况（8月）</t>
  </si>
  <si>
    <t>细分三高速拐弯机故障，维修9点-12点，增投6人手工应急操作</t>
  </si>
  <si>
    <t>装车三区37号门洞电机支架断裂未修复，单班增投3人，全天增投6人</t>
  </si>
  <si>
    <t>装车三区37号门洞电机支架断裂白班未修复，增投3人</t>
  </si>
  <si>
    <t>晚班20:00-02:00点细分二摆轮故障6小时影响整体操作进度，破损、遗失件增加</t>
  </si>
  <si>
    <t>2025年南京项目处理经营情况（9月）</t>
  </si>
  <si>
    <t>细分五摆轮故障1点50分开始，下午20点修复完成，导致回流加剧折算增投5人次处理</t>
  </si>
  <si>
    <t>内场清理、求是大刊包装灌袋赶发三频影响白班效率</t>
  </si>
  <si>
    <t>邮政集团规范化、巡检组现场检查，内场清理影响处理效率</t>
  </si>
  <si>
    <t>1、集团为无锡分流8辆车到南京接卸，车内异形件过多（案例：新疆乌市车长24米伸缩机伸入不足）影响效率达成；
2、中午停机时待卸车20辆，下午邮政政治任务无着库房清理抽调7人操作装车；
3、为加快处理晚班增加20人投入成本增加；</t>
  </si>
  <si>
    <t>1、集团为无锡分流8辆车到南京接卸，车内异形件过多，影响效率达成；
2、邮政要求白班+晚班+中班共计460人配置生产，人员不足会下整改考核单，无法压缩人员投入；</t>
  </si>
  <si>
    <t>1、集团为无锡分流8辆车到南京接卸，车内异形件过多，影响效率达成；
2、早上5:30开始小件机出包线3条皮带线故障，一条8点修复，两条12点才修复，导致内场小件积压，同步卸车操作效率下降，一频次8点逾限5.7W、二频次14点逾限9.1W，影响整体效率达成；
3、晚班为尽快清理内场人员增投15人；</t>
  </si>
  <si>
    <t>1、集团为无锡分流8辆车到南京接卸，车内异形件过多，影响效率达成；
2、晚班22点40分细分四摆轮远程故障，截止0点40分才修复，强排口分流人工分拣导致粗分效率下降，严重影响效率达成；</t>
  </si>
  <si>
    <t xml:space="preserve">1、集团为无锡分流8辆车到南京接卸，车内异形件过多，影响效率达成；
2、白班19点全场停机进行内场大清理，邮政领导现场督促检查，人员无法提前下班压缩工时；
</t>
  </si>
  <si>
    <t>集团为无锡分流8辆车到南京接卸，车内异形件过多，影响效率达成；
下午包装求是大刊影响一小时效率；</t>
  </si>
  <si>
    <t xml:space="preserve">集团为无锡分流8辆车到南京接卸，车内异形件过多，影响效率达成；
</t>
  </si>
  <si>
    <t>1、集团为无锡分流8辆车到南京接卸，车内异形件过多，影响效率达成；
2、小件机循环线皮带故障8：00-10：30共计2.5小时维修完成，导致小件机效率下降，粗分南京总包线堵住，下午进行补救操作，影响整体效率达成；</t>
  </si>
  <si>
    <t>1、集团为无锡分流8辆车到南京接卸，车内异形件过多，影响效率达成；
2、小件机进包循环线11:30一条线电机损坏，17:50分才维修完成，用时5个多小时小件机南京总包操作受限同时导致粗分卸车效率下降，影响整体效率达成；
3、苹果手机首发，配合邮政增投6人处理苹果件卸车驳运赶发二号楼操作；</t>
  </si>
  <si>
    <t>1、集团为无锡分流8辆车到南京接卸，车内异形件过多，影响效率达成；
2、设备侧软件升级故障，导致14点-16点30分共计2.5小时无法正常生产影响白班处理效率；
3、新员工补充技能不熟练影响效率；</t>
  </si>
  <si>
    <t>1、集团为无锡分流8辆车到南京接卸，车内异形件过多，影响效率达成；
2、求实杂志包装影响1小时效率达成；
3、18点30分全场停机进行大清理，邮政安排人员监督，无法安排部分人员下班缩减上班时长；</t>
  </si>
  <si>
    <t>1、集团为无锡分流8辆车到南京接卸，车内异形件过多，影响效率达成；
2、周一集团现场检查，18点30分停机清场影响处理效率；</t>
  </si>
  <si>
    <t>1、集团为无锡分流8辆车到南京接卸，车内异形件过多，影响效率达成；
2、为迎接广东参观团，19点停机清场影响效率达成；</t>
  </si>
  <si>
    <t>受台风天气影响，广东路向进局车辆停运，导致25日凌晨夜班小件量对比日常下降3.5万件影响效率</t>
  </si>
  <si>
    <t>黑龙江大米每天5车无法上矩阵分拣，增开落地窄带细分9进行分拣，每班次增投5人处理，全班次增投10人成本增加</t>
  </si>
  <si>
    <t>黑龙江大米每天5车无法上矩阵分拣，增开落地窄带细分9进行分拣，每班次增投5人处理，全班次增投10人成本增加，白班下午小件机19点停机协助各区处理异形件清场影响小件处理效率达成</t>
  </si>
  <si>
    <t>黑龙江大米每天5车无法上矩阵分拣，增开落地窄带细分9进行分拣，每班次增投5人处理，全班次增投10人成本增加，白班下午设备分拣软件故障14点50分-18点50分才恢复正常，严重影响生产进度，少处理5万件</t>
  </si>
  <si>
    <t>受国庆长假影响，小件量环比下降15.5%影响处理量达成，粗分一12点50分停机检修，16点50分恢复使用，用时4小时，人工应急处理影响处理效率</t>
  </si>
  <si>
    <t>2025年南京项目处理经营情况（10月）</t>
  </si>
  <si>
    <t>受国庆假期影响，高速堵车车辆到达晚点，车载小件量下降影响处理效率，2号开始对人员进一步压缩降低亏损；
食堂3季度卫生保洁费用支付；</t>
  </si>
  <si>
    <t>细分五滚筒损坏3点停线维修用时2.5小时，临时开启细分九窄带机处理五区快件赶发；</t>
  </si>
  <si>
    <t>白班下午车次下降，处理量环比前日下降4.5万袋件，为赶发二干三频次无法在18点前进行人员收缩，处理量下降影响效率达成</t>
  </si>
  <si>
    <t>白班下午为赶发二干三频次无法在18点前进行人员收缩，同时求是杂志包装、处理量下降影响效率达成</t>
  </si>
  <si>
    <t>小件机中午13点开始下层线100多个小车故障未修复，等待软件工程师到现场处理，修复时间待定</t>
  </si>
  <si>
    <t>康奋威工程师下午16点到达现场，23点基本恢复使用，剩余几个待修的26日中午停机时间再处理</t>
  </si>
  <si>
    <t>2025年南京项目处理经营情况（11月）</t>
  </si>
  <si>
    <t>件均成本</t>
  </si>
  <si>
    <t>受大雾天气高速堵路，车辆晚点到达效率下降</t>
  </si>
  <si>
    <t>车辆集中上午进局，白班下午车辆进局不足卸车存在空门洞影响效率，三频次二干18点发车，为保障频次无法在过程中进行人员收缩，18点后已进行分批下工压降成本支出</t>
  </si>
  <si>
    <t>邮政集团开始为期三天的视频规范化检查&amp;通报考核，分时段抽检南京现场操作监控，影响整体处理效率达成，处理中心开始介入人员投入</t>
  </si>
  <si>
    <t>邮政集团开始为期三天的视频规范化检查&amp;通报考核，分时段抽检现场操作监控，影响整体处理效率达成，处理中心介入人员投入</t>
  </si>
  <si>
    <t>邮政集团今日全网视频会议验收现场规范化操作监控抽查，影响整体处理效率达成，处理中心介入人员投入</t>
  </si>
  <si>
    <t>邮政集团对江苏省转运中心进行现场规范化操作监控抽查，08:00-09:00、17:00-18:00两个时段查看现场作业实时监控，影响整体处理效率达成，处理中心介入人员投入</t>
  </si>
  <si>
    <t>为应对邮政集团监控抽检规范作业，07：20停止卸车全场进行地堆整理、笼车规整，影响处理效率</t>
  </si>
  <si>
    <t>为应对邮政集团监控抽检规范作业，07：20停止卸车全场进行地堆整理、笼车规整，影响处理效率，江宁场地白班进口作业关闭分流回调，白班18:00后未停机阶梯下班继续生产影响效能达成</t>
  </si>
  <si>
    <t>为应对邮政集团监控抽检规范作业，07：10停止卸车全场进行地堆整理、笼车规整，影响处理效率</t>
  </si>
  <si>
    <t>白班下午进局车辆不足，影响效率达成，17:30开始安排阶梯下班降低用工成本</t>
  </si>
  <si>
    <t>白班中午调试粗分2-9的条码优先级落格程序测试到14:30分，下午进局车辆不足，影响效率达成，18:00三频次结束已开始安排阶梯下班降低用工成本</t>
  </si>
  <si>
    <t>宿迁高峰临时场地关停尾量车回调10路向11辆车，异形件增加影响处理效率达成，白班19点开始安排阶梯下班降低用工成本</t>
  </si>
  <si>
    <t>党刊纪检、求是杂志灌袋、包装、粘贴面单发运，影响处理效率达成</t>
  </si>
  <si>
    <t>白班下午进局车次不足，1800三频次结束后阶梯下班缩短出勤工时，降低人工成本支出</t>
  </si>
  <si>
    <t>小件量占比下降，白班下午进局车次不足，1800三频次结束后阶梯下班缩短出勤工时，降低人工成本支出</t>
  </si>
  <si>
    <t>2025年南京项目处理经营情况（12月）</t>
  </si>
  <si>
    <t>工人件均成本</t>
  </si>
  <si>
    <t>管理人员件均成本</t>
  </si>
  <si>
    <t>白班下午进局车次不足，1800三频次结束后阶梯下班缩短出勤工时，降低人工成本支出
管理人员单件成本包含社保</t>
  </si>
  <si>
    <t>流感爆发，自有员工感冒请假增多，劳务用工增加</t>
  </si>
  <si>
    <t>白班8点开始进行粗分一检修保养（12月6日-7日停机开拆设备），增投人员进行应急分流保障作业，人工成本增加</t>
  </si>
  <si>
    <t>粗分一检修保养（12月6日-7日停机开拆设备），增投人员进行应急分流保障作业，人工成本增加</t>
  </si>
  <si>
    <t>1、白班下午13点停机更换1号垛口伸缩机两个班次不能使用，增投人员应急操作；
2、白班下午进局车次不足，1800三频次结束后阶梯下班缩短出勤工时，降低人工成本支出</t>
  </si>
  <si>
    <t>1、因无锡中心设备维修分流4路向5辆车进局接卸，异形件增加影响处理效率
2、为缓解夜班上半夜集中到车待卸压力，白班下午1800频次结束后继续作业至19点，处理效率下降</t>
  </si>
  <si>
    <t>1、受雨雪天气影响高速缓行，一干部分车辆晚点进局，影响处理效率达成；
2、夜班细分五20点居中机皮带损坏更换耗时40分钟影响效率；</t>
  </si>
  <si>
    <t>1、粗分三居中机12点故障开始维修用时1小时30分钟，影响效率达成；
2、15点30分细分三第一组摆轮控制器螺丝损坏开始维修用时1小时40分钟，影响效率达成；
3、细分三拐弯机故障19点开始维修用时1小时50分钟，影响效率达成；</t>
  </si>
  <si>
    <t>细分三第一组摆轮故障凌晨01点开始维修用时3小时10分钟，增开落地窄带机应急生产，影响效率达成</t>
  </si>
  <si>
    <t>1、纪检、求是大刊包装发运影响效率达成；
2、白班下午进局车次不足，1800三频次结束后阶梯下班缩短出勤工时，降低人工成本支出；</t>
  </si>
  <si>
    <t>白班下午进局车次不足，1800三频次结束后阶梯下班缩短出勤工时，降低人工成本支出；</t>
  </si>
  <si>
    <t>1、白班下午进局车次不足，1800三频次结束后阶梯下班缩短出勤工时，降低人工成本支出；
2、晚班20:50开始粗分十窄带机故障检修，02：15才维护完成，影响效率达成；</t>
  </si>
  <si>
    <t>2026年南京项目处理经营情况（4月）</t>
  </si>
  <si>
    <t>大件、总包经转量</t>
  </si>
  <si>
    <t>总包经传单价</t>
  </si>
  <si>
    <t>总包经传收入</t>
  </si>
  <si>
    <t>7</t>
  </si>
  <si>
    <t>8</t>
  </si>
  <si>
    <t>9</t>
  </si>
  <si>
    <t>变动成本</t>
  </si>
  <si>
    <t>成本总计：</t>
  </si>
  <si>
    <t>变动成本件均成本</t>
  </si>
  <si>
    <t>期间成本</t>
  </si>
  <si>
    <t>保洁费</t>
  </si>
  <si>
    <t>房租</t>
  </si>
  <si>
    <t>水电费</t>
  </si>
  <si>
    <t>福利费用</t>
  </si>
  <si>
    <t>办公费</t>
  </si>
  <si>
    <t>物料采购费</t>
  </si>
  <si>
    <t>差旅费</t>
  </si>
  <si>
    <t>期间成本件均成本</t>
  </si>
  <si>
    <t>固定成本</t>
  </si>
  <si>
    <t>场租</t>
  </si>
  <si>
    <t>固定成本件均成本</t>
  </si>
  <si>
    <t>管理成本</t>
  </si>
  <si>
    <t>客服</t>
  </si>
  <si>
    <t>管理成本件均成本</t>
  </si>
  <si>
    <t>三、总费用合计</t>
  </si>
  <si>
    <t>总费用件均成本：</t>
  </si>
  <si>
    <t>四、利润总额（亏损总额以“-”号填列）</t>
  </si>
  <si>
    <t>五、亏损分析</t>
  </si>
  <si>
    <t>招聘费、补偿金、管理成本（网格长离职1人“包景强”）已剔除。</t>
  </si>
  <si>
    <t>处理量减少</t>
  </si>
  <si>
    <t>散件减少，劳务人员增加</t>
  </si>
  <si>
    <t>淄博中心业务量统计表</t>
  </si>
  <si>
    <t>大件外走量</t>
  </si>
  <si>
    <t>小件封发量</t>
  </si>
  <si>
    <t>文件量</t>
  </si>
  <si>
    <t>纯散件量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</si>
</sst>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#,##0_ "/>
    <numFmt numFmtId="178" formatCode="#,##0.0000_ "/>
    <numFmt numFmtId="179" formatCode="#,##0.00_ "/>
    <numFmt numFmtId="180" formatCode="0.00_ "/>
    <numFmt numFmtId="181" formatCode="#,##0.0_ "/>
    <numFmt numFmtId="182" formatCode="0_ "/>
  </numFmts>
  <fonts count="52">
    <font>
      <sz val="11"/>
      <color theme="1"/>
      <name val="宋体"/>
      <charset val="134"/>
      <scheme val="minor"/>
    </font>
    <font>
      <b/>
      <sz val="14"/>
      <color indexed="8"/>
      <name val="宋体"/>
      <charset val="134"/>
    </font>
    <font>
      <b/>
      <sz val="10"/>
      <color indexed="8"/>
      <name val="宋体"/>
      <charset val="134"/>
    </font>
    <font>
      <b/>
      <sz val="10"/>
      <color indexed="8"/>
      <name val="微软雅黑"/>
      <charset val="134"/>
    </font>
    <font>
      <sz val="10"/>
      <color rgb="FF000000"/>
      <name val="宋体"/>
      <charset val="134"/>
    </font>
    <font>
      <sz val="9"/>
      <color indexed="8"/>
      <name val="微软雅黑"/>
      <charset val="134"/>
    </font>
    <font>
      <sz val="10"/>
      <color indexed="8"/>
      <name val="宋体"/>
      <charset val="134"/>
    </font>
    <font>
      <b/>
      <sz val="10"/>
      <name val="微软雅黑"/>
      <charset val="134"/>
    </font>
    <font>
      <sz val="10"/>
      <name val="宋体"/>
      <charset val="134"/>
      <scheme val="minor"/>
    </font>
    <font>
      <sz val="10"/>
      <name val="微软雅黑"/>
      <charset val="134"/>
    </font>
    <font>
      <sz val="10"/>
      <color indexed="8"/>
      <name val="宋体"/>
      <charset val="134"/>
      <scheme val="minor"/>
    </font>
    <font>
      <sz val="10"/>
      <name val="宋体"/>
      <charset val="134"/>
      <scheme val="major"/>
    </font>
    <font>
      <b/>
      <sz val="10"/>
      <color rgb="FFFF0000"/>
      <name val="宋体"/>
      <charset val="134"/>
      <scheme val="major"/>
    </font>
    <font>
      <b/>
      <sz val="10"/>
      <name val="宋体"/>
      <charset val="134"/>
      <scheme val="major"/>
    </font>
    <font>
      <sz val="10"/>
      <color theme="1"/>
      <name val="宋体"/>
      <charset val="134"/>
      <scheme val="minor"/>
    </font>
    <font>
      <b/>
      <sz val="11"/>
      <color indexed="8"/>
      <name val="微软雅黑 Light"/>
      <charset val="134"/>
    </font>
    <font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indexed="8"/>
      <name val="微软雅黑"/>
      <charset val="134"/>
    </font>
    <font>
      <sz val="10"/>
      <color indexed="8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0"/>
      <name val="Arial"/>
      <charset val="134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sz val="10"/>
      <name val="Helv"/>
      <charset val="134"/>
    </font>
    <font>
      <sz val="12"/>
      <name val="Times New Roman"/>
      <charset val="134"/>
    </font>
    <font>
      <sz val="11"/>
      <color indexed="2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8" borderId="8" applyNumberFormat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5" fillId="10" borderId="10" applyNumberFormat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0" borderId="0"/>
    <xf numFmtId="0" fontId="45" fillId="0" borderId="0"/>
    <xf numFmtId="0" fontId="46" fillId="0" borderId="0">
      <alignment vertical="center"/>
    </xf>
    <xf numFmtId="9" fontId="44" fillId="0" borderId="0" applyFont="0" applyFill="0" applyBorder="0" applyAlignment="0" applyProtection="0"/>
    <xf numFmtId="0" fontId="16" fillId="0" borderId="0">
      <alignment vertical="center"/>
    </xf>
    <xf numFmtId="0" fontId="47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0" fontId="45" fillId="0" borderId="0"/>
    <xf numFmtId="9" fontId="45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7" fillId="0" borderId="0"/>
    <xf numFmtId="0" fontId="48" fillId="0" borderId="0"/>
    <xf numFmtId="0" fontId="45" fillId="0" borderId="0"/>
    <xf numFmtId="0" fontId="44" fillId="0" borderId="0"/>
    <xf numFmtId="9" fontId="1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4" fillId="0" borderId="0"/>
    <xf numFmtId="0" fontId="49" fillId="39" borderId="0" applyNumberFormat="0" applyBorder="0" applyAlignment="0" applyProtection="0">
      <alignment vertical="center"/>
    </xf>
    <xf numFmtId="0" fontId="48" fillId="0" borderId="0"/>
    <xf numFmtId="0" fontId="47" fillId="0" borderId="0"/>
    <xf numFmtId="9" fontId="0" fillId="0" borderId="0" applyFont="0" applyFill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6" fillId="0" borderId="0">
      <alignment vertical="center"/>
    </xf>
    <xf numFmtId="0" fontId="16" fillId="0" borderId="0"/>
    <xf numFmtId="0" fontId="0" fillId="0" borderId="0"/>
    <xf numFmtId="0" fontId="16" fillId="0" borderId="0"/>
    <xf numFmtId="0" fontId="46" fillId="0" borderId="0">
      <alignment vertical="center"/>
    </xf>
    <xf numFmtId="0" fontId="46" fillId="0" borderId="0">
      <alignment vertical="center"/>
    </xf>
    <xf numFmtId="0" fontId="16" fillId="0" borderId="0"/>
    <xf numFmtId="0" fontId="46" fillId="0" borderId="0">
      <alignment vertical="center"/>
    </xf>
    <xf numFmtId="0" fontId="44" fillId="0" borderId="0"/>
    <xf numFmtId="0" fontId="0" fillId="0" borderId="0">
      <alignment vertical="center"/>
    </xf>
    <xf numFmtId="0" fontId="46" fillId="0" borderId="0">
      <alignment vertical="center"/>
    </xf>
    <xf numFmtId="0" fontId="45" fillId="0" borderId="0"/>
    <xf numFmtId="0" fontId="45" fillId="0" borderId="0"/>
    <xf numFmtId="0" fontId="46" fillId="0" borderId="0">
      <alignment vertical="center"/>
    </xf>
    <xf numFmtId="0" fontId="45" fillId="0" borderId="0"/>
    <xf numFmtId="0" fontId="45" fillId="0" borderId="0"/>
    <xf numFmtId="0" fontId="47" fillId="0" borderId="0"/>
    <xf numFmtId="0" fontId="46" fillId="0" borderId="0">
      <alignment vertical="center"/>
    </xf>
    <xf numFmtId="0" fontId="0" fillId="0" borderId="0"/>
    <xf numFmtId="0" fontId="16" fillId="0" borderId="0"/>
    <xf numFmtId="0" fontId="46" fillId="0" borderId="0">
      <alignment vertical="center"/>
    </xf>
    <xf numFmtId="0" fontId="45" fillId="0" borderId="0"/>
    <xf numFmtId="0" fontId="46" fillId="0" borderId="0">
      <alignment vertical="center"/>
    </xf>
    <xf numFmtId="0" fontId="46" fillId="0" borderId="0">
      <alignment vertical="center"/>
    </xf>
    <xf numFmtId="0" fontId="48" fillId="0" borderId="0"/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43" fontId="44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47" fillId="0" borderId="0"/>
    <xf numFmtId="0" fontId="0" fillId="0" borderId="0"/>
  </cellStyleXfs>
  <cellXfs count="1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49" fontId="1" fillId="0" borderId="0" xfId="97" applyNumberFormat="1" applyFont="1" applyFill="1" applyAlignment="1">
      <alignment horizontal="center" vertical="center"/>
    </xf>
    <xf numFmtId="49" fontId="1" fillId="0" borderId="0" xfId="97" applyNumberFormat="1" applyFont="1" applyFill="1" applyAlignment="1">
      <alignment vertical="center"/>
    </xf>
    <xf numFmtId="49" fontId="2" fillId="0" borderId="0" xfId="97" applyNumberFormat="1" applyFont="1" applyFill="1" applyAlignment="1">
      <alignment horizontal="center" vertical="center"/>
    </xf>
    <xf numFmtId="49" fontId="3" fillId="2" borderId="1" xfId="97" applyNumberFormat="1" applyFont="1" applyFill="1" applyBorder="1" applyAlignment="1">
      <alignment horizontal="center" vertical="center"/>
    </xf>
    <xf numFmtId="176" fontId="2" fillId="2" borderId="1" xfId="97" applyNumberFormat="1" applyFont="1" applyFill="1" applyBorder="1" applyAlignment="1">
      <alignment horizontal="center" vertical="center"/>
    </xf>
    <xf numFmtId="49" fontId="2" fillId="5" borderId="1" xfId="97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5" fillId="0" borderId="1" xfId="97" applyNumberFormat="1" applyFont="1" applyFill="1" applyBorder="1" applyAlignment="1">
      <alignment horizontal="center"/>
    </xf>
    <xf numFmtId="177" fontId="6" fillId="0" borderId="1" xfId="132" applyNumberFormat="1" applyFont="1" applyFill="1" applyBorder="1" applyAlignment="1">
      <alignment horizontal="right" vertical="center"/>
    </xf>
    <xf numFmtId="177" fontId="6" fillId="5" borderId="1" xfId="132" applyNumberFormat="1" applyFont="1" applyFill="1" applyBorder="1" applyAlignment="1">
      <alignment horizontal="right" vertical="center"/>
    </xf>
    <xf numFmtId="178" fontId="6" fillId="0" borderId="1" xfId="132" applyNumberFormat="1" applyFont="1" applyFill="1" applyBorder="1" applyAlignment="1">
      <alignment horizontal="right" vertical="center"/>
    </xf>
    <xf numFmtId="178" fontId="6" fillId="5" borderId="1" xfId="132" applyNumberFormat="1" applyFont="1" applyFill="1" applyBorder="1" applyAlignment="1">
      <alignment horizontal="right" vertical="center"/>
    </xf>
    <xf numFmtId="179" fontId="6" fillId="0" borderId="1" xfId="132" applyNumberFormat="1" applyFont="1" applyFill="1" applyBorder="1" applyAlignment="1">
      <alignment horizontal="right" vertical="center"/>
    </xf>
    <xf numFmtId="179" fontId="6" fillId="5" borderId="1" xfId="132" applyNumberFormat="1" applyFont="1" applyFill="1" applyBorder="1" applyAlignment="1">
      <alignment horizontal="right" vertical="center"/>
    </xf>
    <xf numFmtId="0" fontId="7" fillId="2" borderId="1" xfId="106" applyFont="1" applyFill="1" applyBorder="1" applyAlignment="1">
      <alignment horizontal="center" vertical="center"/>
    </xf>
    <xf numFmtId="179" fontId="8" fillId="2" borderId="1" xfId="106" applyNumberFormat="1" applyFont="1" applyFill="1" applyBorder="1" applyAlignment="1">
      <alignment horizontal="right" vertical="center"/>
    </xf>
    <xf numFmtId="179" fontId="8" fillId="5" borderId="1" xfId="106" applyNumberFormat="1" applyFont="1" applyFill="1" applyBorder="1" applyAlignment="1">
      <alignment vertical="center"/>
    </xf>
    <xf numFmtId="0" fontId="7" fillId="0" borderId="1" xfId="106" applyFont="1" applyFill="1" applyBorder="1" applyAlignment="1">
      <alignment horizontal="center" vertical="center"/>
    </xf>
    <xf numFmtId="179" fontId="8" fillId="0" borderId="1" xfId="106" applyNumberFormat="1" applyFont="1" applyFill="1" applyBorder="1" applyAlignment="1">
      <alignment horizontal="right" vertical="center"/>
    </xf>
    <xf numFmtId="0" fontId="7" fillId="3" borderId="2" xfId="106" applyFont="1" applyFill="1" applyBorder="1" applyAlignment="1">
      <alignment horizontal="center" vertical="center"/>
    </xf>
    <xf numFmtId="0" fontId="7" fillId="3" borderId="3" xfId="106" applyFont="1" applyFill="1" applyBorder="1" applyAlignment="1">
      <alignment horizontal="center" vertical="center"/>
    </xf>
    <xf numFmtId="177" fontId="8" fillId="3" borderId="1" xfId="106" applyNumberFormat="1" applyFont="1" applyFill="1" applyBorder="1" applyAlignment="1">
      <alignment horizontal="right" vertical="center"/>
    </xf>
    <xf numFmtId="177" fontId="6" fillId="3" borderId="1" xfId="132" applyNumberFormat="1" applyFont="1" applyFill="1" applyBorder="1" applyAlignment="1">
      <alignment horizontal="right" vertical="center"/>
    </xf>
    <xf numFmtId="0" fontId="9" fillId="0" borderId="1" xfId="106" applyFont="1" applyFill="1" applyBorder="1" applyAlignment="1">
      <alignment horizontal="center" vertical="center"/>
    </xf>
    <xf numFmtId="0" fontId="9" fillId="3" borderId="2" xfId="106" applyFont="1" applyFill="1" applyBorder="1" applyAlignment="1">
      <alignment horizontal="center" vertical="center"/>
    </xf>
    <xf numFmtId="0" fontId="9" fillId="3" borderId="3" xfId="106" applyFont="1" applyFill="1" applyBorder="1" applyAlignment="1">
      <alignment horizontal="center" vertical="center"/>
    </xf>
    <xf numFmtId="178" fontId="6" fillId="3" borderId="1" xfId="132" applyNumberFormat="1" applyFont="1" applyFill="1" applyBorder="1" applyAlignment="1">
      <alignment horizontal="right" vertical="center"/>
    </xf>
    <xf numFmtId="43" fontId="3" fillId="2" borderId="1" xfId="118" applyNumberFormat="1" applyFont="1" applyFill="1" applyBorder="1" applyAlignment="1">
      <alignment horizontal="center" vertical="center"/>
    </xf>
    <xf numFmtId="49" fontId="2" fillId="2" borderId="1" xfId="106" applyNumberFormat="1" applyFont="1" applyFill="1" applyBorder="1" applyAlignment="1">
      <alignment horizontal="center" vertical="center"/>
    </xf>
    <xf numFmtId="49" fontId="9" fillId="0" borderId="1" xfId="95" applyNumberFormat="1" applyFont="1" applyFill="1" applyBorder="1" applyAlignment="1">
      <alignment horizontal="center" vertical="center"/>
    </xf>
    <xf numFmtId="179" fontId="10" fillId="2" borderId="1" xfId="97" applyNumberFormat="1" applyFont="1" applyFill="1" applyBorder="1" applyAlignment="1">
      <alignment horizontal="right" vertical="center"/>
    </xf>
    <xf numFmtId="49" fontId="3" fillId="3" borderId="2" xfId="97" applyNumberFormat="1" applyFont="1" applyFill="1" applyBorder="1" applyAlignment="1">
      <alignment horizontal="center" vertical="center"/>
    </xf>
    <xf numFmtId="49" fontId="3" fillId="3" borderId="3" xfId="97" applyNumberFormat="1" applyFont="1" applyFill="1" applyBorder="1" applyAlignment="1">
      <alignment horizontal="center" vertical="center"/>
    </xf>
    <xf numFmtId="178" fontId="10" fillId="3" borderId="1" xfId="97" applyNumberFormat="1" applyFont="1" applyFill="1" applyBorder="1" applyAlignment="1">
      <alignment horizontal="right" vertical="center"/>
    </xf>
    <xf numFmtId="49" fontId="3" fillId="6" borderId="1" xfId="97" applyNumberFormat="1" applyFont="1" applyFill="1" applyBorder="1" applyAlignment="1">
      <alignment horizontal="center" vertical="center"/>
    </xf>
    <xf numFmtId="179" fontId="11" fillId="6" borderId="1" xfId="97" applyNumberFormat="1" applyFont="1" applyFill="1" applyBorder="1" applyAlignment="1">
      <alignment vertical="center" wrapText="1"/>
    </xf>
    <xf numFmtId="179" fontId="12" fillId="6" borderId="1" xfId="97" applyNumberFormat="1" applyFont="1" applyFill="1" applyBorder="1" applyAlignment="1">
      <alignment horizontal="center" vertical="center" wrapText="1"/>
    </xf>
    <xf numFmtId="179" fontId="13" fillId="6" borderId="1" xfId="97" applyNumberFormat="1" applyFont="1" applyFill="1" applyBorder="1" applyAlignment="1">
      <alignment horizontal="center" vertical="center" wrapText="1"/>
    </xf>
    <xf numFmtId="179" fontId="13" fillId="6" borderId="1" xfId="97" applyNumberFormat="1" applyFont="1" applyFill="1" applyBorder="1" applyAlignment="1">
      <alignment horizontal="left" vertical="center" wrapText="1"/>
    </xf>
    <xf numFmtId="179" fontId="12" fillId="6" borderId="1" xfId="97" applyNumberFormat="1" applyFont="1" applyFill="1" applyBorder="1" applyAlignment="1">
      <alignment vertical="center" wrapText="1"/>
    </xf>
    <xf numFmtId="179" fontId="11" fillId="6" borderId="1" xfId="97" applyNumberFormat="1" applyFont="1" applyFill="1" applyBorder="1" applyAlignment="1">
      <alignment vertical="center"/>
    </xf>
    <xf numFmtId="179" fontId="14" fillId="6" borderId="1" xfId="97" applyNumberFormat="1" applyFont="1" applyFill="1" applyBorder="1" applyAlignment="1">
      <alignment vertical="center"/>
    </xf>
    <xf numFmtId="0" fontId="15" fillId="0" borderId="0" xfId="97" applyFont="1" applyFill="1" applyAlignment="1">
      <alignment horizontal="center" vertical="center"/>
    </xf>
    <xf numFmtId="0" fontId="16" fillId="0" borderId="0" xfId="97" applyFill="1" applyAlignment="1">
      <alignment horizontal="center" vertical="center"/>
    </xf>
    <xf numFmtId="0" fontId="16" fillId="0" borderId="0" xfId="97" applyFill="1" applyAlignment="1">
      <alignment vertical="center"/>
    </xf>
    <xf numFmtId="0" fontId="0" fillId="0" borderId="0" xfId="0" applyFill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58" fontId="20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180" fontId="0" fillId="0" borderId="0" xfId="0" applyNumberFormat="1" applyFill="1" applyAlignment="1"/>
    <xf numFmtId="49" fontId="1" fillId="4" borderId="0" xfId="97" applyNumberFormat="1" applyFont="1" applyFill="1" applyAlignment="1">
      <alignment vertical="center"/>
    </xf>
    <xf numFmtId="49" fontId="1" fillId="4" borderId="0" xfId="97" applyNumberFormat="1" applyFont="1" applyFill="1" applyAlignment="1">
      <alignment horizontal="center" vertical="center"/>
    </xf>
    <xf numFmtId="49" fontId="2" fillId="4" borderId="0" xfId="97" applyNumberFormat="1" applyFont="1" applyFill="1" applyAlignment="1">
      <alignment horizontal="center" vertical="center"/>
    </xf>
    <xf numFmtId="49" fontId="2" fillId="2" borderId="1" xfId="97" applyNumberFormat="1" applyFont="1" applyFill="1" applyBorder="1" applyAlignment="1">
      <alignment horizontal="center" vertical="center"/>
    </xf>
    <xf numFmtId="49" fontId="5" fillId="4" borderId="1" xfId="97" applyNumberFormat="1" applyFont="1" applyFill="1" applyBorder="1" applyAlignment="1">
      <alignment horizontal="center"/>
    </xf>
    <xf numFmtId="49" fontId="5" fillId="4" borderId="1" xfId="97" applyNumberFormat="1" applyFont="1" applyFill="1" applyBorder="1" applyAlignment="1">
      <alignment horizontal="left"/>
    </xf>
    <xf numFmtId="177" fontId="6" fillId="4" borderId="1" xfId="132" applyNumberFormat="1" applyFont="1" applyFill="1" applyBorder="1" applyAlignment="1">
      <alignment horizontal="right" vertical="center"/>
    </xf>
    <xf numFmtId="178" fontId="6" fillId="4" borderId="1" xfId="132" applyNumberFormat="1" applyFont="1" applyFill="1" applyBorder="1" applyAlignment="1">
      <alignment horizontal="right" vertical="center"/>
    </xf>
    <xf numFmtId="179" fontId="6" fillId="4" borderId="1" xfId="132" applyNumberFormat="1" applyFont="1" applyFill="1" applyBorder="1" applyAlignment="1">
      <alignment horizontal="right" vertical="center"/>
    </xf>
    <xf numFmtId="0" fontId="7" fillId="2" borderId="1" xfId="106" applyFont="1" applyFill="1" applyBorder="1" applyAlignment="1">
      <alignment horizontal="left" vertical="center"/>
    </xf>
    <xf numFmtId="179" fontId="8" fillId="2" borderId="1" xfId="106" applyNumberFormat="1" applyFont="1" applyFill="1" applyBorder="1" applyAlignment="1">
      <alignment vertical="center"/>
    </xf>
    <xf numFmtId="0" fontId="7" fillId="4" borderId="1" xfId="106" applyFont="1" applyFill="1" applyBorder="1" applyAlignment="1">
      <alignment horizontal="left" vertical="center"/>
    </xf>
    <xf numFmtId="177" fontId="8" fillId="4" borderId="1" xfId="106" applyNumberFormat="1" applyFont="1" applyFill="1" applyBorder="1" applyAlignment="1">
      <alignment horizontal="right" vertical="center"/>
    </xf>
    <xf numFmtId="179" fontId="8" fillId="4" borderId="1" xfId="106" applyNumberFormat="1" applyFont="1" applyFill="1" applyBorder="1" applyAlignment="1">
      <alignment horizontal="right" vertical="center"/>
    </xf>
    <xf numFmtId="0" fontId="0" fillId="4" borderId="1" xfId="0" applyFill="1" applyBorder="1">
      <alignment vertical="center"/>
    </xf>
    <xf numFmtId="181" fontId="8" fillId="4" borderId="1" xfId="106" applyNumberFormat="1" applyFont="1" applyFill="1" applyBorder="1" applyAlignment="1">
      <alignment horizontal="right" vertical="center"/>
    </xf>
    <xf numFmtId="0" fontId="7" fillId="3" borderId="3" xfId="106" applyFont="1" applyFill="1" applyBorder="1" applyAlignment="1">
      <alignment horizontal="left" vertical="center"/>
    </xf>
    <xf numFmtId="179" fontId="8" fillId="3" borderId="1" xfId="106" applyNumberFormat="1" applyFont="1" applyFill="1" applyBorder="1" applyAlignment="1">
      <alignment horizontal="right" vertical="center"/>
    </xf>
    <xf numFmtId="0" fontId="9" fillId="4" borderId="1" xfId="106" applyFont="1" applyFill="1" applyBorder="1" applyAlignment="1">
      <alignment horizontal="center" vertical="center"/>
    </xf>
    <xf numFmtId="180" fontId="0" fillId="4" borderId="1" xfId="0" applyNumberFormat="1" applyFill="1" applyBorder="1">
      <alignment vertical="center"/>
    </xf>
    <xf numFmtId="43" fontId="3" fillId="2" borderId="1" xfId="118" applyNumberFormat="1" applyFont="1" applyFill="1" applyBorder="1" applyAlignment="1">
      <alignment horizontal="left" vertical="center"/>
    </xf>
    <xf numFmtId="49" fontId="2" fillId="2" borderId="1" xfId="106" applyNumberFormat="1" applyFont="1" applyFill="1" applyBorder="1" applyAlignment="1">
      <alignment horizontal="left" vertical="center"/>
    </xf>
    <xf numFmtId="49" fontId="9" fillId="4" borderId="1" xfId="95" applyNumberFormat="1" applyFont="1" applyFill="1" applyBorder="1" applyAlignment="1">
      <alignment horizontal="left" vertical="center"/>
    </xf>
    <xf numFmtId="49" fontId="9" fillId="3" borderId="1" xfId="97" applyNumberFormat="1" applyFont="1" applyFill="1" applyBorder="1" applyAlignment="1">
      <alignment horizontal="left" vertical="center"/>
    </xf>
    <xf numFmtId="179" fontId="6" fillId="3" borderId="1" xfId="132" applyNumberFormat="1" applyFont="1" applyFill="1" applyBorder="1" applyAlignment="1">
      <alignment horizontal="right" vertical="center"/>
    </xf>
    <xf numFmtId="0" fontId="0" fillId="3" borderId="1" xfId="0" applyFill="1" applyBorder="1">
      <alignment vertical="center"/>
    </xf>
    <xf numFmtId="49" fontId="9" fillId="4" borderId="1" xfId="97" applyNumberFormat="1" applyFont="1" applyFill="1" applyBorder="1" applyAlignment="1">
      <alignment horizontal="left" vertical="center"/>
    </xf>
    <xf numFmtId="49" fontId="22" fillId="4" borderId="1" xfId="97" applyNumberFormat="1" applyFont="1" applyFill="1" applyBorder="1" applyAlignment="1">
      <alignment horizontal="left" vertical="center"/>
    </xf>
    <xf numFmtId="49" fontId="9" fillId="4" borderId="1" xfId="95" applyNumberFormat="1" applyFont="1" applyFill="1" applyBorder="1" applyAlignment="1">
      <alignment horizontal="right" vertical="center"/>
    </xf>
    <xf numFmtId="49" fontId="3" fillId="2" borderId="1" xfId="97" applyNumberFormat="1" applyFont="1" applyFill="1" applyBorder="1" applyAlignment="1">
      <alignment horizontal="left" vertical="center"/>
    </xf>
    <xf numFmtId="49" fontId="3" fillId="6" borderId="1" xfId="97" applyNumberFormat="1" applyFont="1" applyFill="1" applyBorder="1" applyAlignment="1">
      <alignment horizontal="left" vertical="center"/>
    </xf>
    <xf numFmtId="0" fontId="15" fillId="4" borderId="0" xfId="97" applyFont="1" applyFill="1" applyAlignment="1">
      <alignment vertical="center"/>
    </xf>
    <xf numFmtId="0" fontId="16" fillId="4" borderId="0" xfId="97" applyFill="1" applyAlignment="1">
      <alignment vertical="center"/>
    </xf>
    <xf numFmtId="0" fontId="17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17" fillId="4" borderId="0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16" fillId="4" borderId="1" xfId="97" applyFill="1" applyBorder="1" applyAlignment="1">
      <alignment horizontal="center" vertical="center"/>
    </xf>
    <xf numFmtId="182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79" fontId="10" fillId="6" borderId="1" xfId="97" applyNumberFormat="1" applyFont="1" applyFill="1" applyBorder="1" applyAlignment="1">
      <alignment horizontal="right" vertical="center"/>
    </xf>
    <xf numFmtId="177" fontId="8" fillId="2" borderId="1" xfId="106" applyNumberFormat="1" applyFont="1" applyFill="1" applyBorder="1" applyAlignment="1">
      <alignment horizontal="right" vertical="center"/>
    </xf>
    <xf numFmtId="177" fontId="6" fillId="2" borderId="1" xfId="132" applyNumberFormat="1" applyFont="1" applyFill="1" applyBorder="1" applyAlignment="1">
      <alignment horizontal="right" vertical="center"/>
    </xf>
    <xf numFmtId="179" fontId="23" fillId="6" borderId="1" xfId="97" applyNumberFormat="1" applyFont="1" applyFill="1" applyBorder="1" applyAlignment="1">
      <alignment horizontal="center" vertical="center"/>
    </xf>
    <xf numFmtId="179" fontId="23" fillId="6" borderId="1" xfId="97" applyNumberFormat="1" applyFont="1" applyFill="1" applyBorder="1" applyAlignment="1">
      <alignment vertical="center"/>
    </xf>
    <xf numFmtId="179" fontId="12" fillId="6" borderId="3" xfId="97" applyNumberFormat="1" applyFont="1" applyFill="1" applyBorder="1" applyAlignment="1">
      <alignment horizontal="center" vertical="center" wrapText="1"/>
    </xf>
    <xf numFmtId="179" fontId="6" fillId="2" borderId="1" xfId="132" applyNumberFormat="1" applyFont="1" applyFill="1" applyBorder="1" applyAlignment="1">
      <alignment horizontal="right" vertical="center"/>
    </xf>
    <xf numFmtId="0" fontId="16" fillId="4" borderId="0" xfId="97" applyFill="1" applyBorder="1" applyAlignment="1">
      <alignment vertical="center"/>
    </xf>
    <xf numFmtId="176" fontId="0" fillId="4" borderId="0" xfId="0" applyNumberFormat="1" applyFill="1" applyBorder="1" applyAlignment="1">
      <alignment vertical="center"/>
    </xf>
    <xf numFmtId="182" fontId="0" fillId="4" borderId="0" xfId="0" applyNumberFormat="1" applyFill="1" applyBorder="1" applyAlignment="1">
      <alignment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>
      <alignment vertical="center"/>
    </xf>
    <xf numFmtId="176" fontId="0" fillId="4" borderId="0" xfId="0" applyNumberFormat="1" applyFill="1" applyBorder="1" applyAlignment="1">
      <alignment horizontal="center" vertical="center"/>
    </xf>
    <xf numFmtId="0" fontId="16" fillId="4" borderId="0" xfId="97" applyFill="1" applyBorder="1" applyAlignment="1">
      <alignment horizontal="center" vertical="center"/>
    </xf>
    <xf numFmtId="182" fontId="0" fillId="4" borderId="0" xfId="0" applyNumberFormat="1" applyFill="1" applyBorder="1" applyAlignment="1">
      <alignment horizontal="center" vertical="center"/>
    </xf>
  </cellXfs>
  <cellStyles count="13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_2012最新_核算工作表汇总" xfId="49"/>
    <cellStyle name="_ET_STYLE_NoName_00__2009年1月份丽水电信C网基站维护薪酬发放表" xfId="50"/>
    <cellStyle name="?鹎%U龡&amp;H?_x0008_e_x0005_9_x0006__x0007__x0001__x0001_" xfId="51"/>
    <cellStyle name="常规 6" xfId="52"/>
    <cellStyle name="百分比 2" xfId="53"/>
    <cellStyle name="常规 5 2" xfId="54"/>
    <cellStyle name="_ET_STYLE_NoName_00_" xfId="55"/>
    <cellStyle name="百分比 4" xfId="56"/>
    <cellStyle name="百分比 2 2" xfId="57"/>
    <cellStyle name="百分比 5" xfId="58"/>
    <cellStyle name="0,0_x000d__x000a_NA_x000d__x000a_" xfId="59"/>
    <cellStyle name="百分比 2 3" xfId="60"/>
    <cellStyle name="百分比 6" xfId="61"/>
    <cellStyle name="好_2012最新" xfId="62"/>
    <cellStyle name="_2010年内部预算编制模板-3月2日" xfId="63"/>
    <cellStyle name="_2010年预算汇总表20100206" xfId="64"/>
    <cellStyle name="常规 8 2" xfId="65"/>
    <cellStyle name="??&amp;O龡&amp;H?_x0008_??_x0007__x0001__x0001_" xfId="66"/>
    <cellStyle name="百分比 3 2" xfId="67"/>
    <cellStyle name="0,0_x005f_x000d__x005f_x000a_NA_x005f_x000d__x005f_x000a_" xfId="68"/>
    <cellStyle name="_ET_STYLE_NoName_00__2009年1月份丽水电信C网基站维护薪酬发放表_附表-2011年内部预算编制V1(1110)" xfId="69"/>
    <cellStyle name="差_附表-2011年内部预算编制V1(1110)" xfId="70"/>
    <cellStyle name="_20100211-2010年收入收款分包款一览表" xfId="71"/>
    <cellStyle name="_2010年回款量指标确认" xfId="72"/>
    <cellStyle name="百分比 3" xfId="73"/>
    <cellStyle name="差_20100303-2010年全面预算汇总模板" xfId="74"/>
    <cellStyle name="好_2012中通文博浙江泰昆预算工作表(1)" xfId="75"/>
    <cellStyle name="差_20100303-2010年全面预算汇总模板_核算工作表汇总" xfId="76"/>
    <cellStyle name="好_2012中通文博浙江泰昆预算工作表(1)_核算工作表汇总" xfId="77"/>
    <cellStyle name="差_20100303-2010年全面预算汇总模板_核算工作表汇总_浙江中通文博本级6月核算表" xfId="78"/>
    <cellStyle name="好_2012中通文博浙江泰昆预算工作表(1)_核算工作表汇总_浙江中通文博本级6月核算表" xfId="79"/>
    <cellStyle name="差_2012中通文博1月财务报表" xfId="80"/>
    <cellStyle name="差_2012中通文博浙江泰昆预算工作表(1)" xfId="81"/>
    <cellStyle name="差_2012中通文博浙江泰昆预算工作表(1)_核算工作表汇总" xfId="82"/>
    <cellStyle name="差_2012中通文博浙江泰昆预算工作表(1)_核算工作表汇总_浙江中通文博本级6月核算表" xfId="83"/>
    <cellStyle name="差_2012最新" xfId="84"/>
    <cellStyle name="差_2012最新_核算工作表汇总" xfId="85"/>
    <cellStyle name="差_2012最新_核算工作表汇总_浙江中通文博本级6月核算表" xfId="86"/>
    <cellStyle name="差_附表-2011年内部预算编制V1(1110)_核算工作表汇总" xfId="87"/>
    <cellStyle name="差_附表-2011年内部预算编制V1(1110)_核算工作表汇总_浙江中通文博本级6月核算表" xfId="88"/>
    <cellStyle name="差_收款" xfId="89"/>
    <cellStyle name="差_收款_核算工作表汇总" xfId="90"/>
    <cellStyle name="差_收款_核算工作表汇总_浙江中通文博本级6月核算表" xfId="91"/>
    <cellStyle name="差_浙江中通文博本级6月核算表" xfId="92"/>
    <cellStyle name="好_2012最新_核算工作表汇总_浙江中通文博本级6月核算表" xfId="93"/>
    <cellStyle name="常规 10" xfId="94"/>
    <cellStyle name="常规 10 2" xfId="95"/>
    <cellStyle name="常规 11" xfId="96"/>
    <cellStyle name="常规 12" xfId="97"/>
    <cellStyle name="常规 2" xfId="98"/>
    <cellStyle name="常规 2 2" xfId="99"/>
    <cellStyle name="常规 2 2 2" xfId="100"/>
    <cellStyle name="常规 2 3" xfId="101"/>
    <cellStyle name="常规 2 4" xfId="102"/>
    <cellStyle name="常规 3" xfId="103"/>
    <cellStyle name="常规 3 2" xfId="104"/>
    <cellStyle name="常规 3 2 2" xfId="105"/>
    <cellStyle name="常规 3 3" xfId="106"/>
    <cellStyle name="常规 4" xfId="107"/>
    <cellStyle name="常规 4 2" xfId="108"/>
    <cellStyle name="常规 4 3" xfId="109"/>
    <cellStyle name="常规 4_20090312省内代维业务2月工资发放" xfId="110"/>
    <cellStyle name="常规 5" xfId="111"/>
    <cellStyle name="常规 6 2" xfId="112"/>
    <cellStyle name="常规 6 3" xfId="113"/>
    <cellStyle name="常规 7" xfId="114"/>
    <cellStyle name="常规 7 2" xfId="115"/>
    <cellStyle name="常规 8" xfId="116"/>
    <cellStyle name="常规 9" xfId="117"/>
    <cellStyle name="常规_收入费用核算工作表" xfId="118"/>
    <cellStyle name="好_20100303-2010年全面预算汇总模板" xfId="119"/>
    <cellStyle name="好_20100303-2010年全面预算汇总模板_核算工作表汇总" xfId="120"/>
    <cellStyle name="好_20100303-2010年全面预算汇总模板_核算工作表汇总_浙江中通文博本级6月核算表" xfId="121"/>
    <cellStyle name="好_2012中通文博1月财务报表" xfId="122"/>
    <cellStyle name="好_附表-2011年内部预算编制V1(1110)" xfId="123"/>
    <cellStyle name="好_附表-2011年内部预算编制V1(1110)_核算工作表汇总" xfId="124"/>
    <cellStyle name="好_附表-2011年内部预算编制V1(1110)_核算工作表汇总_浙江中通文博本级6月核算表" xfId="125"/>
    <cellStyle name="好_收款" xfId="126"/>
    <cellStyle name="好_收款_核算工作表汇总" xfId="127"/>
    <cellStyle name="好_收款_核算工作表汇总_浙江中通文博本级6月核算表" xfId="128"/>
    <cellStyle name="好_浙江中通文博本级6月核算表" xfId="129"/>
    <cellStyle name="千位分隔 2" xfId="130"/>
    <cellStyle name="千位分隔 3" xfId="131"/>
    <cellStyle name="千位分隔 4" xfId="132"/>
    <cellStyle name="千位分隔 6" xfId="133"/>
    <cellStyle name="样式 1" xfId="134"/>
    <cellStyle name="Normal" xfId="135"/>
  </cellStyles>
  <tableStyles count="0" defaultTableStyle="TableStyleMedium9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9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4.4"/>
  <cols>
    <col min="1" max="1" width="9" style="9"/>
    <col min="2" max="2" width="18.5" style="9" customWidth="1"/>
    <col min="3" max="15" width="10.212962962963" style="9" hidden="1" customWidth="1"/>
    <col min="16" max="16" width="10.6296296296296" style="9" hidden="1" customWidth="1"/>
    <col min="17" max="20" width="10.212962962963" style="9" hidden="1" customWidth="1"/>
    <col min="21" max="21" width="10.212962962963" style="9" customWidth="1"/>
    <col min="22" max="22" width="12.6296296296296" style="9" customWidth="1"/>
    <col min="23" max="23" width="10.212962962963" style="9" customWidth="1"/>
    <col min="24" max="24" width="11.4814814814815" style="9" customWidth="1"/>
    <col min="25" max="27" width="10.212962962963" style="9" customWidth="1"/>
    <col min="28" max="28" width="11.6296296296296" style="9" customWidth="1"/>
    <col min="29" max="32" width="10.212962962963" style="9" customWidth="1"/>
    <col min="33" max="33" width="10.212962962963" style="9" hidden="1" customWidth="1"/>
    <col min="34" max="34" width="13.8796296296296" style="9" customWidth="1"/>
    <col min="35" max="35" width="12.787037037037" style="9"/>
  </cols>
  <sheetData>
    <row r="1" ht="17.4" spans="1:34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</row>
    <row r="2" ht="17.4" spans="1:34">
      <c r="A2" s="74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</row>
    <row r="3" s="7" customFormat="1" ht="15.6" spans="1:34">
      <c r="A3" s="14" t="s">
        <v>1</v>
      </c>
      <c r="B3" s="14"/>
      <c r="C3" s="15">
        <v>45809</v>
      </c>
      <c r="D3" s="15">
        <f>C3+1</f>
        <v>45810</v>
      </c>
      <c r="E3" s="15">
        <f t="shared" ref="E3:AG3" si="0">D3+1</f>
        <v>45811</v>
      </c>
      <c r="F3" s="15">
        <f t="shared" si="0"/>
        <v>45812</v>
      </c>
      <c r="G3" s="15">
        <f t="shared" si="0"/>
        <v>45813</v>
      </c>
      <c r="H3" s="15">
        <f t="shared" si="0"/>
        <v>45814</v>
      </c>
      <c r="I3" s="15">
        <f t="shared" si="0"/>
        <v>45815</v>
      </c>
      <c r="J3" s="15">
        <f t="shared" si="0"/>
        <v>45816</v>
      </c>
      <c r="K3" s="15">
        <f t="shared" si="0"/>
        <v>45817</v>
      </c>
      <c r="L3" s="15">
        <f t="shared" si="0"/>
        <v>45818</v>
      </c>
      <c r="M3" s="15">
        <f t="shared" si="0"/>
        <v>45819</v>
      </c>
      <c r="N3" s="15">
        <f t="shared" si="0"/>
        <v>45820</v>
      </c>
      <c r="O3" s="15">
        <f t="shared" si="0"/>
        <v>45821</v>
      </c>
      <c r="P3" s="15">
        <f t="shared" si="0"/>
        <v>45822</v>
      </c>
      <c r="Q3" s="15">
        <f t="shared" si="0"/>
        <v>45823</v>
      </c>
      <c r="R3" s="15">
        <f t="shared" si="0"/>
        <v>45824</v>
      </c>
      <c r="S3" s="15">
        <f t="shared" si="0"/>
        <v>45825</v>
      </c>
      <c r="T3" s="15">
        <f t="shared" si="0"/>
        <v>45826</v>
      </c>
      <c r="U3" s="15">
        <f t="shared" si="0"/>
        <v>45827</v>
      </c>
      <c r="V3" s="15">
        <f t="shared" si="0"/>
        <v>45828</v>
      </c>
      <c r="W3" s="15">
        <f t="shared" si="0"/>
        <v>45829</v>
      </c>
      <c r="X3" s="15">
        <f t="shared" si="0"/>
        <v>45830</v>
      </c>
      <c r="Y3" s="15">
        <f t="shared" si="0"/>
        <v>45831</v>
      </c>
      <c r="Z3" s="15">
        <f t="shared" si="0"/>
        <v>45832</v>
      </c>
      <c r="AA3" s="15">
        <f t="shared" si="0"/>
        <v>45833</v>
      </c>
      <c r="AB3" s="15">
        <f t="shared" si="0"/>
        <v>45834</v>
      </c>
      <c r="AC3" s="15">
        <f t="shared" si="0"/>
        <v>45835</v>
      </c>
      <c r="AD3" s="15">
        <f t="shared" si="0"/>
        <v>45836</v>
      </c>
      <c r="AE3" s="15">
        <f t="shared" si="0"/>
        <v>45837</v>
      </c>
      <c r="AF3" s="15">
        <f t="shared" si="0"/>
        <v>45838</v>
      </c>
      <c r="AG3" s="15">
        <f t="shared" si="0"/>
        <v>45839</v>
      </c>
      <c r="AH3" s="76" t="s">
        <v>2</v>
      </c>
    </row>
    <row r="4" s="7" customFormat="1" ht="15.6" spans="1:34">
      <c r="A4" s="14"/>
      <c r="B4" s="14"/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  <c r="K4" s="17" t="s">
        <v>3</v>
      </c>
      <c r="L4" s="17" t="s">
        <v>3</v>
      </c>
      <c r="M4" s="17" t="s">
        <v>3</v>
      </c>
      <c r="N4" s="17" t="s">
        <v>3</v>
      </c>
      <c r="O4" s="17" t="s">
        <v>3</v>
      </c>
      <c r="P4" s="17" t="s">
        <v>3</v>
      </c>
      <c r="Q4" s="17" t="s">
        <v>3</v>
      </c>
      <c r="R4" s="17" t="s">
        <v>3</v>
      </c>
      <c r="S4" s="17" t="s">
        <v>3</v>
      </c>
      <c r="T4" s="17" t="s">
        <v>3</v>
      </c>
      <c r="U4" s="17" t="s">
        <v>3</v>
      </c>
      <c r="V4" s="17" t="s">
        <v>3</v>
      </c>
      <c r="W4" s="17" t="s">
        <v>3</v>
      </c>
      <c r="X4" s="17" t="s">
        <v>3</v>
      </c>
      <c r="Y4" s="17" t="s">
        <v>3</v>
      </c>
      <c r="Z4" s="17" t="s">
        <v>3</v>
      </c>
      <c r="AA4" s="17" t="s">
        <v>3</v>
      </c>
      <c r="AB4" s="17" t="s">
        <v>3</v>
      </c>
      <c r="AC4" s="17" t="s">
        <v>3</v>
      </c>
      <c r="AD4" s="17" t="s">
        <v>3</v>
      </c>
      <c r="AE4" s="17" t="s">
        <v>3</v>
      </c>
      <c r="AF4" s="17" t="s">
        <v>3</v>
      </c>
      <c r="AG4" s="17" t="s">
        <v>3</v>
      </c>
      <c r="AH4" s="17" t="s">
        <v>3</v>
      </c>
    </row>
    <row r="5" spans="1:34">
      <c r="A5" s="77" t="s">
        <v>4</v>
      </c>
      <c r="B5" s="78" t="s">
        <v>5</v>
      </c>
      <c r="C5" s="79">
        <f>SUMIFS('6月处理量'!$F:$F,'6月处理量'!$A:$A,C3)</f>
        <v>626140</v>
      </c>
      <c r="D5" s="79">
        <f>SUMIFS('6月处理量'!$F:$F,'6月处理量'!$A:$A,D3)</f>
        <v>612040</v>
      </c>
      <c r="E5" s="79">
        <f>SUMIFS('6月处理量'!$F:$F,'6月处理量'!$A:$A,E3)</f>
        <v>700265</v>
      </c>
      <c r="F5" s="79">
        <f>SUMIFS('6月处理量'!$F:$F,'6月处理量'!$A:$A,F3)</f>
        <v>743201</v>
      </c>
      <c r="G5" s="79">
        <f>SUMIFS('6月处理量'!$F:$F,'6月处理量'!$A:$A,G3)</f>
        <v>790629</v>
      </c>
      <c r="H5" s="79">
        <f>SUMIFS('6月处理量'!$F:$F,'6月处理量'!$A:$A,H3)</f>
        <v>770752</v>
      </c>
      <c r="I5" s="79">
        <f>SUMIFS('6月处理量'!$F:$F,'6月处理量'!$A:$A,I3)</f>
        <v>758273</v>
      </c>
      <c r="J5" s="79">
        <f>SUMIFS('6月处理量'!$F:$F,'6月处理量'!$A:$A,J3)</f>
        <v>749111</v>
      </c>
      <c r="K5" s="79">
        <f>SUMIFS('6月处理量'!$F:$F,'6月处理量'!$A:$A,K3)</f>
        <v>708913</v>
      </c>
      <c r="L5" s="81">
        <f>SUMIFS('6月处理量'!$F:$F,'6月处理量'!$A:$A,L3)</f>
        <v>754467</v>
      </c>
      <c r="M5" s="81">
        <f>SUMIFS('6月处理量'!$F:$F,'6月处理量'!$A:$A,M3)</f>
        <v>768670</v>
      </c>
      <c r="N5" s="81">
        <f>SUMIFS('6月处理量'!$F:$F,'6月处理量'!$A:$A,N3)</f>
        <v>756327</v>
      </c>
      <c r="O5" s="81">
        <f>SUMIFS('6月处理量'!$F:$F,'6月处理量'!$A:$A,O3)</f>
        <v>792179</v>
      </c>
      <c r="P5" s="81">
        <f>SUMIFS('6月处理量'!$F:$F,'6月处理量'!$A:$A,P3)</f>
        <v>761220</v>
      </c>
      <c r="Q5" s="81">
        <f>SUMIFS('6月处理量'!$F:$F,'6月处理量'!$A:$A,Q3)</f>
        <v>724067</v>
      </c>
      <c r="R5" s="81">
        <f>SUMIFS('6月处理量'!$F:$F,'6月处理量'!$A:$A,R3)</f>
        <v>745089</v>
      </c>
      <c r="S5" s="81">
        <f>SUMIFS('6月处理量'!$F:$F,'6月处理量'!$A:$A,S3)</f>
        <v>750888</v>
      </c>
      <c r="T5" s="81">
        <f>SUMIFS('6月处理量'!$F:$F,'6月处理量'!$A:$A,T3)</f>
        <v>757415</v>
      </c>
      <c r="U5" s="81">
        <f>SUMIFS('6月处理量'!$F:$F,'6月处理量'!$A:$A,U3)</f>
        <v>800519</v>
      </c>
      <c r="V5" s="81">
        <f>SUMIFS('6月处理量'!$F:$F,'6月处理量'!$A:$A,V3)</f>
        <v>788168</v>
      </c>
      <c r="W5" s="81">
        <f>SUMIFS('6月处理量'!$F:$F,'6月处理量'!$A:$A,W3)</f>
        <v>814196</v>
      </c>
      <c r="X5" s="81">
        <f>SUMIFS('6月处理量'!$F:$F,'6月处理量'!$A:$A,X3)</f>
        <v>789708</v>
      </c>
      <c r="Y5" s="81">
        <f>SUMIFS('6月处理量'!$F:$F,'6月处理量'!$A:$A,Y3)</f>
        <v>738092</v>
      </c>
      <c r="Z5" s="81">
        <f>SUMIFS('6月处理量'!$F:$F,'6月处理量'!$A:$A,Z3)</f>
        <v>714806</v>
      </c>
      <c r="AA5" s="81">
        <f>SUMIFS('6月处理量'!$F:$F,'6月处理量'!$A:$A,AA3)</f>
        <v>738620</v>
      </c>
      <c r="AB5" s="81">
        <f>SUMIFS('6月处理量'!$F:$F,'6月处理量'!$A:$A,AB3)</f>
        <v>699538</v>
      </c>
      <c r="AC5" s="81">
        <f>SUMIFS('6月处理量'!$F:$F,'6月处理量'!$A:$A,AC3)</f>
        <v>709230</v>
      </c>
      <c r="AD5" s="81">
        <f>SUMIFS('6月处理量'!$F:$F,'6月处理量'!$A:$A,AD3)</f>
        <v>699340</v>
      </c>
      <c r="AE5" s="81">
        <f>SUMIFS('6月处理量'!$F:$F,'6月处理量'!$A:$A,AE3)</f>
        <v>719059</v>
      </c>
      <c r="AF5" s="81">
        <f>SUMIFS('6月处理量'!$F:$F,'6月处理量'!$A:$A,AF3)</f>
        <v>693059</v>
      </c>
      <c r="AG5" s="81">
        <f>SUMIFS('6月处理量'!$F:$F,'6月处理量'!$A:$A,AG3)</f>
        <v>0</v>
      </c>
      <c r="AH5" s="87">
        <f t="shared" ref="AH5:AH16" si="1">SUM(C5:AG5)</f>
        <v>22173981</v>
      </c>
    </row>
    <row r="6" spans="1:34">
      <c r="A6" s="77" t="s">
        <v>6</v>
      </c>
      <c r="B6" s="78" t="s">
        <v>7</v>
      </c>
      <c r="C6" s="80">
        <v>0.1667</v>
      </c>
      <c r="D6" s="80">
        <v>0.1667</v>
      </c>
      <c r="E6" s="80">
        <v>0.1667</v>
      </c>
      <c r="F6" s="80">
        <v>0.1667</v>
      </c>
      <c r="G6" s="80">
        <v>0.1667</v>
      </c>
      <c r="H6" s="80">
        <v>0.1667</v>
      </c>
      <c r="I6" s="80">
        <v>0.1667</v>
      </c>
      <c r="J6" s="80">
        <v>0.1667</v>
      </c>
      <c r="K6" s="80">
        <v>0.1667</v>
      </c>
      <c r="L6" s="80">
        <v>0.1667</v>
      </c>
      <c r="M6" s="80">
        <v>0.1667</v>
      </c>
      <c r="N6" s="80">
        <v>0.1667</v>
      </c>
      <c r="O6" s="80">
        <v>0.1667</v>
      </c>
      <c r="P6" s="80">
        <v>0.1667</v>
      </c>
      <c r="Q6" s="80">
        <v>0.1667</v>
      </c>
      <c r="R6" s="80">
        <v>0.1667</v>
      </c>
      <c r="S6" s="80">
        <v>0.1667</v>
      </c>
      <c r="T6" s="80">
        <v>0.1667</v>
      </c>
      <c r="U6" s="80">
        <v>0.1667</v>
      </c>
      <c r="V6" s="80">
        <v>0.1667</v>
      </c>
      <c r="W6" s="80">
        <v>0.1667</v>
      </c>
      <c r="X6" s="80">
        <v>0.1667</v>
      </c>
      <c r="Y6" s="80">
        <v>0.1667</v>
      </c>
      <c r="Z6" s="80">
        <v>0.1667</v>
      </c>
      <c r="AA6" s="80">
        <v>0.1667</v>
      </c>
      <c r="AB6" s="80">
        <v>0.1667</v>
      </c>
      <c r="AC6" s="80">
        <v>0.1667</v>
      </c>
      <c r="AD6" s="80">
        <v>0.1667</v>
      </c>
      <c r="AE6" s="80">
        <v>0.1667</v>
      </c>
      <c r="AF6" s="80">
        <v>0.1667</v>
      </c>
      <c r="AG6" s="81"/>
      <c r="AH6" s="87">
        <v>0.1667</v>
      </c>
    </row>
    <row r="7" spans="1:34">
      <c r="A7" s="77" t="s">
        <v>8</v>
      </c>
      <c r="B7" s="78" t="s">
        <v>9</v>
      </c>
      <c r="C7" s="81">
        <v>104377.54</v>
      </c>
      <c r="D7" s="81">
        <v>102027.07</v>
      </c>
      <c r="E7" s="81">
        <v>116734.18</v>
      </c>
      <c r="F7" s="81">
        <v>123891.61</v>
      </c>
      <c r="G7" s="81">
        <v>131797.85</v>
      </c>
      <c r="H7" s="81">
        <v>128484.36</v>
      </c>
      <c r="I7" s="81">
        <v>126404.11</v>
      </c>
      <c r="J7" s="81">
        <v>124876.8</v>
      </c>
      <c r="K7" s="81">
        <v>118175.8</v>
      </c>
      <c r="L7" s="81">
        <v>125769.65</v>
      </c>
      <c r="M7" s="81">
        <v>128137.29</v>
      </c>
      <c r="N7" s="81">
        <v>126079.71</v>
      </c>
      <c r="O7" s="81">
        <v>132056.24</v>
      </c>
      <c r="P7" s="81">
        <v>126895.37</v>
      </c>
      <c r="Q7" s="81">
        <v>120701.97</v>
      </c>
      <c r="R7" s="81">
        <v>124206.34</v>
      </c>
      <c r="S7" s="81">
        <v>125173.03</v>
      </c>
      <c r="T7" s="81">
        <v>126261.08</v>
      </c>
      <c r="U7" s="81">
        <v>133446.52</v>
      </c>
      <c r="V7" s="81">
        <v>131387.61</v>
      </c>
      <c r="W7" s="81">
        <v>135726.47</v>
      </c>
      <c r="X7" s="81">
        <v>131644.32</v>
      </c>
      <c r="Y7" s="81">
        <v>123039.94</v>
      </c>
      <c r="Z7" s="81">
        <v>119158.16</v>
      </c>
      <c r="AA7" s="81">
        <v>123127.95</v>
      </c>
      <c r="AB7" s="81">
        <v>116612.98</v>
      </c>
      <c r="AC7" s="81">
        <v>118228.64</v>
      </c>
      <c r="AD7" s="81">
        <v>116579.98</v>
      </c>
      <c r="AE7" s="81">
        <v>119867.14</v>
      </c>
      <c r="AF7" s="81">
        <v>115532.94</v>
      </c>
      <c r="AG7" s="81"/>
      <c r="AH7" s="87">
        <f t="shared" si="1"/>
        <v>3696402.65</v>
      </c>
    </row>
    <row r="8" spans="1:34">
      <c r="A8" s="77" t="s">
        <v>10</v>
      </c>
      <c r="B8" s="78" t="s">
        <v>11</v>
      </c>
      <c r="C8" s="81">
        <v>3000</v>
      </c>
      <c r="D8" s="81">
        <v>3000</v>
      </c>
      <c r="E8" s="81">
        <v>3000</v>
      </c>
      <c r="F8" s="81">
        <v>3000</v>
      </c>
      <c r="G8" s="81">
        <v>3000</v>
      </c>
      <c r="H8" s="81">
        <v>3000</v>
      </c>
      <c r="I8" s="81">
        <v>3000</v>
      </c>
      <c r="J8" s="81">
        <v>3000</v>
      </c>
      <c r="K8" s="81">
        <v>3000</v>
      </c>
      <c r="L8" s="81">
        <v>3000</v>
      </c>
      <c r="M8" s="81">
        <v>3000</v>
      </c>
      <c r="N8" s="81">
        <v>3000</v>
      </c>
      <c r="O8" s="81">
        <v>3000</v>
      </c>
      <c r="P8" s="81">
        <v>3000</v>
      </c>
      <c r="Q8" s="81">
        <v>3000</v>
      </c>
      <c r="R8" s="81">
        <v>3000</v>
      </c>
      <c r="S8" s="81">
        <v>3000</v>
      </c>
      <c r="T8" s="81">
        <v>3000</v>
      </c>
      <c r="U8" s="81">
        <v>3000</v>
      </c>
      <c r="V8" s="81">
        <v>3000</v>
      </c>
      <c r="W8" s="81">
        <v>3000</v>
      </c>
      <c r="X8" s="81">
        <v>3000</v>
      </c>
      <c r="Y8" s="81">
        <v>3000</v>
      </c>
      <c r="Z8" s="81">
        <v>3000</v>
      </c>
      <c r="AA8" s="81">
        <v>3000</v>
      </c>
      <c r="AB8" s="81">
        <v>3000</v>
      </c>
      <c r="AC8" s="81">
        <v>3000</v>
      </c>
      <c r="AD8" s="81">
        <v>3000</v>
      </c>
      <c r="AE8" s="81">
        <v>3000</v>
      </c>
      <c r="AF8" s="81">
        <v>3000</v>
      </c>
      <c r="AG8" s="81"/>
      <c r="AH8" s="87">
        <f t="shared" si="1"/>
        <v>90000</v>
      </c>
    </row>
    <row r="9" hidden="1" spans="1:34">
      <c r="A9" s="77" t="s">
        <v>12</v>
      </c>
      <c r="B9" s="78" t="s">
        <v>13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7">
        <f t="shared" si="1"/>
        <v>0</v>
      </c>
    </row>
    <row r="10" spans="1:34">
      <c r="A10" s="77" t="s">
        <v>14</v>
      </c>
      <c r="B10" s="78" t="s">
        <v>15</v>
      </c>
      <c r="C10" s="81">
        <v>101377.54</v>
      </c>
      <c r="D10" s="81">
        <v>99027.07</v>
      </c>
      <c r="E10" s="81">
        <v>113734.18</v>
      </c>
      <c r="F10" s="81">
        <v>120891.61</v>
      </c>
      <c r="G10" s="81">
        <v>128797.85</v>
      </c>
      <c r="H10" s="81">
        <v>125484.36</v>
      </c>
      <c r="I10" s="81">
        <v>123404.11</v>
      </c>
      <c r="J10" s="81">
        <v>121876.8</v>
      </c>
      <c r="K10" s="81">
        <v>115175.8</v>
      </c>
      <c r="L10" s="81">
        <v>122769.65</v>
      </c>
      <c r="M10" s="81">
        <v>125137.29</v>
      </c>
      <c r="N10" s="81">
        <v>123079.71</v>
      </c>
      <c r="O10" s="81">
        <v>129056.24</v>
      </c>
      <c r="P10" s="81">
        <v>123895.37</v>
      </c>
      <c r="Q10" s="81">
        <v>117701.97</v>
      </c>
      <c r="R10" s="81">
        <v>121206.34</v>
      </c>
      <c r="S10" s="81">
        <v>122173.03</v>
      </c>
      <c r="T10" s="81">
        <v>123261.08</v>
      </c>
      <c r="U10" s="81">
        <v>130446.52</v>
      </c>
      <c r="V10" s="81">
        <v>128387.61</v>
      </c>
      <c r="W10" s="81">
        <v>132726.47</v>
      </c>
      <c r="X10" s="81">
        <v>128644.32</v>
      </c>
      <c r="Y10" s="81">
        <v>120039.94</v>
      </c>
      <c r="Z10" s="81">
        <v>116158.16</v>
      </c>
      <c r="AA10" s="81">
        <v>120127.95</v>
      </c>
      <c r="AB10" s="81">
        <v>113612.98</v>
      </c>
      <c r="AC10" s="81">
        <v>115228.64</v>
      </c>
      <c r="AD10" s="81">
        <v>113579.98</v>
      </c>
      <c r="AE10" s="81">
        <v>116867.14</v>
      </c>
      <c r="AF10" s="81">
        <v>112532.94</v>
      </c>
      <c r="AG10" s="81"/>
      <c r="AH10" s="87">
        <f t="shared" si="1"/>
        <v>3606402.65</v>
      </c>
    </row>
    <row r="11" s="7" customFormat="1" ht="15.6" spans="1:34">
      <c r="A11" s="82" t="s">
        <v>16</v>
      </c>
      <c r="B11" s="82"/>
      <c r="C11" s="27">
        <v>95639.19</v>
      </c>
      <c r="D11" s="27">
        <v>93421.76</v>
      </c>
      <c r="E11" s="27">
        <v>107296.4</v>
      </c>
      <c r="F11" s="27">
        <v>114048.69</v>
      </c>
      <c r="G11" s="27">
        <v>121507.41</v>
      </c>
      <c r="H11" s="27">
        <v>118381.47</v>
      </c>
      <c r="I11" s="27">
        <v>116418.97</v>
      </c>
      <c r="J11" s="27">
        <v>114978.11</v>
      </c>
      <c r="K11" s="27">
        <v>108656.42</v>
      </c>
      <c r="L11" s="27">
        <v>115820.42</v>
      </c>
      <c r="M11" s="27">
        <v>118054.05</v>
      </c>
      <c r="N11" s="27">
        <v>116112.93</v>
      </c>
      <c r="O11" s="27">
        <v>121751.17</v>
      </c>
      <c r="P11" s="27">
        <v>116882.42</v>
      </c>
      <c r="Q11" s="27">
        <v>111039.59</v>
      </c>
      <c r="R11" s="27">
        <v>114345.6</v>
      </c>
      <c r="S11" s="27">
        <v>115257.58</v>
      </c>
      <c r="T11" s="27">
        <v>116284.04</v>
      </c>
      <c r="U11" s="27">
        <v>123062.75</v>
      </c>
      <c r="V11" s="27">
        <v>121120.39</v>
      </c>
      <c r="W11" s="27">
        <v>125213.65</v>
      </c>
      <c r="X11" s="27">
        <v>121362.57</v>
      </c>
      <c r="Y11" s="27">
        <v>113245.23</v>
      </c>
      <c r="Z11" s="27">
        <v>109583.17</v>
      </c>
      <c r="AA11" s="27">
        <v>113328.25</v>
      </c>
      <c r="AB11" s="27">
        <v>107182.06</v>
      </c>
      <c r="AC11" s="27">
        <v>108706.26</v>
      </c>
      <c r="AD11" s="27">
        <v>107150.92</v>
      </c>
      <c r="AE11" s="27">
        <v>110252.02</v>
      </c>
      <c r="AF11" s="27">
        <v>106163.15</v>
      </c>
      <c r="AG11" s="27"/>
      <c r="AH11" s="83">
        <f t="shared" si="1"/>
        <v>3402266.64</v>
      </c>
    </row>
    <row r="12" ht="15.6" spans="1:34">
      <c r="A12" s="77">
        <v>1</v>
      </c>
      <c r="B12" s="84" t="s">
        <v>17</v>
      </c>
      <c r="C12" s="85">
        <v>20</v>
      </c>
      <c r="D12" s="86">
        <v>19</v>
      </c>
      <c r="E12" s="86">
        <v>22</v>
      </c>
      <c r="F12" s="86">
        <v>21</v>
      </c>
      <c r="G12" s="86">
        <v>22</v>
      </c>
      <c r="H12" s="86">
        <v>22</v>
      </c>
      <c r="I12" s="86">
        <v>21</v>
      </c>
      <c r="J12" s="86">
        <v>18</v>
      </c>
      <c r="K12" s="86">
        <v>22</v>
      </c>
      <c r="L12" s="86">
        <v>23</v>
      </c>
      <c r="M12" s="86">
        <v>22</v>
      </c>
      <c r="N12" s="86">
        <v>21</v>
      </c>
      <c r="O12" s="86">
        <v>20</v>
      </c>
      <c r="P12" s="86">
        <v>17</v>
      </c>
      <c r="Q12" s="86">
        <v>18</v>
      </c>
      <c r="R12" s="86">
        <v>19</v>
      </c>
      <c r="S12" s="86">
        <v>20</v>
      </c>
      <c r="T12" s="86">
        <v>22</v>
      </c>
      <c r="U12" s="86">
        <v>22</v>
      </c>
      <c r="V12" s="86">
        <v>22</v>
      </c>
      <c r="W12" s="86">
        <v>22</v>
      </c>
      <c r="X12" s="86">
        <v>17</v>
      </c>
      <c r="Y12" s="86">
        <v>20</v>
      </c>
      <c r="Z12" s="86">
        <v>20</v>
      </c>
      <c r="AA12" s="86">
        <v>19</v>
      </c>
      <c r="AB12" s="86">
        <v>19</v>
      </c>
      <c r="AC12" s="86">
        <v>23</v>
      </c>
      <c r="AD12" s="86">
        <v>20</v>
      </c>
      <c r="AE12" s="86">
        <v>22</v>
      </c>
      <c r="AF12" s="86">
        <v>22</v>
      </c>
      <c r="AG12" s="86"/>
      <c r="AH12" s="87">
        <f t="shared" si="1"/>
        <v>617</v>
      </c>
    </row>
    <row r="13" ht="15.6" spans="1:34">
      <c r="A13" s="77">
        <v>2</v>
      </c>
      <c r="B13" s="84" t="s">
        <v>18</v>
      </c>
      <c r="C13" s="85">
        <v>291</v>
      </c>
      <c r="D13" s="86">
        <v>299</v>
      </c>
      <c r="E13" s="86">
        <v>293</v>
      </c>
      <c r="F13" s="86">
        <v>302</v>
      </c>
      <c r="G13" s="86">
        <v>310</v>
      </c>
      <c r="H13" s="86">
        <v>297</v>
      </c>
      <c r="I13" s="86">
        <v>302</v>
      </c>
      <c r="J13" s="86">
        <v>309</v>
      </c>
      <c r="K13" s="86">
        <v>295</v>
      </c>
      <c r="L13" s="86">
        <v>299</v>
      </c>
      <c r="M13" s="86">
        <v>302</v>
      </c>
      <c r="N13" s="86">
        <v>301</v>
      </c>
      <c r="O13" s="86">
        <v>316</v>
      </c>
      <c r="P13" s="86">
        <v>315</v>
      </c>
      <c r="Q13" s="86">
        <v>312</v>
      </c>
      <c r="R13" s="86">
        <v>307</v>
      </c>
      <c r="S13" s="86">
        <v>312</v>
      </c>
      <c r="T13" s="86">
        <v>309</v>
      </c>
      <c r="U13" s="86">
        <v>319</v>
      </c>
      <c r="V13" s="86">
        <v>311</v>
      </c>
      <c r="W13" s="86">
        <v>309</v>
      </c>
      <c r="X13" s="86">
        <v>318</v>
      </c>
      <c r="Y13" s="86">
        <v>307</v>
      </c>
      <c r="Z13" s="86">
        <v>320</v>
      </c>
      <c r="AA13" s="86">
        <v>316</v>
      </c>
      <c r="AB13" s="86">
        <v>317</v>
      </c>
      <c r="AC13" s="86">
        <v>314</v>
      </c>
      <c r="AD13" s="86">
        <v>318</v>
      </c>
      <c r="AE13" s="86">
        <v>324</v>
      </c>
      <c r="AF13" s="86">
        <v>301</v>
      </c>
      <c r="AG13" s="86"/>
      <c r="AH13" s="87">
        <f t="shared" si="1"/>
        <v>9245</v>
      </c>
    </row>
    <row r="14" ht="15.6" spans="1:34">
      <c r="A14" s="77">
        <v>3</v>
      </c>
      <c r="B14" s="84" t="s">
        <v>19</v>
      </c>
      <c r="C14" s="85">
        <v>58</v>
      </c>
      <c r="D14" s="86">
        <v>49</v>
      </c>
      <c r="E14" s="86">
        <v>49</v>
      </c>
      <c r="F14" s="86">
        <v>50</v>
      </c>
      <c r="G14" s="86">
        <v>49</v>
      </c>
      <c r="H14" s="86">
        <v>58</v>
      </c>
      <c r="I14" s="86">
        <v>56</v>
      </c>
      <c r="J14" s="86">
        <v>48</v>
      </c>
      <c r="K14" s="86">
        <v>48</v>
      </c>
      <c r="L14" s="86">
        <v>47</v>
      </c>
      <c r="M14" s="86">
        <v>46</v>
      </c>
      <c r="N14" s="86">
        <v>53</v>
      </c>
      <c r="O14" s="86">
        <v>48</v>
      </c>
      <c r="P14" s="86">
        <v>46</v>
      </c>
      <c r="Q14" s="86">
        <v>46</v>
      </c>
      <c r="R14" s="86">
        <v>45</v>
      </c>
      <c r="S14" s="86">
        <v>45</v>
      </c>
      <c r="T14" s="86">
        <v>48</v>
      </c>
      <c r="U14" s="86">
        <v>46</v>
      </c>
      <c r="V14" s="86">
        <v>50</v>
      </c>
      <c r="W14" s="86">
        <v>47</v>
      </c>
      <c r="X14" s="86">
        <v>50</v>
      </c>
      <c r="Y14" s="86">
        <v>50</v>
      </c>
      <c r="Z14" s="86">
        <v>49</v>
      </c>
      <c r="AA14" s="86">
        <v>46</v>
      </c>
      <c r="AB14" s="86">
        <v>44</v>
      </c>
      <c r="AC14" s="86">
        <v>49</v>
      </c>
      <c r="AD14" s="86">
        <v>51</v>
      </c>
      <c r="AE14" s="86">
        <v>40</v>
      </c>
      <c r="AF14" s="86">
        <v>52</v>
      </c>
      <c r="AG14" s="86"/>
      <c r="AH14" s="87">
        <f t="shared" si="1"/>
        <v>1463</v>
      </c>
    </row>
    <row r="15" ht="15.6" spans="1:34">
      <c r="A15" s="77">
        <v>4</v>
      </c>
      <c r="B15" s="84" t="s">
        <v>20</v>
      </c>
      <c r="C15" s="85">
        <v>369</v>
      </c>
      <c r="D15" s="86">
        <v>367</v>
      </c>
      <c r="E15" s="86">
        <v>364</v>
      </c>
      <c r="F15" s="86">
        <v>373</v>
      </c>
      <c r="G15" s="86">
        <v>381</v>
      </c>
      <c r="H15" s="86">
        <v>377</v>
      </c>
      <c r="I15" s="86">
        <v>379</v>
      </c>
      <c r="J15" s="86">
        <v>375</v>
      </c>
      <c r="K15" s="86">
        <v>365</v>
      </c>
      <c r="L15" s="86">
        <v>369</v>
      </c>
      <c r="M15" s="86">
        <v>370</v>
      </c>
      <c r="N15" s="86">
        <v>375</v>
      </c>
      <c r="O15" s="86">
        <v>384</v>
      </c>
      <c r="P15" s="86">
        <v>378</v>
      </c>
      <c r="Q15" s="86">
        <v>376</v>
      </c>
      <c r="R15" s="86">
        <v>371</v>
      </c>
      <c r="S15" s="86">
        <v>377</v>
      </c>
      <c r="T15" s="86">
        <v>379</v>
      </c>
      <c r="U15" s="86">
        <v>387</v>
      </c>
      <c r="V15" s="86">
        <v>383</v>
      </c>
      <c r="W15" s="86">
        <v>378</v>
      </c>
      <c r="X15" s="86">
        <v>385</v>
      </c>
      <c r="Y15" s="86">
        <v>377</v>
      </c>
      <c r="Z15" s="86">
        <v>389</v>
      </c>
      <c r="AA15" s="86">
        <v>381</v>
      </c>
      <c r="AB15" s="86">
        <v>380</v>
      </c>
      <c r="AC15" s="86">
        <v>386</v>
      </c>
      <c r="AD15" s="86">
        <v>389</v>
      </c>
      <c r="AE15" s="86">
        <v>386</v>
      </c>
      <c r="AF15" s="86">
        <v>375</v>
      </c>
      <c r="AG15" s="86"/>
      <c r="AH15" s="87">
        <f t="shared" si="1"/>
        <v>11325</v>
      </c>
    </row>
    <row r="16" ht="15.6" spans="1:34">
      <c r="A16" s="77">
        <v>5</v>
      </c>
      <c r="B16" s="84" t="s">
        <v>21</v>
      </c>
      <c r="C16" s="88">
        <v>3960</v>
      </c>
      <c r="D16" s="88">
        <v>3912</v>
      </c>
      <c r="E16" s="88">
        <v>3872</v>
      </c>
      <c r="F16" s="88">
        <v>4000.5</v>
      </c>
      <c r="G16" s="88">
        <v>4087.5</v>
      </c>
      <c r="H16" s="88">
        <v>4042</v>
      </c>
      <c r="I16" s="88">
        <v>4066.5</v>
      </c>
      <c r="J16" s="88">
        <v>4046.5</v>
      </c>
      <c r="K16" s="88">
        <v>3897</v>
      </c>
      <c r="L16" s="88">
        <v>3926</v>
      </c>
      <c r="M16" s="88">
        <v>3962</v>
      </c>
      <c r="N16" s="88">
        <v>4023.5</v>
      </c>
      <c r="O16" s="88">
        <v>4124.5</v>
      </c>
      <c r="P16" s="88">
        <v>4100.5</v>
      </c>
      <c r="Q16" s="88">
        <v>4059.5</v>
      </c>
      <c r="R16" s="88">
        <v>3997.5</v>
      </c>
      <c r="S16" s="88">
        <v>4072.5</v>
      </c>
      <c r="T16" s="88">
        <v>4067</v>
      </c>
      <c r="U16" s="88">
        <v>4151</v>
      </c>
      <c r="V16" s="88">
        <v>4165</v>
      </c>
      <c r="W16" s="88">
        <v>4104.5</v>
      </c>
      <c r="X16" s="88">
        <v>4212.5</v>
      </c>
      <c r="Y16" s="88">
        <v>4105</v>
      </c>
      <c r="Z16" s="88">
        <v>4197.5</v>
      </c>
      <c r="AA16" s="88">
        <v>4109</v>
      </c>
      <c r="AB16" s="88">
        <v>4110</v>
      </c>
      <c r="AC16" s="88">
        <v>4120.5</v>
      </c>
      <c r="AD16" s="88">
        <v>4251.5</v>
      </c>
      <c r="AE16" s="88">
        <v>4148.5</v>
      </c>
      <c r="AF16" s="88">
        <v>4008.5</v>
      </c>
      <c r="AG16" s="88"/>
      <c r="AH16" s="88">
        <f t="shared" si="1"/>
        <v>121900.5</v>
      </c>
    </row>
    <row r="17" s="7" customFormat="1" ht="15.6" spans="1:34">
      <c r="A17" s="31" t="s">
        <v>22</v>
      </c>
      <c r="B17" s="89"/>
      <c r="C17" s="115">
        <v>1696.85636856369</v>
      </c>
      <c r="D17" s="115">
        <v>1667.68392370572</v>
      </c>
      <c r="E17" s="115">
        <v>1923.80494505495</v>
      </c>
      <c r="F17" s="115">
        <v>1992.49597855228</v>
      </c>
      <c r="G17" s="115">
        <v>2075.14173228346</v>
      </c>
      <c r="H17" s="115">
        <v>2044.4350132626</v>
      </c>
      <c r="I17" s="115">
        <v>2000.72031662269</v>
      </c>
      <c r="J17" s="115">
        <v>1997.62933333333</v>
      </c>
      <c r="K17" s="115">
        <v>1942.22739726027</v>
      </c>
      <c r="L17" s="115">
        <v>2044.62601626016</v>
      </c>
      <c r="M17" s="115">
        <v>2077.48648648649</v>
      </c>
      <c r="N17" s="115">
        <v>2016.872</v>
      </c>
      <c r="O17" s="115">
        <v>2062.96614583333</v>
      </c>
      <c r="P17" s="115">
        <v>2013.80952380952</v>
      </c>
      <c r="Q17" s="115">
        <v>1925.71010638298</v>
      </c>
      <c r="R17" s="115">
        <v>2008.32614555256</v>
      </c>
      <c r="S17" s="115">
        <v>1991.74535809019</v>
      </c>
      <c r="T17" s="115">
        <v>1998.45646437995</v>
      </c>
      <c r="U17" s="115">
        <v>2068.52454780362</v>
      </c>
      <c r="V17" s="115">
        <v>2057.87989556136</v>
      </c>
      <c r="W17" s="115">
        <v>2153.95767195767</v>
      </c>
      <c r="X17" s="115">
        <v>2051.18961038961</v>
      </c>
      <c r="Y17" s="115">
        <v>1957.80371352785</v>
      </c>
      <c r="Z17" s="115">
        <v>1837.54755784062</v>
      </c>
      <c r="AA17" s="115">
        <v>1938.63517060367</v>
      </c>
      <c r="AB17" s="115">
        <v>1840.88947368421</v>
      </c>
      <c r="AC17" s="115">
        <v>1837.38341968912</v>
      </c>
      <c r="AD17" s="115">
        <v>1797.78920308483</v>
      </c>
      <c r="AE17" s="115">
        <v>1862.84715025907</v>
      </c>
      <c r="AF17" s="115">
        <v>1848.15733333333</v>
      </c>
      <c r="AG17" s="27"/>
      <c r="AH17" s="115">
        <f>AH5/AH15</f>
        <v>1957.96741721854</v>
      </c>
    </row>
    <row r="18" s="7" customFormat="1" ht="15.6" spans="1:34">
      <c r="A18" s="31" t="s">
        <v>23</v>
      </c>
      <c r="B18" s="89"/>
      <c r="C18" s="116">
        <v>158.116161616162</v>
      </c>
      <c r="D18" s="116">
        <v>156.451942740286</v>
      </c>
      <c r="E18" s="116">
        <v>180.853564049587</v>
      </c>
      <c r="F18" s="116">
        <v>185.777027871516</v>
      </c>
      <c r="G18" s="116">
        <v>193.426055045872</v>
      </c>
      <c r="H18" s="116">
        <v>190.685799109352</v>
      </c>
      <c r="I18" s="116">
        <v>186.468215910488</v>
      </c>
      <c r="J18" s="116">
        <v>185.125664154207</v>
      </c>
      <c r="K18" s="116">
        <v>181.912496792404</v>
      </c>
      <c r="L18" s="116">
        <v>192.171930718288</v>
      </c>
      <c r="M18" s="120">
        <v>194.010600706714</v>
      </c>
      <c r="N18" s="116">
        <v>187.977382875606</v>
      </c>
      <c r="O18" s="116">
        <v>192.066674748454</v>
      </c>
      <c r="P18" s="116">
        <v>185.640775515181</v>
      </c>
      <c r="Q18" s="116">
        <v>178.363591575317</v>
      </c>
      <c r="R18" s="116">
        <v>186.388742964353</v>
      </c>
      <c r="S18" s="116">
        <v>184.380110497238</v>
      </c>
      <c r="T18" s="116">
        <v>186.234325055323</v>
      </c>
      <c r="U18" s="116">
        <v>192.849674777162</v>
      </c>
      <c r="V18" s="116">
        <v>189.236014405762</v>
      </c>
      <c r="W18" s="116">
        <v>198.366670727251</v>
      </c>
      <c r="X18" s="116">
        <v>187.467774480712</v>
      </c>
      <c r="Y18" s="116">
        <v>179.803166869671</v>
      </c>
      <c r="Z18" s="116">
        <v>170.293269803454</v>
      </c>
      <c r="AA18" s="116">
        <v>179.756631783889</v>
      </c>
      <c r="AB18" s="116">
        <v>170.203892944039</v>
      </c>
      <c r="AC18" s="116">
        <v>172.122315253003</v>
      </c>
      <c r="AD18" s="116">
        <v>164.492532047513</v>
      </c>
      <c r="AE18" s="116">
        <v>173.329878269254</v>
      </c>
      <c r="AF18" s="116">
        <v>172.897343145815</v>
      </c>
      <c r="AG18" s="120"/>
      <c r="AH18" s="116">
        <f>AH5/AH16</f>
        <v>181.902297365474</v>
      </c>
    </row>
    <row r="19" ht="15" spans="1:34">
      <c r="A19" s="91">
        <v>1</v>
      </c>
      <c r="B19" s="78" t="s">
        <v>24</v>
      </c>
      <c r="C19" s="81">
        <v>60248.65</v>
      </c>
      <c r="D19" s="81">
        <v>61254</v>
      </c>
      <c r="E19" s="81">
        <v>60570.8</v>
      </c>
      <c r="F19" s="81">
        <v>62686.4</v>
      </c>
      <c r="G19" s="81">
        <v>64468.95</v>
      </c>
      <c r="H19" s="81">
        <v>61740.9</v>
      </c>
      <c r="I19" s="81">
        <v>62593.2</v>
      </c>
      <c r="J19" s="81">
        <v>63935.65</v>
      </c>
      <c r="K19" s="81">
        <v>61121.2</v>
      </c>
      <c r="L19" s="81">
        <v>61811.85</v>
      </c>
      <c r="M19" s="81">
        <v>62784.15</v>
      </c>
      <c r="N19" s="81">
        <v>62371.95</v>
      </c>
      <c r="O19" s="81">
        <v>65352.05</v>
      </c>
      <c r="P19" s="81">
        <v>65427</v>
      </c>
      <c r="Q19" s="81">
        <v>64642.45</v>
      </c>
      <c r="R19" s="81">
        <v>63669</v>
      </c>
      <c r="S19" s="81">
        <v>64907</v>
      </c>
      <c r="T19" s="81">
        <v>64421.45</v>
      </c>
      <c r="U19" s="81">
        <v>66377.45</v>
      </c>
      <c r="V19" s="81">
        <v>65733.75</v>
      </c>
      <c r="W19" s="81">
        <v>65175.1</v>
      </c>
      <c r="X19" s="81">
        <v>66610.45</v>
      </c>
      <c r="Y19" s="81">
        <v>64661.2</v>
      </c>
      <c r="Z19" s="81">
        <v>66581.6</v>
      </c>
      <c r="AA19" s="81">
        <v>65567.8</v>
      </c>
      <c r="AB19" s="81">
        <v>65999.55</v>
      </c>
      <c r="AC19" s="81">
        <v>65179.6</v>
      </c>
      <c r="AD19" s="81">
        <v>67151.85</v>
      </c>
      <c r="AE19" s="81">
        <v>67601.45</v>
      </c>
      <c r="AF19" s="81">
        <v>62408.05</v>
      </c>
      <c r="AG19" s="81"/>
      <c r="AH19" s="87">
        <f t="shared" ref="AH19:AH28" si="2">SUM(C19:AG19)</f>
        <v>1923054.5</v>
      </c>
    </row>
    <row r="20" ht="15" spans="1:34">
      <c r="A20" s="91">
        <v>2</v>
      </c>
      <c r="B20" s="78" t="s">
        <v>25</v>
      </c>
      <c r="C20" s="81">
        <v>1300</v>
      </c>
      <c r="D20" s="81">
        <v>1300</v>
      </c>
      <c r="E20" s="81">
        <v>1300</v>
      </c>
      <c r="F20" s="81">
        <v>1300</v>
      </c>
      <c r="G20" s="81">
        <v>1300</v>
      </c>
      <c r="H20" s="81">
        <v>1300</v>
      </c>
      <c r="I20" s="81">
        <v>1300</v>
      </c>
      <c r="J20" s="81">
        <v>1300</v>
      </c>
      <c r="K20" s="81">
        <v>1300</v>
      </c>
      <c r="L20" s="81">
        <v>1300</v>
      </c>
      <c r="M20" s="81">
        <v>1300</v>
      </c>
      <c r="N20" s="81">
        <v>1300</v>
      </c>
      <c r="O20" s="81">
        <v>1300</v>
      </c>
      <c r="P20" s="81">
        <v>1300</v>
      </c>
      <c r="Q20" s="81">
        <v>1300</v>
      </c>
      <c r="R20" s="81">
        <v>1300</v>
      </c>
      <c r="S20" s="81">
        <v>1300</v>
      </c>
      <c r="T20" s="81">
        <v>1300</v>
      </c>
      <c r="U20" s="81">
        <v>1300</v>
      </c>
      <c r="V20" s="81">
        <v>1300</v>
      </c>
      <c r="W20" s="81">
        <v>1300</v>
      </c>
      <c r="X20" s="81">
        <v>1300</v>
      </c>
      <c r="Y20" s="81">
        <v>1300</v>
      </c>
      <c r="Z20" s="81">
        <v>1300</v>
      </c>
      <c r="AA20" s="81">
        <v>1300</v>
      </c>
      <c r="AB20" s="81">
        <v>1300</v>
      </c>
      <c r="AC20" s="81">
        <v>1300</v>
      </c>
      <c r="AD20" s="81">
        <v>1300</v>
      </c>
      <c r="AE20" s="81">
        <v>1300</v>
      </c>
      <c r="AF20" s="81">
        <v>1300</v>
      </c>
      <c r="AG20" s="81"/>
      <c r="AH20" s="92">
        <f t="shared" si="2"/>
        <v>39000</v>
      </c>
    </row>
    <row r="21" ht="15" spans="1:34">
      <c r="A21" s="91">
        <v>3</v>
      </c>
      <c r="B21" s="78" t="s">
        <v>26</v>
      </c>
      <c r="C21" s="81">
        <v>282.92</v>
      </c>
      <c r="D21" s="81">
        <v>290.69</v>
      </c>
      <c r="E21" s="81">
        <v>284.86</v>
      </c>
      <c r="F21" s="81">
        <v>293.61</v>
      </c>
      <c r="G21" s="81">
        <v>301.39</v>
      </c>
      <c r="H21" s="81">
        <v>288.75</v>
      </c>
      <c r="I21" s="81">
        <v>293.61</v>
      </c>
      <c r="J21" s="81">
        <v>300.42</v>
      </c>
      <c r="K21" s="81">
        <v>286.81</v>
      </c>
      <c r="L21" s="81">
        <v>290.69</v>
      </c>
      <c r="M21" s="81">
        <v>293.61</v>
      </c>
      <c r="N21" s="81">
        <v>292.64</v>
      </c>
      <c r="O21" s="81">
        <v>307.22</v>
      </c>
      <c r="P21" s="81">
        <v>306.25</v>
      </c>
      <c r="Q21" s="81">
        <v>303.33</v>
      </c>
      <c r="R21" s="81">
        <v>298.47</v>
      </c>
      <c r="S21" s="81">
        <v>303.33</v>
      </c>
      <c r="T21" s="81">
        <v>300.42</v>
      </c>
      <c r="U21" s="81">
        <v>310.14</v>
      </c>
      <c r="V21" s="81">
        <v>302.36</v>
      </c>
      <c r="W21" s="81">
        <v>300.42</v>
      </c>
      <c r="X21" s="81">
        <v>309.17</v>
      </c>
      <c r="Y21" s="81">
        <v>298.47</v>
      </c>
      <c r="Z21" s="81">
        <v>311.11</v>
      </c>
      <c r="AA21" s="81">
        <v>307.22</v>
      </c>
      <c r="AB21" s="81">
        <v>308.19</v>
      </c>
      <c r="AC21" s="81">
        <v>305.28</v>
      </c>
      <c r="AD21" s="81">
        <v>309.17</v>
      </c>
      <c r="AE21" s="81">
        <v>315</v>
      </c>
      <c r="AF21" s="81">
        <v>292.64</v>
      </c>
      <c r="AG21" s="81"/>
      <c r="AH21" s="87">
        <f t="shared" si="2"/>
        <v>8988.19</v>
      </c>
    </row>
    <row r="22" ht="15" spans="1:34">
      <c r="A22" s="91">
        <v>4</v>
      </c>
      <c r="B22" s="78" t="s">
        <v>27</v>
      </c>
      <c r="C22" s="81">
        <v>331.42</v>
      </c>
      <c r="D22" s="81">
        <v>340.53</v>
      </c>
      <c r="E22" s="81">
        <v>333.69</v>
      </c>
      <c r="F22" s="81">
        <v>343.94</v>
      </c>
      <c r="G22" s="81">
        <v>353.06</v>
      </c>
      <c r="H22" s="81">
        <v>338.25</v>
      </c>
      <c r="I22" s="81">
        <v>343.94</v>
      </c>
      <c r="J22" s="81">
        <v>351.92</v>
      </c>
      <c r="K22" s="81">
        <v>335.97</v>
      </c>
      <c r="L22" s="81">
        <v>340.53</v>
      </c>
      <c r="M22" s="81">
        <v>343.94</v>
      </c>
      <c r="N22" s="81">
        <v>342.81</v>
      </c>
      <c r="O22" s="81">
        <v>359.89</v>
      </c>
      <c r="P22" s="81">
        <v>358.75</v>
      </c>
      <c r="Q22" s="81">
        <v>355.33</v>
      </c>
      <c r="R22" s="81">
        <v>349.64</v>
      </c>
      <c r="S22" s="81">
        <v>355.33</v>
      </c>
      <c r="T22" s="81">
        <v>351.92</v>
      </c>
      <c r="U22" s="81">
        <v>363.31</v>
      </c>
      <c r="V22" s="81">
        <v>354.19</v>
      </c>
      <c r="W22" s="81">
        <v>351.92</v>
      </c>
      <c r="X22" s="81">
        <v>362.17</v>
      </c>
      <c r="Y22" s="81">
        <v>349.64</v>
      </c>
      <c r="Z22" s="81">
        <v>364.44</v>
      </c>
      <c r="AA22" s="81">
        <v>359.89</v>
      </c>
      <c r="AB22" s="81">
        <v>361.03</v>
      </c>
      <c r="AC22" s="81">
        <v>357.61</v>
      </c>
      <c r="AD22" s="81">
        <v>362.17</v>
      </c>
      <c r="AE22" s="81">
        <v>369</v>
      </c>
      <c r="AF22" s="81">
        <v>342.81</v>
      </c>
      <c r="AG22" s="81"/>
      <c r="AH22" s="87">
        <f t="shared" si="2"/>
        <v>10529.04</v>
      </c>
    </row>
    <row r="23" ht="15" spans="1:34">
      <c r="A23" s="91">
        <v>5</v>
      </c>
      <c r="B23" s="78" t="s">
        <v>28</v>
      </c>
      <c r="C23" s="81">
        <v>2488</v>
      </c>
      <c r="D23" s="81">
        <v>2544</v>
      </c>
      <c r="E23" s="81">
        <v>2520</v>
      </c>
      <c r="F23" s="81">
        <v>2584</v>
      </c>
      <c r="G23" s="81">
        <v>2656</v>
      </c>
      <c r="H23" s="81">
        <v>2552</v>
      </c>
      <c r="I23" s="81">
        <v>2584</v>
      </c>
      <c r="J23" s="81">
        <v>2616</v>
      </c>
      <c r="K23" s="81">
        <v>2536</v>
      </c>
      <c r="L23" s="81">
        <v>2576</v>
      </c>
      <c r="M23" s="81">
        <v>2592</v>
      </c>
      <c r="N23" s="81">
        <v>2576</v>
      </c>
      <c r="O23" s="81">
        <v>2688</v>
      </c>
      <c r="P23" s="81">
        <v>2656</v>
      </c>
      <c r="Q23" s="81">
        <v>2640</v>
      </c>
      <c r="R23" s="81">
        <v>2608</v>
      </c>
      <c r="S23" s="81">
        <v>2656</v>
      </c>
      <c r="T23" s="81">
        <v>2648</v>
      </c>
      <c r="U23" s="81">
        <v>2728</v>
      </c>
      <c r="V23" s="81">
        <v>2664</v>
      </c>
      <c r="W23" s="81">
        <v>2648</v>
      </c>
      <c r="X23" s="81">
        <v>2680</v>
      </c>
      <c r="Y23" s="81">
        <v>2616</v>
      </c>
      <c r="Z23" s="81">
        <v>2720</v>
      </c>
      <c r="AA23" s="81">
        <v>2680</v>
      </c>
      <c r="AB23" s="81">
        <v>2688</v>
      </c>
      <c r="AC23" s="81">
        <v>2696</v>
      </c>
      <c r="AD23" s="81">
        <v>2704</v>
      </c>
      <c r="AE23" s="81">
        <v>2768</v>
      </c>
      <c r="AF23" s="81">
        <v>2584</v>
      </c>
      <c r="AG23" s="81"/>
      <c r="AH23" s="92">
        <f t="shared" si="2"/>
        <v>78896</v>
      </c>
    </row>
    <row r="24" ht="15" spans="1:34">
      <c r="A24" s="91">
        <v>6</v>
      </c>
      <c r="B24" s="78" t="s">
        <v>29</v>
      </c>
      <c r="C24" s="81"/>
      <c r="D24" s="81"/>
      <c r="E24" s="81"/>
      <c r="F24" s="81">
        <v>4500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92">
        <f t="shared" si="2"/>
        <v>4500</v>
      </c>
    </row>
    <row r="25" ht="15" spans="1:34">
      <c r="A25" s="91">
        <v>7</v>
      </c>
      <c r="B25" s="78" t="s">
        <v>30</v>
      </c>
      <c r="C25" s="81">
        <v>15295</v>
      </c>
      <c r="D25" s="81">
        <v>12960.5</v>
      </c>
      <c r="E25" s="81">
        <v>12960.5</v>
      </c>
      <c r="F25" s="81">
        <v>13225</v>
      </c>
      <c r="G25" s="81">
        <v>12960.5</v>
      </c>
      <c r="H25" s="81">
        <v>15341</v>
      </c>
      <c r="I25" s="81">
        <v>14812</v>
      </c>
      <c r="J25" s="81">
        <v>12696</v>
      </c>
      <c r="K25" s="81">
        <v>12696</v>
      </c>
      <c r="L25" s="81">
        <v>12431.5</v>
      </c>
      <c r="M25" s="81">
        <v>12167</v>
      </c>
      <c r="N25" s="81">
        <v>14018.5</v>
      </c>
      <c r="O25" s="81">
        <v>12696</v>
      </c>
      <c r="P25" s="81">
        <v>12167</v>
      </c>
      <c r="Q25" s="81">
        <v>12167</v>
      </c>
      <c r="R25" s="81">
        <v>11902.5</v>
      </c>
      <c r="S25" s="81">
        <v>12167</v>
      </c>
      <c r="T25" s="81">
        <v>12696</v>
      </c>
      <c r="U25" s="81">
        <v>12167</v>
      </c>
      <c r="V25" s="81">
        <v>13225</v>
      </c>
      <c r="W25" s="81">
        <v>12431.5</v>
      </c>
      <c r="X25" s="81">
        <v>13225</v>
      </c>
      <c r="Y25" s="81">
        <v>13225</v>
      </c>
      <c r="Z25" s="81">
        <v>12880</v>
      </c>
      <c r="AA25" s="81">
        <v>12167</v>
      </c>
      <c r="AB25" s="81">
        <v>11638</v>
      </c>
      <c r="AC25" s="81">
        <v>12960.5</v>
      </c>
      <c r="AD25" s="81">
        <v>13489.5</v>
      </c>
      <c r="AE25" s="81">
        <v>10580</v>
      </c>
      <c r="AF25" s="81">
        <v>13754</v>
      </c>
      <c r="AG25" s="81"/>
      <c r="AH25" s="92">
        <f t="shared" si="2"/>
        <v>387101.5</v>
      </c>
    </row>
    <row r="26" ht="15" spans="1:34">
      <c r="A26" s="91">
        <v>8</v>
      </c>
      <c r="B26" s="78" t="s">
        <v>31</v>
      </c>
      <c r="C26" s="81">
        <v>1560</v>
      </c>
      <c r="D26" s="81">
        <v>1560</v>
      </c>
      <c r="E26" s="81">
        <v>1560</v>
      </c>
      <c r="F26" s="81">
        <v>1560</v>
      </c>
      <c r="G26" s="81">
        <v>1560</v>
      </c>
      <c r="H26" s="81">
        <v>1560</v>
      </c>
      <c r="I26" s="81">
        <v>1560</v>
      </c>
      <c r="J26" s="81">
        <v>1560</v>
      </c>
      <c r="K26" s="81">
        <v>1560</v>
      </c>
      <c r="L26" s="81">
        <v>1560</v>
      </c>
      <c r="M26" s="81">
        <v>1489.28</v>
      </c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92">
        <f t="shared" si="2"/>
        <v>17089.28</v>
      </c>
    </row>
    <row r="27" ht="15" spans="1:34">
      <c r="A27" s="91">
        <v>9</v>
      </c>
      <c r="B27" s="78" t="s">
        <v>32</v>
      </c>
      <c r="C27" s="81">
        <v>3333.33</v>
      </c>
      <c r="D27" s="81">
        <v>3333.33</v>
      </c>
      <c r="E27" s="81">
        <v>3333.33</v>
      </c>
      <c r="F27" s="81">
        <v>3333.33</v>
      </c>
      <c r="G27" s="81">
        <v>3333.33</v>
      </c>
      <c r="H27" s="81">
        <v>3333.33</v>
      </c>
      <c r="I27" s="81">
        <v>3333.33</v>
      </c>
      <c r="J27" s="81">
        <v>3333.33</v>
      </c>
      <c r="K27" s="81">
        <v>3333.33</v>
      </c>
      <c r="L27" s="81">
        <v>3333.33</v>
      </c>
      <c r="M27" s="81">
        <v>3333.33</v>
      </c>
      <c r="N27" s="81">
        <v>3333.33</v>
      </c>
      <c r="O27" s="81">
        <v>3333.33</v>
      </c>
      <c r="P27" s="81">
        <v>3333.33</v>
      </c>
      <c r="Q27" s="81">
        <v>3333.33</v>
      </c>
      <c r="R27" s="81">
        <v>3333.33</v>
      </c>
      <c r="S27" s="81">
        <v>3333.33</v>
      </c>
      <c r="T27" s="81">
        <v>3333.33</v>
      </c>
      <c r="U27" s="81">
        <v>3333.33</v>
      </c>
      <c r="V27" s="81">
        <v>3333.33</v>
      </c>
      <c r="W27" s="81">
        <v>3333.33</v>
      </c>
      <c r="X27" s="81">
        <v>3333.33</v>
      </c>
      <c r="Y27" s="81">
        <v>3333.33</v>
      </c>
      <c r="Z27" s="81">
        <v>3333.33</v>
      </c>
      <c r="AA27" s="81">
        <v>3333.33</v>
      </c>
      <c r="AB27" s="81">
        <v>3333.33</v>
      </c>
      <c r="AC27" s="81">
        <v>3333.33</v>
      </c>
      <c r="AD27" s="81">
        <v>3333.33</v>
      </c>
      <c r="AE27" s="81">
        <v>3333.33</v>
      </c>
      <c r="AF27" s="81">
        <v>3333.33</v>
      </c>
      <c r="AG27" s="81"/>
      <c r="AH27" s="87">
        <f t="shared" si="2"/>
        <v>99999.9</v>
      </c>
    </row>
    <row r="28" customFormat="1" ht="15" spans="1:34">
      <c r="A28" s="91">
        <v>10</v>
      </c>
      <c r="B28" s="78" t="s">
        <v>33</v>
      </c>
      <c r="C28" s="81">
        <v>35089.62</v>
      </c>
      <c r="D28" s="81">
        <v>35089.62</v>
      </c>
      <c r="E28" s="81">
        <v>35089.62</v>
      </c>
      <c r="F28" s="81">
        <v>35089.62</v>
      </c>
      <c r="G28" s="81">
        <v>35089.62</v>
      </c>
      <c r="H28" s="81">
        <v>35089.62</v>
      </c>
      <c r="I28" s="81">
        <v>35089.62</v>
      </c>
      <c r="J28" s="81">
        <v>35089.62</v>
      </c>
      <c r="K28" s="81">
        <v>35089.62</v>
      </c>
      <c r="L28" s="81">
        <v>35089.62</v>
      </c>
      <c r="M28" s="81">
        <v>35089.62</v>
      </c>
      <c r="N28" s="81">
        <v>35089.62</v>
      </c>
      <c r="O28" s="81">
        <v>35089.62</v>
      </c>
      <c r="P28" s="81">
        <v>35089.62</v>
      </c>
      <c r="Q28" s="81">
        <v>35089.62</v>
      </c>
      <c r="R28" s="81">
        <v>35089.62</v>
      </c>
      <c r="S28" s="81">
        <v>35089.62</v>
      </c>
      <c r="T28" s="81">
        <v>35089.62</v>
      </c>
      <c r="U28" s="81">
        <v>35089.62</v>
      </c>
      <c r="V28" s="81">
        <v>35089.62</v>
      </c>
      <c r="W28" s="81">
        <v>35089.62</v>
      </c>
      <c r="X28" s="81">
        <v>35089.62</v>
      </c>
      <c r="Y28" s="81">
        <v>35089.62</v>
      </c>
      <c r="Z28" s="81">
        <v>35089.62</v>
      </c>
      <c r="AA28" s="81">
        <v>35089.62</v>
      </c>
      <c r="AB28" s="81">
        <v>35089.62</v>
      </c>
      <c r="AC28" s="81">
        <v>35089.62</v>
      </c>
      <c r="AD28" s="81">
        <v>35089.62</v>
      </c>
      <c r="AE28" s="81">
        <v>35089.62</v>
      </c>
      <c r="AF28" s="81">
        <v>35089.62</v>
      </c>
      <c r="AG28" s="81"/>
      <c r="AH28" s="87">
        <f t="shared" si="2"/>
        <v>1052688.6</v>
      </c>
    </row>
    <row r="29" s="7" customFormat="1" ht="15.6" spans="1:34">
      <c r="A29" s="93" t="s">
        <v>34</v>
      </c>
      <c r="B29" s="93"/>
      <c r="C29" s="27">
        <v>119928.94</v>
      </c>
      <c r="D29" s="27">
        <v>118672.67</v>
      </c>
      <c r="E29" s="27">
        <v>117952.8</v>
      </c>
      <c r="F29" s="27">
        <v>124915.9</v>
      </c>
      <c r="G29" s="27">
        <v>122022.85</v>
      </c>
      <c r="H29" s="27">
        <v>121543.85</v>
      </c>
      <c r="I29" s="27">
        <v>121909.7</v>
      </c>
      <c r="J29" s="27">
        <v>121182.94</v>
      </c>
      <c r="K29" s="27">
        <v>118258.93</v>
      </c>
      <c r="L29" s="27">
        <v>118733.52</v>
      </c>
      <c r="M29" s="27">
        <v>119392.93</v>
      </c>
      <c r="N29" s="27">
        <v>119324.85</v>
      </c>
      <c r="O29" s="27">
        <v>121126.11</v>
      </c>
      <c r="P29" s="27">
        <v>120637.95</v>
      </c>
      <c r="Q29" s="27">
        <v>119831.06</v>
      </c>
      <c r="R29" s="27">
        <v>118550.56</v>
      </c>
      <c r="S29" s="27">
        <v>120111.61</v>
      </c>
      <c r="T29" s="27">
        <v>120140.74</v>
      </c>
      <c r="U29" s="27">
        <v>121668.85</v>
      </c>
      <c r="V29" s="27">
        <v>122002.25</v>
      </c>
      <c r="W29" s="27">
        <v>120629.89</v>
      </c>
      <c r="X29" s="27">
        <v>122909.74</v>
      </c>
      <c r="Y29" s="27">
        <v>120873.26</v>
      </c>
      <c r="Z29" s="27">
        <v>122580.1</v>
      </c>
      <c r="AA29" s="27">
        <v>120804.86</v>
      </c>
      <c r="AB29" s="27">
        <v>120717.72</v>
      </c>
      <c r="AC29" s="27">
        <v>121221.94</v>
      </c>
      <c r="AD29" s="27">
        <v>123739.64</v>
      </c>
      <c r="AE29" s="27">
        <v>121356.4</v>
      </c>
      <c r="AF29" s="27">
        <v>119104.45</v>
      </c>
      <c r="AG29" s="27"/>
      <c r="AH29" s="27">
        <f>SUM(AH19:AH28)</f>
        <v>3621847.01</v>
      </c>
    </row>
    <row r="30" s="7" customFormat="1" ht="15.6" spans="1:34">
      <c r="A30" s="39" t="s">
        <v>35</v>
      </c>
      <c r="B30" s="39"/>
      <c r="C30" s="27">
        <v>688.6</v>
      </c>
      <c r="D30" s="27">
        <v>672.64</v>
      </c>
      <c r="E30" s="27">
        <v>772.53</v>
      </c>
      <c r="F30" s="27">
        <v>821.15</v>
      </c>
      <c r="G30" s="27">
        <v>874.85</v>
      </c>
      <c r="H30" s="27">
        <v>852.35</v>
      </c>
      <c r="I30" s="27">
        <v>838.22</v>
      </c>
      <c r="J30" s="27">
        <v>827.84</v>
      </c>
      <c r="K30" s="27">
        <v>782.33</v>
      </c>
      <c r="L30" s="27">
        <v>833.91</v>
      </c>
      <c r="M30" s="27">
        <v>849.99</v>
      </c>
      <c r="N30" s="27">
        <v>836.01</v>
      </c>
      <c r="O30" s="27">
        <v>876.61</v>
      </c>
      <c r="P30" s="27">
        <v>841.55</v>
      </c>
      <c r="Q30" s="27">
        <v>799.49</v>
      </c>
      <c r="R30" s="27">
        <v>823.29</v>
      </c>
      <c r="S30" s="27">
        <v>829.85</v>
      </c>
      <c r="T30" s="27">
        <v>837.25</v>
      </c>
      <c r="U30" s="27">
        <v>886.05</v>
      </c>
      <c r="V30" s="27">
        <v>872.07</v>
      </c>
      <c r="W30" s="27">
        <v>901.54</v>
      </c>
      <c r="X30" s="27">
        <v>873.81</v>
      </c>
      <c r="Y30" s="27">
        <v>815.37</v>
      </c>
      <c r="Z30" s="27">
        <v>789</v>
      </c>
      <c r="AA30" s="27">
        <v>815.96</v>
      </c>
      <c r="AB30" s="27">
        <v>771.71</v>
      </c>
      <c r="AC30" s="27">
        <v>782.69</v>
      </c>
      <c r="AD30" s="27">
        <v>771.49</v>
      </c>
      <c r="AE30" s="27">
        <v>793.81</v>
      </c>
      <c r="AF30" s="27">
        <v>764.37</v>
      </c>
      <c r="AG30" s="27"/>
      <c r="AH30" s="27">
        <f t="shared" ref="AH30:AH43" si="3">SUM(C30:AG30)</f>
        <v>24496.33</v>
      </c>
    </row>
    <row r="31" s="7" customFormat="1" spans="1:34">
      <c r="A31" s="94" t="s">
        <v>36</v>
      </c>
      <c r="B31" s="94"/>
      <c r="C31" s="27">
        <v>-24978.35</v>
      </c>
      <c r="D31" s="27">
        <v>-25923.55</v>
      </c>
      <c r="E31" s="27">
        <v>-11428.93</v>
      </c>
      <c r="F31" s="27">
        <v>-11688.36</v>
      </c>
      <c r="G31" s="27">
        <v>-1390.29</v>
      </c>
      <c r="H31" s="27">
        <v>-4014.73</v>
      </c>
      <c r="I31" s="27">
        <v>-6328.95</v>
      </c>
      <c r="J31" s="27">
        <v>-7032.67</v>
      </c>
      <c r="K31" s="27">
        <v>-10384.84</v>
      </c>
      <c r="L31" s="27">
        <v>-3747.01</v>
      </c>
      <c r="M31" s="27">
        <v>-2188.87</v>
      </c>
      <c r="N31" s="27">
        <v>-4047.93</v>
      </c>
      <c r="O31" s="27">
        <v>-251.55</v>
      </c>
      <c r="P31" s="27">
        <v>-4597.08</v>
      </c>
      <c r="Q31" s="27">
        <v>-9590.96</v>
      </c>
      <c r="R31" s="27">
        <v>-5028.25</v>
      </c>
      <c r="S31" s="27">
        <v>-5683.88</v>
      </c>
      <c r="T31" s="27">
        <v>-4693.95</v>
      </c>
      <c r="U31" s="27">
        <v>507.85</v>
      </c>
      <c r="V31" s="27">
        <v>-1753.93</v>
      </c>
      <c r="W31" s="27">
        <v>3682.22</v>
      </c>
      <c r="X31" s="27">
        <v>-2420.98</v>
      </c>
      <c r="Y31" s="27">
        <v>-8443.4</v>
      </c>
      <c r="Z31" s="27">
        <v>-13785.93</v>
      </c>
      <c r="AA31" s="27">
        <v>-8292.57</v>
      </c>
      <c r="AB31" s="27">
        <v>-14307.37</v>
      </c>
      <c r="AC31" s="27">
        <v>-13298.37</v>
      </c>
      <c r="AD31" s="27">
        <v>-17360.21</v>
      </c>
      <c r="AE31" s="27">
        <v>-11898.19</v>
      </c>
      <c r="AF31" s="27">
        <v>-13705.67</v>
      </c>
      <c r="AG31" s="27"/>
      <c r="AH31" s="27">
        <f>AH11-AH29-AH30</f>
        <v>-244076.700000001</v>
      </c>
    </row>
    <row r="32" ht="15" spans="1:34">
      <c r="A32" s="91">
        <v>1</v>
      </c>
      <c r="B32" s="95" t="s">
        <v>37</v>
      </c>
      <c r="C32" s="86">
        <v>10268.93</v>
      </c>
      <c r="D32" s="86">
        <v>10268.93</v>
      </c>
      <c r="E32" s="86">
        <v>10268.93</v>
      </c>
      <c r="F32" s="86">
        <v>10268.93</v>
      </c>
      <c r="G32" s="86">
        <v>10268.93</v>
      </c>
      <c r="H32" s="86">
        <v>10268.93</v>
      </c>
      <c r="I32" s="86">
        <v>10268.93</v>
      </c>
      <c r="J32" s="86">
        <v>10268.93</v>
      </c>
      <c r="K32" s="86">
        <v>10268.93</v>
      </c>
      <c r="L32" s="86">
        <v>10268.93</v>
      </c>
      <c r="M32" s="86">
        <v>10268.93</v>
      </c>
      <c r="N32" s="86">
        <v>10268.93</v>
      </c>
      <c r="O32" s="86">
        <v>10268.93</v>
      </c>
      <c r="P32" s="86">
        <v>10268.93</v>
      </c>
      <c r="Q32" s="86">
        <v>10268.93</v>
      </c>
      <c r="R32" s="86">
        <v>10268.93</v>
      </c>
      <c r="S32" s="86">
        <v>10268.93</v>
      </c>
      <c r="T32" s="86">
        <v>10268.93</v>
      </c>
      <c r="U32" s="86">
        <v>10268.93</v>
      </c>
      <c r="V32" s="86">
        <v>10268.93</v>
      </c>
      <c r="W32" s="86">
        <v>10268.93</v>
      </c>
      <c r="X32" s="86">
        <v>10268.93</v>
      </c>
      <c r="Y32" s="86">
        <v>10268.93</v>
      </c>
      <c r="Z32" s="86">
        <v>10268.93</v>
      </c>
      <c r="AA32" s="86">
        <v>10268.93</v>
      </c>
      <c r="AB32" s="86">
        <v>10268.93</v>
      </c>
      <c r="AC32" s="86">
        <v>10268.93</v>
      </c>
      <c r="AD32" s="86">
        <v>10268.93</v>
      </c>
      <c r="AE32" s="86">
        <v>10268.93</v>
      </c>
      <c r="AF32" s="86">
        <v>10268.93</v>
      </c>
      <c r="AG32" s="86"/>
      <c r="AH32" s="87">
        <f t="shared" si="3"/>
        <v>308067.9</v>
      </c>
    </row>
    <row r="33" ht="15" spans="1:34">
      <c r="A33" s="91">
        <v>2</v>
      </c>
      <c r="B33" s="95" t="s">
        <v>38</v>
      </c>
      <c r="C33" s="86">
        <v>700</v>
      </c>
      <c r="D33" s="86">
        <v>700</v>
      </c>
      <c r="E33" s="86">
        <v>700</v>
      </c>
      <c r="F33" s="86">
        <v>700</v>
      </c>
      <c r="G33" s="86">
        <v>700</v>
      </c>
      <c r="H33" s="86">
        <v>700</v>
      </c>
      <c r="I33" s="86">
        <v>700</v>
      </c>
      <c r="J33" s="86">
        <v>700</v>
      </c>
      <c r="K33" s="86">
        <v>700</v>
      </c>
      <c r="L33" s="86">
        <v>700</v>
      </c>
      <c r="M33" s="86">
        <v>700</v>
      </c>
      <c r="N33" s="86">
        <v>700</v>
      </c>
      <c r="O33" s="86">
        <v>700</v>
      </c>
      <c r="P33" s="86">
        <v>700</v>
      </c>
      <c r="Q33" s="86">
        <v>700</v>
      </c>
      <c r="R33" s="86">
        <v>700</v>
      </c>
      <c r="S33" s="86">
        <v>700</v>
      </c>
      <c r="T33" s="86">
        <v>700</v>
      </c>
      <c r="U33" s="86">
        <v>700</v>
      </c>
      <c r="V33" s="86">
        <v>700</v>
      </c>
      <c r="W33" s="86">
        <v>700</v>
      </c>
      <c r="X33" s="86">
        <v>700</v>
      </c>
      <c r="Y33" s="86">
        <v>700</v>
      </c>
      <c r="Z33" s="86">
        <v>700</v>
      </c>
      <c r="AA33" s="86">
        <v>700</v>
      </c>
      <c r="AB33" s="86">
        <v>700</v>
      </c>
      <c r="AC33" s="86">
        <v>700</v>
      </c>
      <c r="AD33" s="86">
        <v>700</v>
      </c>
      <c r="AE33" s="86">
        <v>700</v>
      </c>
      <c r="AF33" s="86">
        <v>700</v>
      </c>
      <c r="AG33" s="86"/>
      <c r="AH33" s="92">
        <f t="shared" si="3"/>
        <v>21000</v>
      </c>
    </row>
    <row r="34" ht="15" spans="1:34">
      <c r="A34" s="91">
        <v>3</v>
      </c>
      <c r="B34" s="95" t="s">
        <v>39</v>
      </c>
      <c r="C34" s="86">
        <v>1350</v>
      </c>
      <c r="D34" s="86">
        <v>1350</v>
      </c>
      <c r="E34" s="86">
        <v>1350</v>
      </c>
      <c r="F34" s="86">
        <v>1350</v>
      </c>
      <c r="G34" s="86">
        <v>1350</v>
      </c>
      <c r="H34" s="86">
        <v>1350</v>
      </c>
      <c r="I34" s="86">
        <v>1350</v>
      </c>
      <c r="J34" s="86">
        <v>1350</v>
      </c>
      <c r="K34" s="86">
        <v>1350</v>
      </c>
      <c r="L34" s="86">
        <v>1350</v>
      </c>
      <c r="M34" s="86">
        <v>1350</v>
      </c>
      <c r="N34" s="86">
        <v>1350</v>
      </c>
      <c r="O34" s="86">
        <v>1350</v>
      </c>
      <c r="P34" s="86">
        <v>1350</v>
      </c>
      <c r="Q34" s="86">
        <v>1350</v>
      </c>
      <c r="R34" s="86">
        <v>1350</v>
      </c>
      <c r="S34" s="86">
        <v>1350</v>
      </c>
      <c r="T34" s="86">
        <v>1350</v>
      </c>
      <c r="U34" s="86">
        <v>1350</v>
      </c>
      <c r="V34" s="86">
        <v>1350</v>
      </c>
      <c r="W34" s="86">
        <v>1350</v>
      </c>
      <c r="X34" s="86">
        <v>1350</v>
      </c>
      <c r="Y34" s="86">
        <v>1350</v>
      </c>
      <c r="Z34" s="86">
        <v>1350</v>
      </c>
      <c r="AA34" s="86">
        <v>1350</v>
      </c>
      <c r="AB34" s="86">
        <v>1350</v>
      </c>
      <c r="AC34" s="86">
        <v>1350</v>
      </c>
      <c r="AD34" s="86">
        <v>1350</v>
      </c>
      <c r="AE34" s="86">
        <v>1350</v>
      </c>
      <c r="AF34" s="86">
        <v>1350</v>
      </c>
      <c r="AG34" s="86"/>
      <c r="AH34" s="92">
        <f t="shared" si="3"/>
        <v>40500</v>
      </c>
    </row>
    <row r="35" ht="15" spans="1:34">
      <c r="A35" s="91">
        <v>4</v>
      </c>
      <c r="B35" s="78" t="s">
        <v>26</v>
      </c>
      <c r="C35" s="81">
        <v>29.17</v>
      </c>
      <c r="D35" s="86">
        <v>29.17</v>
      </c>
      <c r="E35" s="86">
        <v>29.17</v>
      </c>
      <c r="F35" s="86">
        <v>29.17</v>
      </c>
      <c r="G35" s="86">
        <v>29.17</v>
      </c>
      <c r="H35" s="86">
        <v>29.17</v>
      </c>
      <c r="I35" s="86">
        <v>29.17</v>
      </c>
      <c r="J35" s="86">
        <v>29.17</v>
      </c>
      <c r="K35" s="86">
        <v>29.17</v>
      </c>
      <c r="L35" s="86">
        <v>29.17</v>
      </c>
      <c r="M35" s="86">
        <v>29.17</v>
      </c>
      <c r="N35" s="86">
        <v>29.17</v>
      </c>
      <c r="O35" s="86">
        <v>29.17</v>
      </c>
      <c r="P35" s="86">
        <v>29.17</v>
      </c>
      <c r="Q35" s="86">
        <v>29.17</v>
      </c>
      <c r="R35" s="86">
        <v>29.17</v>
      </c>
      <c r="S35" s="86">
        <v>29.17</v>
      </c>
      <c r="T35" s="86">
        <v>29.17</v>
      </c>
      <c r="U35" s="86">
        <v>29.17</v>
      </c>
      <c r="V35" s="86">
        <v>29.17</v>
      </c>
      <c r="W35" s="86">
        <v>29.17</v>
      </c>
      <c r="X35" s="86">
        <v>29.17</v>
      </c>
      <c r="Y35" s="86">
        <v>29.17</v>
      </c>
      <c r="Z35" s="86">
        <v>29.17</v>
      </c>
      <c r="AA35" s="86">
        <v>29.17</v>
      </c>
      <c r="AB35" s="86">
        <v>29.17</v>
      </c>
      <c r="AC35" s="86">
        <v>29.17</v>
      </c>
      <c r="AD35" s="86">
        <v>29.17</v>
      </c>
      <c r="AE35" s="86">
        <v>29.17</v>
      </c>
      <c r="AF35" s="86">
        <v>29.17</v>
      </c>
      <c r="AG35" s="86"/>
      <c r="AH35" s="87">
        <f t="shared" si="3"/>
        <v>875.1</v>
      </c>
    </row>
    <row r="36" ht="15" spans="1:34">
      <c r="A36" s="91">
        <v>5</v>
      </c>
      <c r="B36" s="78" t="s">
        <v>27</v>
      </c>
      <c r="C36" s="81">
        <v>34.17</v>
      </c>
      <c r="D36" s="86">
        <v>34.17</v>
      </c>
      <c r="E36" s="86">
        <v>34.17</v>
      </c>
      <c r="F36" s="86">
        <v>34.17</v>
      </c>
      <c r="G36" s="86">
        <v>34.17</v>
      </c>
      <c r="H36" s="86">
        <v>34.17</v>
      </c>
      <c r="I36" s="86">
        <v>34.17</v>
      </c>
      <c r="J36" s="86">
        <v>34.17</v>
      </c>
      <c r="K36" s="86">
        <v>34.17</v>
      </c>
      <c r="L36" s="86">
        <v>34.17</v>
      </c>
      <c r="M36" s="86">
        <v>34.17</v>
      </c>
      <c r="N36" s="86">
        <v>34.17</v>
      </c>
      <c r="O36" s="86">
        <v>34.17</v>
      </c>
      <c r="P36" s="86">
        <v>34.17</v>
      </c>
      <c r="Q36" s="86">
        <v>34.17</v>
      </c>
      <c r="R36" s="86">
        <v>34.17</v>
      </c>
      <c r="S36" s="86">
        <v>34.17</v>
      </c>
      <c r="T36" s="86">
        <v>34.17</v>
      </c>
      <c r="U36" s="86">
        <v>34.17</v>
      </c>
      <c r="V36" s="86">
        <v>34.17</v>
      </c>
      <c r="W36" s="86">
        <v>34.17</v>
      </c>
      <c r="X36" s="86">
        <v>34.17</v>
      </c>
      <c r="Y36" s="86">
        <v>34.17</v>
      </c>
      <c r="Z36" s="86">
        <v>34.17</v>
      </c>
      <c r="AA36" s="86">
        <v>34.17</v>
      </c>
      <c r="AB36" s="86">
        <v>34.17</v>
      </c>
      <c r="AC36" s="86">
        <v>34.17</v>
      </c>
      <c r="AD36" s="86">
        <v>34.17</v>
      </c>
      <c r="AE36" s="86">
        <v>34.17</v>
      </c>
      <c r="AF36" s="86">
        <v>34.17</v>
      </c>
      <c r="AG36" s="86"/>
      <c r="AH36" s="87">
        <f t="shared" si="3"/>
        <v>1025.1</v>
      </c>
    </row>
    <row r="37" ht="15" spans="1:34">
      <c r="A37" s="91">
        <v>6</v>
      </c>
      <c r="B37" s="95" t="s">
        <v>40</v>
      </c>
      <c r="C37" s="86"/>
      <c r="D37" s="86"/>
      <c r="E37" s="86"/>
      <c r="F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7">
        <f t="shared" si="3"/>
        <v>0</v>
      </c>
    </row>
    <row r="38" ht="15" spans="1:34">
      <c r="A38" s="91">
        <v>7</v>
      </c>
      <c r="B38" s="96" t="s">
        <v>41</v>
      </c>
      <c r="C38" s="81"/>
      <c r="D38" s="81">
        <v>80</v>
      </c>
      <c r="E38" s="81">
        <v>100</v>
      </c>
      <c r="F38" s="81">
        <v>140</v>
      </c>
      <c r="G38" s="81">
        <v>220</v>
      </c>
      <c r="H38" s="81">
        <v>100</v>
      </c>
      <c r="I38" s="81">
        <v>180</v>
      </c>
      <c r="J38" s="81">
        <v>280</v>
      </c>
      <c r="K38" s="81">
        <v>280</v>
      </c>
      <c r="L38" s="81">
        <v>240</v>
      </c>
      <c r="M38" s="81">
        <v>220</v>
      </c>
      <c r="N38" s="81">
        <v>160</v>
      </c>
      <c r="O38" s="81">
        <v>220</v>
      </c>
      <c r="P38" s="81">
        <v>220</v>
      </c>
      <c r="Q38" s="81">
        <v>300</v>
      </c>
      <c r="R38" s="81">
        <v>400</v>
      </c>
      <c r="S38" s="81">
        <v>300</v>
      </c>
      <c r="T38" s="81">
        <v>180</v>
      </c>
      <c r="U38" s="81">
        <v>340</v>
      </c>
      <c r="V38" s="81">
        <v>360</v>
      </c>
      <c r="W38" s="81">
        <v>420</v>
      </c>
      <c r="X38" s="81">
        <v>340</v>
      </c>
      <c r="Y38" s="81">
        <v>340</v>
      </c>
      <c r="Z38" s="81">
        <v>420</v>
      </c>
      <c r="AA38" s="81">
        <v>420</v>
      </c>
      <c r="AB38" s="81">
        <v>480</v>
      </c>
      <c r="AC38" s="81">
        <v>500</v>
      </c>
      <c r="AD38" s="81">
        <v>440</v>
      </c>
      <c r="AE38" s="81">
        <v>600</v>
      </c>
      <c r="AF38" s="81">
        <v>600</v>
      </c>
      <c r="AG38" s="81"/>
      <c r="AH38" s="87">
        <f t="shared" si="3"/>
        <v>8880</v>
      </c>
    </row>
    <row r="39" ht="15" spans="1:34">
      <c r="A39" s="91">
        <v>8</v>
      </c>
      <c r="B39" s="99" t="s">
        <v>42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7">
        <f t="shared" si="3"/>
        <v>0</v>
      </c>
    </row>
    <row r="40" ht="15" spans="1:34">
      <c r="A40" s="91">
        <v>9</v>
      </c>
      <c r="B40" s="99" t="s">
        <v>43</v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7">
        <f t="shared" si="3"/>
        <v>0</v>
      </c>
    </row>
    <row r="41" ht="15" spans="1:34">
      <c r="A41" s="91">
        <v>10</v>
      </c>
      <c r="B41" s="100" t="s">
        <v>44</v>
      </c>
      <c r="C41" s="81"/>
      <c r="D41" s="81"/>
      <c r="E41" s="81"/>
      <c r="F41" s="81"/>
      <c r="G41" s="81"/>
      <c r="H41" s="81"/>
      <c r="I41" s="81"/>
      <c r="J41" s="81"/>
      <c r="K41" s="81"/>
      <c r="L41" s="81">
        <v>330</v>
      </c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7">
        <f t="shared" si="3"/>
        <v>330</v>
      </c>
    </row>
    <row r="42" ht="15" spans="1:34">
      <c r="A42" s="91">
        <v>11</v>
      </c>
      <c r="B42" s="95" t="s">
        <v>45</v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7">
        <f t="shared" si="3"/>
        <v>0</v>
      </c>
    </row>
    <row r="43" ht="13.5" hidden="1" customHeight="1" spans="1:34">
      <c r="A43" s="91">
        <v>13</v>
      </c>
      <c r="B43" s="95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7"/>
    </row>
    <row r="44" ht="15" hidden="1" spans="1:34">
      <c r="A44" s="91">
        <v>14</v>
      </c>
      <c r="B44" s="10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7"/>
    </row>
    <row r="45" s="7" customFormat="1" ht="15.6" spans="1:34">
      <c r="A45" s="102" t="s">
        <v>46</v>
      </c>
      <c r="B45" s="102"/>
      <c r="C45" s="42">
        <f t="shared" ref="C45:AH45" si="4">SUM(C32:C44)</f>
        <v>12382.27</v>
      </c>
      <c r="D45" s="42">
        <f t="shared" si="4"/>
        <v>12462.27</v>
      </c>
      <c r="E45" s="42">
        <f t="shared" si="4"/>
        <v>12482.27</v>
      </c>
      <c r="F45" s="42">
        <f t="shared" si="4"/>
        <v>12522.27</v>
      </c>
      <c r="G45" s="42">
        <f t="shared" si="4"/>
        <v>12602.27</v>
      </c>
      <c r="H45" s="42">
        <f t="shared" si="4"/>
        <v>12482.27</v>
      </c>
      <c r="I45" s="42">
        <f t="shared" si="4"/>
        <v>12562.27</v>
      </c>
      <c r="J45" s="42">
        <f t="shared" si="4"/>
        <v>12662.27</v>
      </c>
      <c r="K45" s="42">
        <f t="shared" si="4"/>
        <v>12662.27</v>
      </c>
      <c r="L45" s="42">
        <f t="shared" si="4"/>
        <v>12952.27</v>
      </c>
      <c r="M45" s="42">
        <f t="shared" si="4"/>
        <v>12602.27</v>
      </c>
      <c r="N45" s="42">
        <f t="shared" si="4"/>
        <v>12542.27</v>
      </c>
      <c r="O45" s="42">
        <f t="shared" si="4"/>
        <v>12602.27</v>
      </c>
      <c r="P45" s="42">
        <f t="shared" si="4"/>
        <v>12602.27</v>
      </c>
      <c r="Q45" s="42">
        <f t="shared" si="4"/>
        <v>12682.27</v>
      </c>
      <c r="R45" s="42">
        <f t="shared" si="4"/>
        <v>12782.27</v>
      </c>
      <c r="S45" s="42">
        <f t="shared" si="4"/>
        <v>12682.27</v>
      </c>
      <c r="T45" s="42">
        <f t="shared" si="4"/>
        <v>12562.27</v>
      </c>
      <c r="U45" s="42">
        <f t="shared" si="4"/>
        <v>12722.27</v>
      </c>
      <c r="V45" s="42">
        <f t="shared" si="4"/>
        <v>12742.27</v>
      </c>
      <c r="W45" s="42">
        <f t="shared" si="4"/>
        <v>12802.27</v>
      </c>
      <c r="X45" s="42">
        <f t="shared" si="4"/>
        <v>12722.27</v>
      </c>
      <c r="Y45" s="42">
        <f t="shared" si="4"/>
        <v>12722.27</v>
      </c>
      <c r="Z45" s="42">
        <f t="shared" si="4"/>
        <v>12802.27</v>
      </c>
      <c r="AA45" s="42">
        <f t="shared" si="4"/>
        <v>12802.27</v>
      </c>
      <c r="AB45" s="42">
        <f t="shared" si="4"/>
        <v>12862.27</v>
      </c>
      <c r="AC45" s="42">
        <f t="shared" si="4"/>
        <v>12882.27</v>
      </c>
      <c r="AD45" s="42">
        <f t="shared" si="4"/>
        <v>12822.27</v>
      </c>
      <c r="AE45" s="42">
        <f t="shared" si="4"/>
        <v>12982.27</v>
      </c>
      <c r="AF45" s="42">
        <f t="shared" si="4"/>
        <v>12982.27</v>
      </c>
      <c r="AG45" s="42">
        <f t="shared" si="4"/>
        <v>0</v>
      </c>
      <c r="AH45" s="42">
        <f t="shared" si="4"/>
        <v>380678.1</v>
      </c>
    </row>
    <row r="46" s="7" customFormat="1" ht="15.6" spans="1:34">
      <c r="A46" s="102" t="s">
        <v>47</v>
      </c>
      <c r="B46" s="102"/>
      <c r="C46" s="27">
        <f>ROUND(C31-C45,2)</f>
        <v>-37360.62</v>
      </c>
      <c r="D46" s="27">
        <f t="shared" ref="C46:AH46" si="5">D31-D45</f>
        <v>-38385.82</v>
      </c>
      <c r="E46" s="27">
        <f t="shared" si="5"/>
        <v>-23911.2</v>
      </c>
      <c r="F46" s="27">
        <f t="shared" si="5"/>
        <v>-24210.63</v>
      </c>
      <c r="G46" s="27">
        <f t="shared" si="5"/>
        <v>-13992.56</v>
      </c>
      <c r="H46" s="27">
        <f t="shared" si="5"/>
        <v>-16497</v>
      </c>
      <c r="I46" s="27">
        <f t="shared" si="5"/>
        <v>-18891.22</v>
      </c>
      <c r="J46" s="27">
        <f t="shared" si="5"/>
        <v>-19694.94</v>
      </c>
      <c r="K46" s="27">
        <f t="shared" si="5"/>
        <v>-23047.11</v>
      </c>
      <c r="L46" s="27">
        <f t="shared" si="5"/>
        <v>-16699.28</v>
      </c>
      <c r="M46" s="27">
        <f t="shared" si="5"/>
        <v>-14791.14</v>
      </c>
      <c r="N46" s="27">
        <f t="shared" si="5"/>
        <v>-16590.2</v>
      </c>
      <c r="O46" s="27">
        <f t="shared" si="5"/>
        <v>-12853.82</v>
      </c>
      <c r="P46" s="27">
        <f t="shared" si="5"/>
        <v>-17199.35</v>
      </c>
      <c r="Q46" s="27">
        <f t="shared" si="5"/>
        <v>-22273.23</v>
      </c>
      <c r="R46" s="27">
        <f t="shared" si="5"/>
        <v>-17810.52</v>
      </c>
      <c r="S46" s="27">
        <f t="shared" si="5"/>
        <v>-18366.15</v>
      </c>
      <c r="T46" s="27">
        <f t="shared" si="5"/>
        <v>-17256.22</v>
      </c>
      <c r="U46" s="27">
        <f t="shared" si="5"/>
        <v>-12214.42</v>
      </c>
      <c r="V46" s="27">
        <f t="shared" si="5"/>
        <v>-14496.2</v>
      </c>
      <c r="W46" s="27">
        <f t="shared" si="5"/>
        <v>-9120.05</v>
      </c>
      <c r="X46" s="27">
        <f t="shared" si="5"/>
        <v>-15143.25</v>
      </c>
      <c r="Y46" s="27">
        <f t="shared" si="5"/>
        <v>-21165.67</v>
      </c>
      <c r="Z46" s="27">
        <f t="shared" si="5"/>
        <v>-26588.2</v>
      </c>
      <c r="AA46" s="27">
        <f t="shared" si="5"/>
        <v>-21094.84</v>
      </c>
      <c r="AB46" s="27">
        <f t="shared" si="5"/>
        <v>-27169.64</v>
      </c>
      <c r="AC46" s="27">
        <f t="shared" si="5"/>
        <v>-26180.64</v>
      </c>
      <c r="AD46" s="27">
        <f t="shared" si="5"/>
        <v>-30182.48</v>
      </c>
      <c r="AE46" s="27">
        <f t="shared" si="5"/>
        <v>-24880.46</v>
      </c>
      <c r="AF46" s="27">
        <f t="shared" si="5"/>
        <v>-26687.94</v>
      </c>
      <c r="AG46" s="27">
        <f t="shared" si="5"/>
        <v>0</v>
      </c>
      <c r="AH46" s="27">
        <f>ROUND(AH31-AH45,2)</f>
        <v>-624754.8</v>
      </c>
    </row>
    <row r="47" s="9" customFormat="1" ht="96" customHeight="1" spans="1:34">
      <c r="A47" s="103" t="s">
        <v>48</v>
      </c>
      <c r="B47" s="103"/>
      <c r="C47" s="48" t="s">
        <v>49</v>
      </c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48" t="s">
        <v>50</v>
      </c>
      <c r="O47" s="51" t="s">
        <v>51</v>
      </c>
      <c r="P47" s="51" t="s">
        <v>52</v>
      </c>
      <c r="Q47" s="118"/>
      <c r="R47" s="118"/>
      <c r="S47" s="117"/>
      <c r="T47" s="118"/>
      <c r="U47" s="118"/>
      <c r="V47" s="118"/>
      <c r="W47" s="118"/>
      <c r="X47" s="118"/>
      <c r="Y47" s="118"/>
      <c r="Z47" s="119" t="s">
        <v>53</v>
      </c>
      <c r="AA47" s="118"/>
      <c r="AB47" s="119" t="s">
        <v>54</v>
      </c>
      <c r="AC47" s="119" t="s">
        <v>55</v>
      </c>
      <c r="AD47" s="119" t="s">
        <v>55</v>
      </c>
      <c r="AE47" s="48" t="s">
        <v>56</v>
      </c>
      <c r="AF47" s="48" t="s">
        <v>57</v>
      </c>
      <c r="AG47" s="114"/>
      <c r="AH47" s="53"/>
    </row>
    <row r="48" ht="15.6" spans="1:34">
      <c r="A48" s="104" t="s">
        <v>58</v>
      </c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</row>
    <row r="49" ht="18" customHeight="1" spans="1:34">
      <c r="C49" s="106"/>
      <c r="D49" s="106"/>
      <c r="E49" s="106"/>
      <c r="F49" s="106"/>
      <c r="G49" s="106"/>
      <c r="H49" s="107"/>
      <c r="I49" s="108"/>
      <c r="J49" s="108"/>
      <c r="K49" s="108"/>
      <c r="L49" s="108"/>
      <c r="M49" s="108"/>
    </row>
    <row r="50" ht="18" customHeight="1" spans="1:34">
      <c r="C50" s="124"/>
      <c r="D50" s="124"/>
      <c r="E50" s="124"/>
      <c r="F50" s="124"/>
      <c r="G50" s="124"/>
      <c r="H50" s="125"/>
      <c r="I50" s="124"/>
      <c r="J50" s="124"/>
      <c r="K50" s="124"/>
      <c r="L50" s="124"/>
      <c r="M50" s="124"/>
      <c r="T50" s="109" t="s">
        <v>59</v>
      </c>
      <c r="U50" s="109"/>
      <c r="V50" s="109"/>
      <c r="W50" s="109"/>
      <c r="X50" s="109"/>
    </row>
    <row r="51" ht="18" customHeight="1" spans="1:34">
      <c r="C51" s="124"/>
      <c r="D51" s="124"/>
      <c r="E51" s="126"/>
      <c r="F51" s="126"/>
      <c r="G51" s="126"/>
      <c r="H51" s="125"/>
      <c r="I51" s="124"/>
      <c r="J51" s="124"/>
      <c r="K51" s="126"/>
      <c r="L51" s="126"/>
      <c r="M51" s="126"/>
      <c r="T51" s="109" t="s">
        <v>60</v>
      </c>
      <c r="U51" s="109"/>
      <c r="V51" s="109" t="s">
        <v>61</v>
      </c>
      <c r="W51" s="109"/>
      <c r="X51" s="109"/>
    </row>
    <row r="52" ht="18" customHeight="1" spans="1:34">
      <c r="C52" s="124"/>
      <c r="D52" s="124"/>
      <c r="E52" s="124"/>
      <c r="F52" s="124"/>
      <c r="G52" s="124"/>
      <c r="H52" s="125"/>
      <c r="I52" s="124"/>
      <c r="J52" s="124"/>
      <c r="K52" s="124"/>
      <c r="L52" s="124"/>
      <c r="M52" s="124"/>
      <c r="T52" s="109" t="s">
        <v>62</v>
      </c>
      <c r="U52" s="109"/>
      <c r="V52" s="110">
        <v>45838</v>
      </c>
      <c r="W52" s="110"/>
      <c r="X52" s="110"/>
    </row>
    <row r="53" ht="18" customHeight="1" spans="1:34">
      <c r="C53" s="124"/>
      <c r="D53" s="124"/>
      <c r="E53" s="124"/>
      <c r="F53" s="124"/>
      <c r="G53" s="124"/>
      <c r="H53" s="125"/>
      <c r="I53" s="124"/>
      <c r="J53" s="124"/>
      <c r="K53" s="124"/>
      <c r="L53" s="124"/>
      <c r="M53" s="124"/>
      <c r="T53" s="109" t="s">
        <v>63</v>
      </c>
      <c r="U53" s="109"/>
      <c r="V53" s="109">
        <v>22</v>
      </c>
      <c r="W53" s="109"/>
      <c r="X53" s="109"/>
    </row>
    <row r="54" ht="18" customHeight="1" spans="1:34">
      <c r="C54" s="124"/>
      <c r="D54" s="124"/>
      <c r="E54" s="124"/>
      <c r="F54" s="124"/>
      <c r="G54" s="124"/>
      <c r="H54" s="125"/>
      <c r="I54" s="124"/>
      <c r="J54" s="124"/>
      <c r="K54" s="124"/>
      <c r="L54" s="124"/>
      <c r="M54" s="124"/>
      <c r="T54" s="109" t="s">
        <v>64</v>
      </c>
      <c r="U54" s="109"/>
      <c r="V54" s="109">
        <v>301</v>
      </c>
      <c r="W54" s="109"/>
      <c r="X54" s="109"/>
    </row>
    <row r="55" ht="18" customHeight="1" spans="1:34">
      <c r="A55" s="105"/>
      <c r="B55" s="105"/>
      <c r="C55" s="127"/>
      <c r="D55" s="127"/>
      <c r="E55" s="127"/>
      <c r="F55" s="127"/>
      <c r="G55" s="127"/>
      <c r="H55" s="121"/>
      <c r="I55" s="127"/>
      <c r="J55" s="127"/>
      <c r="K55" s="127"/>
      <c r="L55" s="127"/>
      <c r="M55" s="127"/>
      <c r="S55" s="105"/>
      <c r="T55" s="109" t="s">
        <v>65</v>
      </c>
      <c r="U55" s="109"/>
      <c r="V55" s="109">
        <v>52</v>
      </c>
      <c r="W55" s="109"/>
      <c r="X55" s="109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</row>
    <row r="56" ht="18" customHeight="1" spans="1:34">
      <c r="C56" s="124"/>
      <c r="D56" s="124"/>
      <c r="E56" s="124"/>
      <c r="F56" s="124"/>
      <c r="G56" s="124"/>
      <c r="H56" s="125"/>
      <c r="I56" s="124"/>
      <c r="J56" s="124"/>
      <c r="K56" s="124"/>
      <c r="L56" s="124"/>
      <c r="M56" s="124"/>
      <c r="T56" s="111" t="s">
        <v>20</v>
      </c>
      <c r="U56" s="111"/>
      <c r="V56" s="111">
        <v>375</v>
      </c>
      <c r="W56" s="111"/>
      <c r="X56" s="111"/>
    </row>
    <row r="57" ht="18" customHeight="1" spans="1:34">
      <c r="C57" s="124"/>
      <c r="D57" s="124"/>
      <c r="E57" s="124"/>
      <c r="F57" s="124"/>
      <c r="G57" s="124"/>
      <c r="H57" s="125"/>
      <c r="I57" s="124"/>
      <c r="J57" s="124"/>
      <c r="K57" s="124"/>
      <c r="L57" s="124"/>
      <c r="M57" s="124"/>
      <c r="T57" s="109" t="s">
        <v>5</v>
      </c>
      <c r="U57" s="109"/>
      <c r="V57" s="109">
        <v>693059</v>
      </c>
      <c r="W57" s="109"/>
      <c r="X57" s="109"/>
    </row>
    <row r="58" ht="18" customHeight="1" spans="1:34">
      <c r="C58" s="124"/>
      <c r="D58" s="124"/>
      <c r="E58" s="128"/>
      <c r="F58" s="128"/>
      <c r="G58" s="128"/>
      <c r="H58" s="125"/>
      <c r="I58" s="124"/>
      <c r="J58" s="124"/>
      <c r="K58" s="128"/>
      <c r="L58" s="128"/>
      <c r="M58" s="128"/>
      <c r="T58" s="109" t="s">
        <v>21</v>
      </c>
      <c r="U58" s="109"/>
      <c r="V58" s="109">
        <v>4008.5</v>
      </c>
      <c r="W58" s="109"/>
      <c r="X58" s="109"/>
    </row>
    <row r="59" spans="1:34">
      <c r="T59" s="109" t="s">
        <v>23</v>
      </c>
      <c r="U59" s="109"/>
      <c r="V59" s="112">
        <v>172.897343145815</v>
      </c>
      <c r="W59" s="112"/>
      <c r="X59" s="112"/>
    </row>
  </sheetData>
  <mergeCells count="66">
    <mergeCell ref="A3:B3"/>
    <mergeCell ref="A11:B11"/>
    <mergeCell ref="A17:B17"/>
    <mergeCell ref="A18:B18"/>
    <mergeCell ref="A29:B29"/>
    <mergeCell ref="A30:B30"/>
    <mergeCell ref="A31:B31"/>
    <mergeCell ref="A45:B45"/>
    <mergeCell ref="A46:B46"/>
    <mergeCell ref="A47:B47"/>
    <mergeCell ref="C49:G49"/>
    <mergeCell ref="C50:D50"/>
    <mergeCell ref="E50:G50"/>
    <mergeCell ref="I50:J50"/>
    <mergeCell ref="K50:M50"/>
    <mergeCell ref="T50:X50"/>
    <mergeCell ref="C51:D51"/>
    <mergeCell ref="E51:G51"/>
    <mergeCell ref="I51:J51"/>
    <mergeCell ref="K51:M51"/>
    <mergeCell ref="T51:U51"/>
    <mergeCell ref="V51:X51"/>
    <mergeCell ref="C52:D52"/>
    <mergeCell ref="E52:G52"/>
    <mergeCell ref="I52:J52"/>
    <mergeCell ref="K52:M52"/>
    <mergeCell ref="T52:U52"/>
    <mergeCell ref="V52:X52"/>
    <mergeCell ref="C53:D53"/>
    <mergeCell ref="E53:G53"/>
    <mergeCell ref="I53:J53"/>
    <mergeCell ref="K53:M53"/>
    <mergeCell ref="T53:U53"/>
    <mergeCell ref="V53:X53"/>
    <mergeCell ref="C54:D54"/>
    <mergeCell ref="E54:G54"/>
    <mergeCell ref="I54:J54"/>
    <mergeCell ref="K54:M54"/>
    <mergeCell ref="T54:U54"/>
    <mergeCell ref="V54:X54"/>
    <mergeCell ref="C55:D55"/>
    <mergeCell ref="E55:G55"/>
    <mergeCell ref="I55:J55"/>
    <mergeCell ref="K55:M55"/>
    <mergeCell ref="T55:U55"/>
    <mergeCell ref="V55:X55"/>
    <mergeCell ref="C56:D56"/>
    <mergeCell ref="E56:G56"/>
    <mergeCell ref="I56:J56"/>
    <mergeCell ref="K56:M56"/>
    <mergeCell ref="T56:U56"/>
    <mergeCell ref="V56:X56"/>
    <mergeCell ref="C57:D57"/>
    <mergeCell ref="E57:G57"/>
    <mergeCell ref="I57:J57"/>
    <mergeCell ref="K57:M57"/>
    <mergeCell ref="T57:U57"/>
    <mergeCell ref="V57:X57"/>
    <mergeCell ref="C58:D58"/>
    <mergeCell ref="E58:G58"/>
    <mergeCell ref="I58:J58"/>
    <mergeCell ref="K58:M58"/>
    <mergeCell ref="T58:U58"/>
    <mergeCell ref="V58:X58"/>
    <mergeCell ref="T59:U59"/>
    <mergeCell ref="V59:X5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A1" sqref="$A1:$XFD1048576"/>
    </sheetView>
  </sheetViews>
  <sheetFormatPr defaultColWidth="19.3703703703704" defaultRowHeight="14.4"/>
  <cols>
    <col min="1" max="1" width="9.62962962962963" style="62" customWidth="1"/>
    <col min="2" max="9" width="19.3703703703704" style="62" customWidth="1"/>
    <col min="10" max="10" width="12.3703703703704" style="62" customWidth="1"/>
    <col min="11" max="16384" width="19.3703703703704" style="62" customWidth="1"/>
  </cols>
  <sheetData>
    <row r="1" s="62" customFormat="1" ht="32.4" spans="1:10">
      <c r="A1" s="63" t="s">
        <v>66</v>
      </c>
      <c r="B1" s="64" t="s">
        <v>67</v>
      </c>
      <c r="C1" s="64" t="s">
        <v>68</v>
      </c>
      <c r="D1" s="64" t="s">
        <v>69</v>
      </c>
      <c r="E1" s="65" t="s">
        <v>70</v>
      </c>
      <c r="F1" s="66" t="s">
        <v>71</v>
      </c>
    </row>
    <row r="2" s="62" customFormat="1" ht="15.6" spans="1:10">
      <c r="A2" s="67">
        <v>45809</v>
      </c>
      <c r="B2" s="68">
        <v>256690</v>
      </c>
      <c r="C2" s="68">
        <v>522646</v>
      </c>
      <c r="D2" s="68">
        <v>19473</v>
      </c>
      <c r="E2" s="69">
        <v>172669</v>
      </c>
      <c r="F2" s="68">
        <f t="shared" ref="F2:F32" si="0">SUM(B2:D2)-E2</f>
        <v>626140</v>
      </c>
    </row>
    <row r="3" s="62" customFormat="1" ht="15.6" spans="1:10">
      <c r="A3" s="67">
        <f t="shared" ref="A3:A32" si="1">A2+1</f>
        <v>45810</v>
      </c>
      <c r="B3" s="68">
        <v>218158</v>
      </c>
      <c r="C3" s="68">
        <v>473152</v>
      </c>
      <c r="D3" s="68">
        <v>18667</v>
      </c>
      <c r="E3" s="69">
        <v>97937</v>
      </c>
      <c r="F3" s="68">
        <f t="shared" si="0"/>
        <v>612040</v>
      </c>
    </row>
    <row r="4" s="62" customFormat="1" ht="15.6" spans="1:10">
      <c r="A4" s="67">
        <f t="shared" si="1"/>
        <v>45811</v>
      </c>
      <c r="B4" s="68">
        <v>267556</v>
      </c>
      <c r="C4" s="68">
        <v>436925</v>
      </c>
      <c r="D4" s="68">
        <v>25058</v>
      </c>
      <c r="E4" s="69">
        <v>29274</v>
      </c>
      <c r="F4" s="68">
        <f t="shared" si="0"/>
        <v>700265</v>
      </c>
    </row>
    <row r="5" s="62" customFormat="1" ht="15.6" spans="1:10">
      <c r="A5" s="67">
        <f t="shared" si="1"/>
        <v>45812</v>
      </c>
      <c r="B5" s="68">
        <v>297968</v>
      </c>
      <c r="C5" s="68">
        <v>472805</v>
      </c>
      <c r="D5" s="68">
        <v>29548</v>
      </c>
      <c r="E5" s="69">
        <v>57120</v>
      </c>
      <c r="F5" s="68">
        <f t="shared" si="0"/>
        <v>743201</v>
      </c>
    </row>
    <row r="6" s="62" customFormat="1" ht="15.6" spans="1:10">
      <c r="A6" s="67">
        <f t="shared" si="1"/>
        <v>45813</v>
      </c>
      <c r="B6" s="68">
        <v>299810</v>
      </c>
      <c r="C6" s="68">
        <v>512419</v>
      </c>
      <c r="D6" s="68">
        <v>30641</v>
      </c>
      <c r="E6" s="69">
        <v>52241</v>
      </c>
      <c r="F6" s="68">
        <f t="shared" si="0"/>
        <v>790629</v>
      </c>
    </row>
    <row r="7" s="62" customFormat="1" ht="15.6" spans="1:10">
      <c r="A7" s="67">
        <f t="shared" si="1"/>
        <v>45814</v>
      </c>
      <c r="B7" s="68">
        <v>300884</v>
      </c>
      <c r="C7" s="68">
        <v>511750</v>
      </c>
      <c r="D7" s="68">
        <v>32255</v>
      </c>
      <c r="E7" s="69">
        <v>74137</v>
      </c>
      <c r="F7" s="68">
        <f t="shared" si="0"/>
        <v>770752</v>
      </c>
    </row>
    <row r="8" s="62" customFormat="1" ht="15.6" spans="1:10">
      <c r="A8" s="67">
        <f t="shared" si="1"/>
        <v>45815</v>
      </c>
      <c r="B8" s="68">
        <v>288774</v>
      </c>
      <c r="C8" s="68">
        <v>642639</v>
      </c>
      <c r="D8" s="68">
        <v>27851</v>
      </c>
      <c r="E8" s="69">
        <v>200991</v>
      </c>
      <c r="F8" s="68">
        <f t="shared" si="0"/>
        <v>758273</v>
      </c>
    </row>
    <row r="9" s="62" customFormat="1" ht="15.6" spans="1:10">
      <c r="A9" s="67">
        <f t="shared" si="1"/>
        <v>45816</v>
      </c>
      <c r="B9" s="68">
        <v>292802</v>
      </c>
      <c r="C9" s="68">
        <v>590922</v>
      </c>
      <c r="D9" s="68">
        <v>27227</v>
      </c>
      <c r="E9" s="69">
        <v>161840</v>
      </c>
      <c r="F9" s="68">
        <f t="shared" si="0"/>
        <v>749111</v>
      </c>
      <c r="I9" s="57"/>
      <c r="J9" s="57"/>
    </row>
    <row r="10" s="62" customFormat="1" ht="15.6" spans="1:10">
      <c r="A10" s="67">
        <f t="shared" si="1"/>
        <v>45817</v>
      </c>
      <c r="B10" s="68">
        <v>273151</v>
      </c>
      <c r="C10" s="68">
        <v>495061</v>
      </c>
      <c r="D10" s="68">
        <v>26143</v>
      </c>
      <c r="E10" s="69">
        <v>85442</v>
      </c>
      <c r="F10" s="68">
        <f t="shared" si="0"/>
        <v>708913</v>
      </c>
      <c r="I10" s="57"/>
      <c r="J10" s="57"/>
    </row>
    <row r="11" s="62" customFormat="1" ht="15.6" spans="1:10">
      <c r="A11" s="67">
        <f t="shared" si="1"/>
        <v>45818</v>
      </c>
      <c r="B11" s="68">
        <v>304463</v>
      </c>
      <c r="C11" s="68">
        <v>487423</v>
      </c>
      <c r="D11" s="68">
        <v>30054</v>
      </c>
      <c r="E11" s="69">
        <v>67473</v>
      </c>
      <c r="F11" s="68">
        <f t="shared" si="0"/>
        <v>754467</v>
      </c>
      <c r="I11" s="57"/>
      <c r="J11" s="57"/>
    </row>
    <row r="12" s="62" customFormat="1" ht="15.6" spans="1:10">
      <c r="A12" s="67">
        <f t="shared" si="1"/>
        <v>45819</v>
      </c>
      <c r="B12" s="68">
        <v>306613</v>
      </c>
      <c r="C12" s="68">
        <v>510775</v>
      </c>
      <c r="D12" s="68">
        <v>30774</v>
      </c>
      <c r="E12" s="69">
        <v>79492</v>
      </c>
      <c r="F12" s="68">
        <f t="shared" si="0"/>
        <v>768670</v>
      </c>
      <c r="I12" s="57"/>
      <c r="J12" s="57"/>
    </row>
    <row r="13" s="62" customFormat="1" ht="15.6" spans="1:10">
      <c r="A13" s="67">
        <f t="shared" si="1"/>
        <v>45820</v>
      </c>
      <c r="B13" s="68">
        <v>293214</v>
      </c>
      <c r="C13" s="68">
        <v>495303</v>
      </c>
      <c r="D13" s="68">
        <v>29333</v>
      </c>
      <c r="E13" s="69">
        <v>61523</v>
      </c>
      <c r="F13" s="68">
        <f t="shared" si="0"/>
        <v>756327</v>
      </c>
      <c r="I13" s="57"/>
      <c r="J13" s="57"/>
    </row>
    <row r="14" s="62" customFormat="1" ht="15.6" spans="1:10">
      <c r="A14" s="67">
        <f t="shared" si="1"/>
        <v>45821</v>
      </c>
      <c r="B14" s="68">
        <v>310592</v>
      </c>
      <c r="C14" s="68">
        <v>513480</v>
      </c>
      <c r="D14" s="68">
        <v>32843</v>
      </c>
      <c r="E14" s="69">
        <v>64736</v>
      </c>
      <c r="F14" s="68">
        <f t="shared" si="0"/>
        <v>792179</v>
      </c>
      <c r="I14" s="57"/>
      <c r="J14" s="57"/>
    </row>
    <row r="15" s="62" customFormat="1" ht="15.6" spans="1:10">
      <c r="A15" s="67">
        <f t="shared" si="1"/>
        <v>45822</v>
      </c>
      <c r="B15" s="68">
        <v>301951</v>
      </c>
      <c r="C15" s="68">
        <v>698651</v>
      </c>
      <c r="D15" s="68">
        <v>24560</v>
      </c>
      <c r="E15" s="69">
        <v>263942</v>
      </c>
      <c r="F15" s="68">
        <f t="shared" si="0"/>
        <v>761220</v>
      </c>
      <c r="I15" s="57"/>
      <c r="J15" s="57"/>
    </row>
    <row r="16" s="62" customFormat="1" ht="15.6" spans="1:10">
      <c r="A16" s="67">
        <f t="shared" si="1"/>
        <v>45823</v>
      </c>
      <c r="B16" s="68">
        <v>281698</v>
      </c>
      <c r="C16" s="68">
        <v>541030</v>
      </c>
      <c r="D16" s="68">
        <v>22481</v>
      </c>
      <c r="E16" s="69">
        <v>121142</v>
      </c>
      <c r="F16" s="68">
        <f t="shared" si="0"/>
        <v>724067</v>
      </c>
      <c r="I16" s="57"/>
      <c r="J16" s="57"/>
    </row>
    <row r="17" s="62" customFormat="1" ht="15.6" spans="1:10">
      <c r="A17" s="67">
        <f t="shared" si="1"/>
        <v>45824</v>
      </c>
      <c r="B17" s="68">
        <v>286940</v>
      </c>
      <c r="C17" s="68">
        <v>536685</v>
      </c>
      <c r="D17" s="68">
        <v>28564</v>
      </c>
      <c r="E17" s="69">
        <v>107100</v>
      </c>
      <c r="F17" s="68">
        <f t="shared" si="0"/>
        <v>745089</v>
      </c>
      <c r="I17" s="57"/>
      <c r="J17" s="57"/>
    </row>
    <row r="18" s="62" customFormat="1" ht="15.6" spans="1:10">
      <c r="A18" s="67">
        <f t="shared" si="1"/>
        <v>45825</v>
      </c>
      <c r="B18" s="70">
        <v>300118</v>
      </c>
      <c r="C18" s="70">
        <v>495711</v>
      </c>
      <c r="D18" s="70">
        <v>28839</v>
      </c>
      <c r="E18" s="71">
        <v>73780</v>
      </c>
      <c r="F18" s="68">
        <f t="shared" si="0"/>
        <v>750888</v>
      </c>
      <c r="I18" s="57"/>
      <c r="J18" s="57"/>
    </row>
    <row r="19" s="62" customFormat="1" ht="15.6" spans="1:10">
      <c r="A19" s="67">
        <f t="shared" si="1"/>
        <v>45826</v>
      </c>
      <c r="B19" s="70">
        <v>287894</v>
      </c>
      <c r="C19" s="70">
        <v>512853</v>
      </c>
      <c r="D19" s="68">
        <v>30448</v>
      </c>
      <c r="E19" s="69">
        <v>73780</v>
      </c>
      <c r="F19" s="68">
        <f t="shared" si="0"/>
        <v>757415</v>
      </c>
    </row>
    <row r="20" s="62" customFormat="1" ht="15.6" spans="1:10">
      <c r="A20" s="67">
        <f t="shared" si="1"/>
        <v>45827</v>
      </c>
      <c r="B20" s="68">
        <v>327068</v>
      </c>
      <c r="C20" s="68">
        <v>493183</v>
      </c>
      <c r="D20" s="68">
        <v>30724</v>
      </c>
      <c r="E20" s="69">
        <v>50456</v>
      </c>
      <c r="F20" s="68">
        <f t="shared" si="0"/>
        <v>800519</v>
      </c>
      <c r="H20" s="72"/>
    </row>
    <row r="21" s="62" customFormat="1" ht="15.6" spans="1:10">
      <c r="A21" s="67">
        <f t="shared" si="1"/>
        <v>45828</v>
      </c>
      <c r="B21" s="68">
        <v>302269</v>
      </c>
      <c r="C21" s="68">
        <v>521398</v>
      </c>
      <c r="D21" s="68">
        <v>33997</v>
      </c>
      <c r="E21" s="69">
        <v>69496</v>
      </c>
      <c r="F21" s="68">
        <f t="shared" si="0"/>
        <v>788168</v>
      </c>
    </row>
    <row r="22" s="62" customFormat="1" ht="15.6" spans="1:10">
      <c r="A22" s="67">
        <f t="shared" si="1"/>
        <v>45829</v>
      </c>
      <c r="B22" s="68">
        <v>317480</v>
      </c>
      <c r="C22" s="68">
        <v>547119</v>
      </c>
      <c r="D22" s="68">
        <v>30279</v>
      </c>
      <c r="E22" s="69">
        <v>80682</v>
      </c>
      <c r="F22" s="68">
        <f t="shared" si="0"/>
        <v>814196</v>
      </c>
    </row>
    <row r="23" s="62" customFormat="1" ht="15.6" spans="1:10">
      <c r="A23" s="67">
        <f t="shared" si="1"/>
        <v>45830</v>
      </c>
      <c r="B23" s="68">
        <v>300456</v>
      </c>
      <c r="C23" s="68">
        <v>537236</v>
      </c>
      <c r="D23" s="68">
        <v>24130</v>
      </c>
      <c r="E23" s="69">
        <v>72114</v>
      </c>
      <c r="F23" s="68">
        <f t="shared" si="0"/>
        <v>789708</v>
      </c>
    </row>
    <row r="24" s="62" customFormat="1" ht="15.6" spans="1:10">
      <c r="A24" s="67">
        <f t="shared" si="1"/>
        <v>45831</v>
      </c>
      <c r="B24" s="68">
        <v>274519</v>
      </c>
      <c r="C24" s="68">
        <v>523245</v>
      </c>
      <c r="D24" s="68">
        <v>26841</v>
      </c>
      <c r="E24" s="69">
        <v>86513</v>
      </c>
      <c r="F24" s="68">
        <f t="shared" si="0"/>
        <v>738092</v>
      </c>
    </row>
    <row r="25" s="62" customFormat="1" ht="15.6" spans="1:10">
      <c r="A25" s="67">
        <f t="shared" si="1"/>
        <v>45832</v>
      </c>
      <c r="B25" s="68">
        <v>268801</v>
      </c>
      <c r="C25" s="68">
        <v>478928</v>
      </c>
      <c r="D25" s="68">
        <v>28957</v>
      </c>
      <c r="E25" s="69">
        <v>61880</v>
      </c>
      <c r="F25" s="68">
        <f t="shared" si="0"/>
        <v>714806</v>
      </c>
    </row>
    <row r="26" s="62" customFormat="1" ht="15.6" spans="1:10">
      <c r="A26" s="67">
        <f t="shared" si="1"/>
        <v>45833</v>
      </c>
      <c r="B26" s="68">
        <v>282993</v>
      </c>
      <c r="C26" s="68">
        <v>517001</v>
      </c>
      <c r="D26" s="68">
        <v>30018</v>
      </c>
      <c r="E26" s="69">
        <v>91392</v>
      </c>
      <c r="F26" s="68">
        <f t="shared" si="0"/>
        <v>738620</v>
      </c>
    </row>
    <row r="27" s="62" customFormat="1" ht="15.6" spans="1:10">
      <c r="A27" s="67">
        <f t="shared" si="1"/>
        <v>45834</v>
      </c>
      <c r="B27" s="68">
        <v>278623</v>
      </c>
      <c r="C27" s="68">
        <v>472284</v>
      </c>
      <c r="D27" s="68">
        <v>28480</v>
      </c>
      <c r="E27" s="69">
        <v>79849</v>
      </c>
      <c r="F27" s="68">
        <f t="shared" si="0"/>
        <v>699538</v>
      </c>
    </row>
    <row r="28" s="62" customFormat="1" ht="15.6" spans="1:10">
      <c r="A28" s="67">
        <f t="shared" si="1"/>
        <v>45835</v>
      </c>
      <c r="B28" s="68">
        <v>268910</v>
      </c>
      <c r="C28" s="68">
        <v>487884</v>
      </c>
      <c r="D28" s="68">
        <v>31333</v>
      </c>
      <c r="E28" s="69">
        <v>78897</v>
      </c>
      <c r="F28" s="68">
        <f t="shared" si="0"/>
        <v>709230</v>
      </c>
    </row>
    <row r="29" s="62" customFormat="1" ht="15.6" spans="1:10">
      <c r="A29" s="67">
        <f t="shared" si="1"/>
        <v>45836</v>
      </c>
      <c r="B29" s="68">
        <v>275503</v>
      </c>
      <c r="C29" s="68">
        <v>462985</v>
      </c>
      <c r="D29" s="68">
        <v>28444</v>
      </c>
      <c r="E29" s="69">
        <v>67592</v>
      </c>
      <c r="F29" s="68">
        <f t="shared" si="0"/>
        <v>699340</v>
      </c>
    </row>
    <row r="30" s="62" customFormat="1" ht="15.6" spans="1:10">
      <c r="A30" s="67">
        <f t="shared" si="1"/>
        <v>45837</v>
      </c>
      <c r="B30" s="68">
        <v>284109</v>
      </c>
      <c r="C30" s="68">
        <v>469234</v>
      </c>
      <c r="D30" s="68">
        <v>22122</v>
      </c>
      <c r="E30" s="69">
        <v>56406</v>
      </c>
      <c r="F30" s="68">
        <f t="shared" si="0"/>
        <v>719059</v>
      </c>
    </row>
    <row r="31" s="62" customFormat="1" ht="15.6" spans="1:10">
      <c r="A31" s="67">
        <f t="shared" si="1"/>
        <v>45838</v>
      </c>
      <c r="B31" s="68">
        <v>275507</v>
      </c>
      <c r="C31" s="68">
        <v>445495</v>
      </c>
      <c r="D31" s="68">
        <v>28344</v>
      </c>
      <c r="E31" s="69">
        <v>56287</v>
      </c>
      <c r="F31" s="68">
        <f t="shared" si="0"/>
        <v>693059</v>
      </c>
    </row>
    <row r="32" s="62" customFormat="1" ht="15.6" hidden="1" spans="1:10">
      <c r="A32" s="67">
        <f t="shared" si="1"/>
        <v>45839</v>
      </c>
      <c r="B32" s="68"/>
      <c r="C32" s="68"/>
      <c r="D32" s="68"/>
      <c r="E32" s="69"/>
      <c r="F32" s="68">
        <f t="shared" si="0"/>
        <v>0</v>
      </c>
    </row>
    <row r="33" s="62" customFormat="1" ht="15.6" spans="1:6">
      <c r="A33" s="68" t="s">
        <v>71</v>
      </c>
      <c r="B33" s="68">
        <f t="shared" ref="B33:F33" si="2">SUM(B2:B32)</f>
        <v>8625514</v>
      </c>
      <c r="C33" s="68">
        <f t="shared" si="2"/>
        <v>15406222</v>
      </c>
      <c r="D33" s="68">
        <f t="shared" si="2"/>
        <v>838428</v>
      </c>
      <c r="E33" s="69">
        <f t="shared" si="2"/>
        <v>2696183</v>
      </c>
      <c r="F33" s="68">
        <f t="shared" si="2"/>
        <v>22173981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0"/>
  <sheetViews>
    <sheetView showGridLines="0" workbookViewId="0">
      <selection activeCell="A1" sqref="$A1:$XFD1048576"/>
    </sheetView>
  </sheetViews>
  <sheetFormatPr defaultColWidth="9" defaultRowHeight="14.4"/>
  <cols>
    <col min="1" max="1" width="9" style="9"/>
    <col min="2" max="2" width="18.5" style="9" customWidth="1"/>
    <col min="3" max="3" width="11.6296296296296" style="9" hidden="1" customWidth="1"/>
    <col min="4" max="15" width="10.212962962963" style="9" hidden="1" customWidth="1"/>
    <col min="16" max="16" width="10.6296296296296" style="9" hidden="1" customWidth="1"/>
    <col min="17" max="21" width="10.212962962963" style="9" hidden="1" customWidth="1"/>
    <col min="22" max="22" width="12.6296296296296" style="9" hidden="1" customWidth="1"/>
    <col min="23" max="23" width="10.212962962963" style="9" hidden="1" customWidth="1"/>
    <col min="24" max="24" width="11.4814814814815" style="9" hidden="1" customWidth="1"/>
    <col min="25" max="27" width="10.212962962963" style="9" customWidth="1"/>
    <col min="28" max="28" width="11.6296296296296" style="9" customWidth="1"/>
    <col min="29" max="33" width="10.212962962963" style="9" customWidth="1"/>
    <col min="34" max="34" width="13.8796296296296" style="9" customWidth="1"/>
    <col min="35" max="35" width="12.787037037037" style="9"/>
  </cols>
  <sheetData>
    <row r="1" customFormat="1" ht="17.4" spans="1:35">
      <c r="A1" s="73" t="s">
        <v>72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9"/>
    </row>
    <row r="2" customFormat="1" ht="17.4" spans="1:35">
      <c r="A2" s="74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9"/>
    </row>
    <row r="3" s="7" customFormat="1" ht="15.6" spans="1:35">
      <c r="A3" s="14" t="s">
        <v>1</v>
      </c>
      <c r="B3" s="14"/>
      <c r="C3" s="15">
        <v>45839</v>
      </c>
      <c r="D3" s="15">
        <f t="shared" ref="D3:AG3" si="0">C3+1</f>
        <v>45840</v>
      </c>
      <c r="E3" s="15">
        <f t="shared" si="0"/>
        <v>45841</v>
      </c>
      <c r="F3" s="15">
        <f t="shared" si="0"/>
        <v>45842</v>
      </c>
      <c r="G3" s="15">
        <f t="shared" si="0"/>
        <v>45843</v>
      </c>
      <c r="H3" s="15">
        <f t="shared" si="0"/>
        <v>45844</v>
      </c>
      <c r="I3" s="15">
        <f t="shared" si="0"/>
        <v>45845</v>
      </c>
      <c r="J3" s="15">
        <f t="shared" si="0"/>
        <v>45846</v>
      </c>
      <c r="K3" s="15">
        <f t="shared" si="0"/>
        <v>45847</v>
      </c>
      <c r="L3" s="15">
        <f t="shared" si="0"/>
        <v>45848</v>
      </c>
      <c r="M3" s="15">
        <f t="shared" si="0"/>
        <v>45849</v>
      </c>
      <c r="N3" s="15">
        <f t="shared" si="0"/>
        <v>45850</v>
      </c>
      <c r="O3" s="15">
        <f t="shared" si="0"/>
        <v>45851</v>
      </c>
      <c r="P3" s="15">
        <f t="shared" si="0"/>
        <v>45852</v>
      </c>
      <c r="Q3" s="15">
        <f t="shared" si="0"/>
        <v>45853</v>
      </c>
      <c r="R3" s="15">
        <f t="shared" si="0"/>
        <v>45854</v>
      </c>
      <c r="S3" s="15">
        <f t="shared" si="0"/>
        <v>45855</v>
      </c>
      <c r="T3" s="15">
        <f t="shared" si="0"/>
        <v>45856</v>
      </c>
      <c r="U3" s="15">
        <f t="shared" si="0"/>
        <v>45857</v>
      </c>
      <c r="V3" s="15">
        <f t="shared" si="0"/>
        <v>45858</v>
      </c>
      <c r="W3" s="15">
        <f t="shared" si="0"/>
        <v>45859</v>
      </c>
      <c r="X3" s="15">
        <f t="shared" si="0"/>
        <v>45860</v>
      </c>
      <c r="Y3" s="15">
        <f t="shared" si="0"/>
        <v>45861</v>
      </c>
      <c r="Z3" s="15">
        <f t="shared" si="0"/>
        <v>45862</v>
      </c>
      <c r="AA3" s="15">
        <f t="shared" si="0"/>
        <v>45863</v>
      </c>
      <c r="AB3" s="15">
        <f t="shared" si="0"/>
        <v>45864</v>
      </c>
      <c r="AC3" s="15">
        <f t="shared" si="0"/>
        <v>45865</v>
      </c>
      <c r="AD3" s="15">
        <f t="shared" si="0"/>
        <v>45866</v>
      </c>
      <c r="AE3" s="15">
        <f t="shared" si="0"/>
        <v>45867</v>
      </c>
      <c r="AF3" s="15">
        <f t="shared" si="0"/>
        <v>45868</v>
      </c>
      <c r="AG3" s="15">
        <f t="shared" si="0"/>
        <v>45869</v>
      </c>
      <c r="AH3" s="76" t="s">
        <v>2</v>
      </c>
    </row>
    <row r="4" s="7" customFormat="1" ht="15.6" spans="1:35">
      <c r="A4" s="14"/>
      <c r="B4" s="14"/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  <c r="K4" s="17" t="s">
        <v>3</v>
      </c>
      <c r="L4" s="17" t="s">
        <v>3</v>
      </c>
      <c r="M4" s="17" t="s">
        <v>3</v>
      </c>
      <c r="N4" s="17" t="s">
        <v>3</v>
      </c>
      <c r="O4" s="17" t="s">
        <v>3</v>
      </c>
      <c r="P4" s="17" t="s">
        <v>3</v>
      </c>
      <c r="Q4" s="17" t="s">
        <v>3</v>
      </c>
      <c r="R4" s="17" t="s">
        <v>3</v>
      </c>
      <c r="S4" s="17" t="s">
        <v>3</v>
      </c>
      <c r="T4" s="17" t="s">
        <v>3</v>
      </c>
      <c r="U4" s="17" t="s">
        <v>3</v>
      </c>
      <c r="V4" s="17" t="s">
        <v>3</v>
      </c>
      <c r="W4" s="17" t="s">
        <v>3</v>
      </c>
      <c r="X4" s="17" t="s">
        <v>3</v>
      </c>
      <c r="Y4" s="17" t="s">
        <v>3</v>
      </c>
      <c r="Z4" s="17" t="s">
        <v>3</v>
      </c>
      <c r="AA4" s="17" t="s">
        <v>3</v>
      </c>
      <c r="AB4" s="17" t="s">
        <v>3</v>
      </c>
      <c r="AC4" s="17" t="s">
        <v>3</v>
      </c>
      <c r="AD4" s="17" t="s">
        <v>3</v>
      </c>
      <c r="AE4" s="17" t="s">
        <v>3</v>
      </c>
      <c r="AF4" s="17" t="s">
        <v>3</v>
      </c>
      <c r="AG4" s="17" t="s">
        <v>3</v>
      </c>
      <c r="AH4" s="17" t="s">
        <v>3</v>
      </c>
    </row>
    <row r="5" customFormat="1" spans="1:35">
      <c r="A5" s="77" t="s">
        <v>4</v>
      </c>
      <c r="B5" s="78" t="s">
        <v>5</v>
      </c>
      <c r="C5" s="79">
        <f>SUMIFS('7月处理量'!$F:$F,'7月处理量'!$A:$A,C3)</f>
        <v>683425</v>
      </c>
      <c r="D5" s="79">
        <f>SUMIFS('7月处理量'!$F:$F,'7月处理量'!$A:$A,D3)</f>
        <v>703537</v>
      </c>
      <c r="E5" s="79">
        <f>SUMIFS('7月处理量'!$F:$F,'7月处理量'!$A:$A,E3)</f>
        <v>690093</v>
      </c>
      <c r="F5" s="79">
        <f>SUMIFS('7月处理量'!$F:$F,'7月处理量'!$A:$A,F3)</f>
        <v>729987</v>
      </c>
      <c r="G5" s="79">
        <f>SUMIFS('7月处理量'!$F:$F,'7月处理量'!$A:$A,G3)</f>
        <v>749412</v>
      </c>
      <c r="H5" s="79">
        <f>SUMIFS('7月处理量'!$F:$F,'7月处理量'!$A:$A,H3)</f>
        <v>708683</v>
      </c>
      <c r="I5" s="79">
        <f>SUMIFS('7月处理量'!$F:$F,'7月处理量'!$A:$A,I3)</f>
        <v>702077</v>
      </c>
      <c r="J5" s="79">
        <f>SUMIFS('7月处理量'!$F:$F,'7月处理量'!$A:$A,J3)</f>
        <v>734319</v>
      </c>
      <c r="K5" s="79">
        <f>SUMIFS('7月处理量'!$F:$F,'7月处理量'!$A:$A,K3)</f>
        <v>751108</v>
      </c>
      <c r="L5" s="79">
        <f>SUMIFS('7月处理量'!$F:$F,'7月处理量'!$A:$A,L3)</f>
        <v>715788</v>
      </c>
      <c r="M5" s="79">
        <f>SUMIFS('7月处理量'!$F:$F,'7月处理量'!$A:$A,M3)</f>
        <v>717177</v>
      </c>
      <c r="N5" s="79">
        <f>SUMIFS('7月处理量'!$F:$F,'7月处理量'!$A:$A,N3)</f>
        <v>712075</v>
      </c>
      <c r="O5" s="79">
        <f>SUMIFS('7月处理量'!$F:$F,'7月处理量'!$A:$A,O3)</f>
        <v>666818</v>
      </c>
      <c r="P5" s="79">
        <f>SUMIFS('7月处理量'!$F:$F,'7月处理量'!$A:$A,P3)</f>
        <v>667505</v>
      </c>
      <c r="Q5" s="79">
        <f>SUMIFS('7月处理量'!$F:$F,'7月处理量'!$A:$A,Q3)</f>
        <v>711515</v>
      </c>
      <c r="R5" s="79">
        <f>SUMIFS('7月处理量'!$F:$F,'7月处理量'!$A:$A,R3)</f>
        <v>696898</v>
      </c>
      <c r="S5" s="79">
        <f>SUMIFS('7月处理量'!$F:$F,'7月处理量'!$A:$A,S3)</f>
        <v>723460</v>
      </c>
      <c r="T5" s="79">
        <f>SUMIFS('7月处理量'!$F:$F,'7月处理量'!$A:$A,T3)</f>
        <v>712716</v>
      </c>
      <c r="U5" s="79">
        <f>SUMIFS('7月处理量'!$F:$F,'7月处理量'!$A:$A,U3)</f>
        <v>717790</v>
      </c>
      <c r="V5" s="79">
        <f>SUMIFS('7月处理量'!$F:$F,'7月处理量'!$A:$A,V3)</f>
        <v>699581</v>
      </c>
      <c r="W5" s="79">
        <f>SUMIFS('7月处理量'!$F:$F,'7月处理量'!$A:$A,W3)</f>
        <v>686646</v>
      </c>
      <c r="X5" s="79">
        <f>SUMIFS('7月处理量'!$F:$F,'7月处理量'!$A:$A,X3)</f>
        <v>682152</v>
      </c>
      <c r="Y5" s="79">
        <f>SUMIFS('7月处理量'!$F:$F,'7月处理量'!$A:$A,Y3)</f>
        <v>733489</v>
      </c>
      <c r="Z5" s="79">
        <f>SUMIFS('7月处理量'!$F:$F,'7月处理量'!$A:$A,Z3)</f>
        <v>696142</v>
      </c>
      <c r="AA5" s="79">
        <f>SUMIFS('7月处理量'!$F:$F,'7月处理量'!$A:$A,AA3)</f>
        <v>692686</v>
      </c>
      <c r="AB5" s="79">
        <f>SUMIFS('7月处理量'!$F:$F,'7月处理量'!$A:$A,AB3)</f>
        <v>661396</v>
      </c>
      <c r="AC5" s="79">
        <f>SUMIFS('7月处理量'!$F:$F,'7月处理量'!$A:$A,AC3)</f>
        <v>664795</v>
      </c>
      <c r="AD5" s="79">
        <f>SUMIFS('7月处理量'!$F:$F,'7月处理量'!$A:$A,AD3)</f>
        <v>640015</v>
      </c>
      <c r="AE5" s="79">
        <f>SUMIFS('7月处理量'!$F:$F,'7月处理量'!$A:$A,AE3)</f>
        <v>651062</v>
      </c>
      <c r="AF5" s="79">
        <f>SUMIFS('7月处理量'!$F:$F,'7月处理量'!$A:$A,AF3)</f>
        <v>651682</v>
      </c>
      <c r="AG5" s="79">
        <f>SUMIFS('7月处理量'!$F:$F,'7月处理量'!$A:$A,AG3)</f>
        <v>664209</v>
      </c>
      <c r="AH5" s="87">
        <f t="shared" ref="AH5:AH16" si="1">SUM(C5:AG5)</f>
        <v>21618238</v>
      </c>
      <c r="AI5" s="9"/>
    </row>
    <row r="6" customFormat="1" spans="1:35">
      <c r="A6" s="77" t="s">
        <v>6</v>
      </c>
      <c r="B6" s="78" t="s">
        <v>7</v>
      </c>
      <c r="C6" s="80">
        <v>0.1667</v>
      </c>
      <c r="D6" s="80">
        <v>0.1667</v>
      </c>
      <c r="E6" s="80">
        <v>0.1667</v>
      </c>
      <c r="F6" s="80">
        <v>0.1667</v>
      </c>
      <c r="G6" s="80">
        <v>0.1667</v>
      </c>
      <c r="H6" s="80">
        <v>0.1667</v>
      </c>
      <c r="I6" s="80">
        <v>0.1667</v>
      </c>
      <c r="J6" s="80">
        <v>0.1667</v>
      </c>
      <c r="K6" s="80">
        <v>0.1667</v>
      </c>
      <c r="L6" s="80">
        <v>0.1667</v>
      </c>
      <c r="M6" s="80">
        <v>0.1667</v>
      </c>
      <c r="N6" s="80">
        <v>0.1667</v>
      </c>
      <c r="O6" s="80">
        <v>0.1667</v>
      </c>
      <c r="P6" s="80">
        <v>0.1667</v>
      </c>
      <c r="Q6" s="80">
        <v>0.1667</v>
      </c>
      <c r="R6" s="80">
        <v>0.1667</v>
      </c>
      <c r="S6" s="80">
        <v>0.1667</v>
      </c>
      <c r="T6" s="80">
        <v>0.1667</v>
      </c>
      <c r="U6" s="80">
        <v>0.1667</v>
      </c>
      <c r="V6" s="80">
        <v>0.1667</v>
      </c>
      <c r="W6" s="80">
        <v>0.1667</v>
      </c>
      <c r="X6" s="80">
        <v>0.1667</v>
      </c>
      <c r="Y6" s="80">
        <v>0.1667</v>
      </c>
      <c r="Z6" s="80">
        <v>0.1667</v>
      </c>
      <c r="AA6" s="80">
        <v>0.1667</v>
      </c>
      <c r="AB6" s="80">
        <v>0.1667</v>
      </c>
      <c r="AC6" s="80">
        <v>0.1667</v>
      </c>
      <c r="AD6" s="80">
        <v>0.1667</v>
      </c>
      <c r="AE6" s="80">
        <v>0.1667</v>
      </c>
      <c r="AF6" s="80">
        <v>0.1667</v>
      </c>
      <c r="AG6" s="81">
        <v>0.1667</v>
      </c>
      <c r="AH6" s="87">
        <v>0.1667</v>
      </c>
      <c r="AI6" s="9"/>
    </row>
    <row r="7" customFormat="1" spans="1:35">
      <c r="A7" s="77" t="s">
        <v>8</v>
      </c>
      <c r="B7" s="78" t="s">
        <v>9</v>
      </c>
      <c r="C7" s="81">
        <v>113926.95</v>
      </c>
      <c r="D7" s="81">
        <v>117279.62</v>
      </c>
      <c r="E7" s="81">
        <v>115038.5</v>
      </c>
      <c r="F7" s="81">
        <v>121688.83</v>
      </c>
      <c r="G7" s="81">
        <v>124926.98</v>
      </c>
      <c r="H7" s="81">
        <v>118137.46</v>
      </c>
      <c r="I7" s="81">
        <v>117036.24</v>
      </c>
      <c r="J7" s="81">
        <v>122410.98</v>
      </c>
      <c r="K7" s="81">
        <v>125209.7</v>
      </c>
      <c r="L7" s="81">
        <v>119321.86</v>
      </c>
      <c r="M7" s="81">
        <v>119553.41</v>
      </c>
      <c r="N7" s="81">
        <v>118702.9</v>
      </c>
      <c r="O7" s="81">
        <v>111158.56</v>
      </c>
      <c r="P7" s="81">
        <v>111273.08</v>
      </c>
      <c r="Q7" s="81">
        <v>118609.55</v>
      </c>
      <c r="R7" s="81">
        <v>116172.9</v>
      </c>
      <c r="S7" s="81">
        <v>120600.78</v>
      </c>
      <c r="T7" s="81">
        <v>118809.76</v>
      </c>
      <c r="U7" s="81">
        <v>119655.59</v>
      </c>
      <c r="V7" s="81">
        <v>116620.15</v>
      </c>
      <c r="W7" s="81">
        <v>114463.89</v>
      </c>
      <c r="X7" s="81">
        <v>113714.74</v>
      </c>
      <c r="Y7" s="81">
        <v>122272.62</v>
      </c>
      <c r="Z7" s="81">
        <v>116046.87</v>
      </c>
      <c r="AA7" s="81">
        <v>115470.76</v>
      </c>
      <c r="AB7" s="81">
        <v>110254.71</v>
      </c>
      <c r="AC7" s="81">
        <v>110821.33</v>
      </c>
      <c r="AD7" s="81">
        <v>106690.5</v>
      </c>
      <c r="AE7" s="81">
        <v>108532.04</v>
      </c>
      <c r="AF7" s="81">
        <v>108635.39</v>
      </c>
      <c r="AG7" s="81">
        <v>110723.64</v>
      </c>
      <c r="AH7" s="87">
        <f t="shared" si="1"/>
        <v>3603760.29</v>
      </c>
      <c r="AI7" s="9"/>
    </row>
    <row r="8" customFormat="1" spans="1:35">
      <c r="A8" s="77" t="s">
        <v>10</v>
      </c>
      <c r="B8" s="78" t="s">
        <v>11</v>
      </c>
      <c r="C8" s="81">
        <v>3000</v>
      </c>
      <c r="D8" s="81">
        <v>3000</v>
      </c>
      <c r="E8" s="81">
        <v>3000</v>
      </c>
      <c r="F8" s="81">
        <v>3000</v>
      </c>
      <c r="G8" s="81">
        <v>3000</v>
      </c>
      <c r="H8" s="81">
        <v>3000</v>
      </c>
      <c r="I8" s="81">
        <v>3000</v>
      </c>
      <c r="J8" s="81">
        <v>3000</v>
      </c>
      <c r="K8" s="81">
        <v>3000</v>
      </c>
      <c r="L8" s="81">
        <v>3000</v>
      </c>
      <c r="M8" s="81">
        <v>3000</v>
      </c>
      <c r="N8" s="81">
        <v>3000</v>
      </c>
      <c r="O8" s="81">
        <v>3000</v>
      </c>
      <c r="P8" s="81">
        <v>3000</v>
      </c>
      <c r="Q8" s="81">
        <v>3000</v>
      </c>
      <c r="R8" s="81">
        <v>3000</v>
      </c>
      <c r="S8" s="81">
        <v>3000</v>
      </c>
      <c r="T8" s="81">
        <v>3000</v>
      </c>
      <c r="U8" s="81">
        <v>3000</v>
      </c>
      <c r="V8" s="81">
        <v>3000</v>
      </c>
      <c r="W8" s="81">
        <v>3000</v>
      </c>
      <c r="X8" s="81">
        <v>3000</v>
      </c>
      <c r="Y8" s="81">
        <v>3000</v>
      </c>
      <c r="Z8" s="81">
        <v>3000</v>
      </c>
      <c r="AA8" s="81">
        <v>3000</v>
      </c>
      <c r="AB8" s="81">
        <v>3000</v>
      </c>
      <c r="AC8" s="81">
        <v>3000</v>
      </c>
      <c r="AD8" s="81">
        <v>3000</v>
      </c>
      <c r="AE8" s="81">
        <v>3000</v>
      </c>
      <c r="AF8" s="81">
        <v>3000</v>
      </c>
      <c r="AG8" s="81">
        <v>3000</v>
      </c>
      <c r="AH8" s="87">
        <f t="shared" si="1"/>
        <v>93000</v>
      </c>
      <c r="AI8" s="9"/>
    </row>
    <row r="9" customFormat="1" hidden="1" spans="1:35">
      <c r="A9" s="77" t="s">
        <v>12</v>
      </c>
      <c r="B9" s="78" t="s">
        <v>13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7">
        <f t="shared" si="1"/>
        <v>0</v>
      </c>
      <c r="AI9" s="9"/>
    </row>
    <row r="10" customFormat="1" spans="1:35">
      <c r="A10" s="77" t="s">
        <v>14</v>
      </c>
      <c r="B10" s="78" t="s">
        <v>15</v>
      </c>
      <c r="C10" s="81">
        <v>110926.95</v>
      </c>
      <c r="D10" s="81">
        <v>114279.62</v>
      </c>
      <c r="E10" s="81">
        <v>112038.5</v>
      </c>
      <c r="F10" s="81">
        <v>118688.83</v>
      </c>
      <c r="G10" s="81">
        <v>121926.98</v>
      </c>
      <c r="H10" s="81">
        <v>115137.46</v>
      </c>
      <c r="I10" s="81">
        <v>114036.24</v>
      </c>
      <c r="J10" s="81">
        <v>119410.98</v>
      </c>
      <c r="K10" s="81">
        <v>122209.7</v>
      </c>
      <c r="L10" s="81">
        <v>116321.86</v>
      </c>
      <c r="M10" s="81">
        <v>116553.41</v>
      </c>
      <c r="N10" s="81">
        <v>115702.9</v>
      </c>
      <c r="O10" s="81">
        <v>108158.56</v>
      </c>
      <c r="P10" s="81">
        <v>108273.08</v>
      </c>
      <c r="Q10" s="81">
        <v>115609.55</v>
      </c>
      <c r="R10" s="81">
        <v>113172.9</v>
      </c>
      <c r="S10" s="81">
        <v>117600.78</v>
      </c>
      <c r="T10" s="81">
        <v>115809.76</v>
      </c>
      <c r="U10" s="81">
        <v>116655.59</v>
      </c>
      <c r="V10" s="81">
        <v>113620.15</v>
      </c>
      <c r="W10" s="81">
        <v>111463.89</v>
      </c>
      <c r="X10" s="81">
        <v>110714.74</v>
      </c>
      <c r="Y10" s="81">
        <v>119272.62</v>
      </c>
      <c r="Z10" s="81">
        <v>113046.87</v>
      </c>
      <c r="AA10" s="81">
        <v>112470.76</v>
      </c>
      <c r="AB10" s="81">
        <v>107254.71</v>
      </c>
      <c r="AC10" s="81">
        <v>107821.33</v>
      </c>
      <c r="AD10" s="81">
        <v>103690.5</v>
      </c>
      <c r="AE10" s="81">
        <v>105532.04</v>
      </c>
      <c r="AF10" s="81">
        <v>105635.39</v>
      </c>
      <c r="AG10" s="81">
        <v>107723.64</v>
      </c>
      <c r="AH10" s="87">
        <f t="shared" si="1"/>
        <v>3510760.29</v>
      </c>
      <c r="AI10" s="9"/>
    </row>
    <row r="11" s="7" customFormat="1" ht="15.6" spans="1:35">
      <c r="A11" s="82" t="s">
        <v>16</v>
      </c>
      <c r="B11" s="82"/>
      <c r="C11" s="27">
        <v>104648.07</v>
      </c>
      <c r="D11" s="27">
        <v>107810.96</v>
      </c>
      <c r="E11" s="27">
        <v>105696.7</v>
      </c>
      <c r="F11" s="27">
        <v>111970.59</v>
      </c>
      <c r="G11" s="27">
        <v>115025.45</v>
      </c>
      <c r="H11" s="27">
        <v>108620.25</v>
      </c>
      <c r="I11" s="27">
        <v>107581.36</v>
      </c>
      <c r="J11" s="27">
        <v>112651.87</v>
      </c>
      <c r="K11" s="27">
        <v>115292.17</v>
      </c>
      <c r="L11" s="27">
        <v>109737.6</v>
      </c>
      <c r="M11" s="27">
        <v>109956.05</v>
      </c>
      <c r="N11" s="27">
        <v>109153.68</v>
      </c>
      <c r="O11" s="27">
        <v>102036.38</v>
      </c>
      <c r="P11" s="27">
        <v>102144.42</v>
      </c>
      <c r="Q11" s="27">
        <v>109065.61</v>
      </c>
      <c r="R11" s="27">
        <v>106766.89</v>
      </c>
      <c r="S11" s="27">
        <v>110944.13</v>
      </c>
      <c r="T11" s="27">
        <v>109254.49</v>
      </c>
      <c r="U11" s="27">
        <v>110052.44</v>
      </c>
      <c r="V11" s="27">
        <v>107188.82</v>
      </c>
      <c r="W11" s="27">
        <v>105154.61</v>
      </c>
      <c r="X11" s="27">
        <v>104447.87</v>
      </c>
      <c r="Y11" s="27">
        <v>112521.34</v>
      </c>
      <c r="Z11" s="27">
        <v>106647.99</v>
      </c>
      <c r="AA11" s="27">
        <v>106104.49</v>
      </c>
      <c r="AB11" s="27">
        <v>101183.69</v>
      </c>
      <c r="AC11" s="27">
        <v>101718.24</v>
      </c>
      <c r="AD11" s="27">
        <v>97821.23</v>
      </c>
      <c r="AE11" s="27">
        <v>99558.53</v>
      </c>
      <c r="AF11" s="27">
        <v>99656.03</v>
      </c>
      <c r="AG11" s="27">
        <v>101626.08</v>
      </c>
      <c r="AH11" s="83">
        <f t="shared" si="1"/>
        <v>3312038.03</v>
      </c>
    </row>
    <row r="12" customFormat="1" ht="15.6" spans="1:35">
      <c r="A12" s="77">
        <v>1</v>
      </c>
      <c r="B12" s="84" t="s">
        <v>17</v>
      </c>
      <c r="C12" s="85">
        <v>21</v>
      </c>
      <c r="D12" s="86">
        <v>22</v>
      </c>
      <c r="E12" s="86">
        <v>20</v>
      </c>
      <c r="F12" s="86">
        <v>24</v>
      </c>
      <c r="G12" s="86">
        <v>22</v>
      </c>
      <c r="H12" s="86">
        <v>22</v>
      </c>
      <c r="I12" s="86">
        <v>20</v>
      </c>
      <c r="J12" s="86">
        <v>21</v>
      </c>
      <c r="K12" s="86">
        <v>21</v>
      </c>
      <c r="L12" s="86">
        <v>23</v>
      </c>
      <c r="M12" s="86">
        <v>23</v>
      </c>
      <c r="N12" s="86">
        <v>24</v>
      </c>
      <c r="O12" s="86">
        <v>20</v>
      </c>
      <c r="P12" s="86">
        <v>21</v>
      </c>
      <c r="Q12" s="86">
        <v>21</v>
      </c>
      <c r="R12" s="86">
        <v>19</v>
      </c>
      <c r="S12" s="86">
        <v>21</v>
      </c>
      <c r="T12" s="86">
        <v>21</v>
      </c>
      <c r="U12" s="86">
        <v>22</v>
      </c>
      <c r="V12" s="86">
        <v>22</v>
      </c>
      <c r="W12" s="86">
        <v>20</v>
      </c>
      <c r="X12" s="86">
        <v>21</v>
      </c>
      <c r="Y12" s="86">
        <v>20</v>
      </c>
      <c r="Z12" s="86">
        <v>20</v>
      </c>
      <c r="AA12" s="86">
        <v>21</v>
      </c>
      <c r="AB12" s="86">
        <v>20</v>
      </c>
      <c r="AC12" s="86">
        <v>21</v>
      </c>
      <c r="AD12" s="86">
        <v>21</v>
      </c>
      <c r="AE12" s="86">
        <v>21</v>
      </c>
      <c r="AF12" s="86">
        <v>23</v>
      </c>
      <c r="AG12" s="86">
        <v>24</v>
      </c>
      <c r="AH12" s="87">
        <f t="shared" si="1"/>
        <v>662</v>
      </c>
      <c r="AI12" s="9"/>
    </row>
    <row r="13" customFormat="1" ht="15.6" spans="1:35">
      <c r="A13" s="77">
        <v>2</v>
      </c>
      <c r="B13" s="84" t="s">
        <v>18</v>
      </c>
      <c r="C13" s="85">
        <v>286</v>
      </c>
      <c r="D13" s="86">
        <v>293</v>
      </c>
      <c r="E13" s="86">
        <v>285</v>
      </c>
      <c r="F13" s="86">
        <v>270</v>
      </c>
      <c r="G13" s="86">
        <v>269</v>
      </c>
      <c r="H13" s="86">
        <v>278</v>
      </c>
      <c r="I13" s="86">
        <v>265</v>
      </c>
      <c r="J13" s="86">
        <v>278</v>
      </c>
      <c r="K13" s="86">
        <v>277</v>
      </c>
      <c r="L13" s="86">
        <v>288</v>
      </c>
      <c r="M13" s="86">
        <v>291</v>
      </c>
      <c r="N13" s="86">
        <v>281</v>
      </c>
      <c r="O13" s="86">
        <v>287</v>
      </c>
      <c r="P13" s="86">
        <v>279</v>
      </c>
      <c r="Q13" s="86">
        <v>285</v>
      </c>
      <c r="R13" s="86">
        <v>268</v>
      </c>
      <c r="S13" s="86">
        <v>283</v>
      </c>
      <c r="T13" s="86">
        <v>276</v>
      </c>
      <c r="U13" s="86">
        <v>286</v>
      </c>
      <c r="V13" s="86">
        <v>284</v>
      </c>
      <c r="W13" s="86">
        <v>280</v>
      </c>
      <c r="X13" s="86">
        <v>286</v>
      </c>
      <c r="Y13" s="86">
        <v>292</v>
      </c>
      <c r="Z13" s="86">
        <v>290</v>
      </c>
      <c r="AA13" s="86">
        <v>293</v>
      </c>
      <c r="AB13" s="86">
        <v>297</v>
      </c>
      <c r="AC13" s="86">
        <v>301</v>
      </c>
      <c r="AD13" s="86">
        <v>296</v>
      </c>
      <c r="AE13" s="86">
        <v>302</v>
      </c>
      <c r="AF13" s="86">
        <v>301</v>
      </c>
      <c r="AG13" s="86">
        <v>306</v>
      </c>
      <c r="AH13" s="87">
        <f t="shared" si="1"/>
        <v>8853</v>
      </c>
      <c r="AI13" s="9"/>
    </row>
    <row r="14" customFormat="1" ht="15.6" spans="1:35">
      <c r="A14" s="77">
        <v>3</v>
      </c>
      <c r="B14" s="84" t="s">
        <v>19</v>
      </c>
      <c r="C14" s="85">
        <v>55</v>
      </c>
      <c r="D14" s="86">
        <v>64</v>
      </c>
      <c r="E14" s="86">
        <v>77</v>
      </c>
      <c r="F14" s="86">
        <v>95</v>
      </c>
      <c r="G14" s="86">
        <v>93</v>
      </c>
      <c r="H14" s="86">
        <v>86</v>
      </c>
      <c r="I14" s="86">
        <v>79</v>
      </c>
      <c r="J14" s="86">
        <v>118</v>
      </c>
      <c r="K14" s="86">
        <v>114</v>
      </c>
      <c r="L14" s="86">
        <v>105</v>
      </c>
      <c r="M14" s="86">
        <v>96</v>
      </c>
      <c r="N14" s="86">
        <v>84</v>
      </c>
      <c r="O14" s="86">
        <v>90</v>
      </c>
      <c r="P14" s="86">
        <v>78</v>
      </c>
      <c r="Q14" s="86">
        <v>84</v>
      </c>
      <c r="R14" s="86">
        <v>94</v>
      </c>
      <c r="S14" s="86">
        <v>94</v>
      </c>
      <c r="T14" s="86">
        <v>94</v>
      </c>
      <c r="U14" s="86">
        <v>93</v>
      </c>
      <c r="V14" s="86">
        <v>89</v>
      </c>
      <c r="W14" s="86">
        <v>84</v>
      </c>
      <c r="X14" s="86">
        <v>88</v>
      </c>
      <c r="Y14" s="86">
        <v>89</v>
      </c>
      <c r="Z14" s="86">
        <v>86</v>
      </c>
      <c r="AA14" s="86">
        <v>85</v>
      </c>
      <c r="AB14" s="86">
        <v>76</v>
      </c>
      <c r="AC14" s="86">
        <v>65</v>
      </c>
      <c r="AD14" s="86">
        <v>65</v>
      </c>
      <c r="AE14" s="86">
        <v>64</v>
      </c>
      <c r="AF14" s="86">
        <v>60</v>
      </c>
      <c r="AG14" s="86">
        <v>57</v>
      </c>
      <c r="AH14" s="87">
        <f t="shared" si="1"/>
        <v>2601</v>
      </c>
      <c r="AI14" s="9"/>
    </row>
    <row r="15" customFormat="1" ht="15.6" spans="1:35">
      <c r="A15" s="77">
        <v>4</v>
      </c>
      <c r="B15" s="84" t="s">
        <v>20</v>
      </c>
      <c r="C15" s="85">
        <v>362</v>
      </c>
      <c r="D15" s="86">
        <v>379</v>
      </c>
      <c r="E15" s="86">
        <v>382</v>
      </c>
      <c r="F15" s="86">
        <v>389</v>
      </c>
      <c r="G15" s="86">
        <v>384</v>
      </c>
      <c r="H15" s="86">
        <v>386</v>
      </c>
      <c r="I15" s="86">
        <v>364</v>
      </c>
      <c r="J15" s="86">
        <v>417</v>
      </c>
      <c r="K15" s="86">
        <v>412</v>
      </c>
      <c r="L15" s="86">
        <v>416</v>
      </c>
      <c r="M15" s="86">
        <v>410</v>
      </c>
      <c r="N15" s="86">
        <v>389</v>
      </c>
      <c r="O15" s="86">
        <v>397</v>
      </c>
      <c r="P15" s="86">
        <v>378</v>
      </c>
      <c r="Q15" s="86">
        <v>390</v>
      </c>
      <c r="R15" s="86">
        <v>381</v>
      </c>
      <c r="S15" s="86">
        <v>398</v>
      </c>
      <c r="T15" s="86">
        <v>391</v>
      </c>
      <c r="U15" s="86">
        <v>401</v>
      </c>
      <c r="V15" s="86">
        <v>395</v>
      </c>
      <c r="W15" s="86">
        <v>384</v>
      </c>
      <c r="X15" s="86">
        <v>395</v>
      </c>
      <c r="Y15" s="86">
        <v>401</v>
      </c>
      <c r="Z15" s="86">
        <v>396</v>
      </c>
      <c r="AA15" s="86">
        <v>399</v>
      </c>
      <c r="AB15" s="86">
        <v>393</v>
      </c>
      <c r="AC15" s="86">
        <v>387</v>
      </c>
      <c r="AD15" s="86">
        <v>382</v>
      </c>
      <c r="AE15" s="86">
        <v>387</v>
      </c>
      <c r="AF15" s="86">
        <v>384</v>
      </c>
      <c r="AG15" s="86">
        <v>387</v>
      </c>
      <c r="AH15" s="87">
        <f t="shared" si="1"/>
        <v>12116</v>
      </c>
      <c r="AI15" s="9"/>
    </row>
    <row r="16" customFormat="1" ht="15.6" spans="1:35">
      <c r="A16" s="77">
        <v>5</v>
      </c>
      <c r="B16" s="84" t="s">
        <v>21</v>
      </c>
      <c r="C16" s="88">
        <v>3895</v>
      </c>
      <c r="D16" s="88">
        <v>4096.5</v>
      </c>
      <c r="E16" s="88">
        <v>4160</v>
      </c>
      <c r="F16" s="88">
        <v>4172</v>
      </c>
      <c r="G16" s="88">
        <v>4148</v>
      </c>
      <c r="H16" s="88">
        <v>4179.5</v>
      </c>
      <c r="I16" s="88">
        <v>3942</v>
      </c>
      <c r="J16" s="88">
        <v>4632</v>
      </c>
      <c r="K16" s="88">
        <v>4475.5</v>
      </c>
      <c r="L16" s="88">
        <v>4497.5</v>
      </c>
      <c r="M16" s="88">
        <v>4408.5</v>
      </c>
      <c r="N16" s="88">
        <v>4136</v>
      </c>
      <c r="O16" s="88">
        <v>4266.5</v>
      </c>
      <c r="P16" s="88">
        <v>4034</v>
      </c>
      <c r="Q16" s="88">
        <v>4195.5</v>
      </c>
      <c r="R16" s="88">
        <v>4110.5</v>
      </c>
      <c r="S16" s="88">
        <v>4294.5</v>
      </c>
      <c r="T16" s="88">
        <v>4200.5</v>
      </c>
      <c r="U16" s="88">
        <v>4323</v>
      </c>
      <c r="V16" s="88">
        <v>4104</v>
      </c>
      <c r="W16" s="88">
        <v>4158</v>
      </c>
      <c r="X16" s="88">
        <v>4257.5</v>
      </c>
      <c r="Y16" s="88">
        <v>4326</v>
      </c>
      <c r="Z16" s="88">
        <v>4286</v>
      </c>
      <c r="AA16" s="88">
        <v>4282.5</v>
      </c>
      <c r="AB16" s="88">
        <v>4153</v>
      </c>
      <c r="AC16" s="88">
        <v>4125</v>
      </c>
      <c r="AD16" s="88">
        <v>4046</v>
      </c>
      <c r="AE16" s="88">
        <v>4056</v>
      </c>
      <c r="AF16" s="88">
        <v>4054.5</v>
      </c>
      <c r="AG16" s="88">
        <v>4105</v>
      </c>
      <c r="AH16" s="88">
        <f t="shared" si="1"/>
        <v>130120.5</v>
      </c>
      <c r="AI16" s="9"/>
    </row>
    <row r="17" s="7" customFormat="1" ht="15.6" spans="1:35">
      <c r="A17" s="31" t="s">
        <v>22</v>
      </c>
      <c r="B17" s="89"/>
      <c r="C17" s="115">
        <v>1887.91436464088</v>
      </c>
      <c r="D17" s="115">
        <v>1856.2981530343</v>
      </c>
      <c r="E17" s="115">
        <v>1806.52617801047</v>
      </c>
      <c r="F17" s="115">
        <v>1876.57326478149</v>
      </c>
      <c r="G17" s="115">
        <v>1951.59375</v>
      </c>
      <c r="H17" s="115">
        <v>1835.96632124352</v>
      </c>
      <c r="I17" s="115">
        <v>1928.78296703297</v>
      </c>
      <c r="J17" s="115">
        <v>1760.95683453237</v>
      </c>
      <c r="K17" s="115">
        <v>1823.07766990291</v>
      </c>
      <c r="L17" s="115">
        <v>1720.64423076923</v>
      </c>
      <c r="M17" s="115">
        <v>1749.21219512195</v>
      </c>
      <c r="N17" s="115">
        <v>1830.52699228792</v>
      </c>
      <c r="O17" s="115">
        <v>1679.64231738035</v>
      </c>
      <c r="P17" s="115">
        <v>1765.88624338624</v>
      </c>
      <c r="Q17" s="115">
        <v>1824.39743589744</v>
      </c>
      <c r="R17" s="115">
        <v>1829.12860892388</v>
      </c>
      <c r="S17" s="115">
        <v>1817.73869346734</v>
      </c>
      <c r="T17" s="115">
        <v>1822.80306905371</v>
      </c>
      <c r="U17" s="115">
        <v>1790</v>
      </c>
      <c r="V17" s="115">
        <v>1771.09113924051</v>
      </c>
      <c r="W17" s="115">
        <v>1788.140625</v>
      </c>
      <c r="X17" s="115">
        <v>1726.96708860759</v>
      </c>
      <c r="Y17" s="115">
        <v>1829.14962593516</v>
      </c>
      <c r="Z17" s="115">
        <v>1757.93434343434</v>
      </c>
      <c r="AA17" s="115">
        <v>1736.05513784461</v>
      </c>
      <c r="AB17" s="115">
        <v>1682.94147582697</v>
      </c>
      <c r="AC17" s="115">
        <v>1717.8165374677</v>
      </c>
      <c r="AD17" s="115">
        <v>1675.43193717277</v>
      </c>
      <c r="AE17" s="115">
        <v>1682.33074935401</v>
      </c>
      <c r="AF17" s="115">
        <v>1697.08854166667</v>
      </c>
      <c r="AG17" s="27">
        <v>1716.3023255814</v>
      </c>
      <c r="AH17" s="115">
        <f>AH5/AH15</f>
        <v>1784.27187190492</v>
      </c>
    </row>
    <row r="18" s="7" customFormat="1" ht="15.6" spans="1:35">
      <c r="A18" s="31" t="s">
        <v>23</v>
      </c>
      <c r="B18" s="89"/>
      <c r="C18" s="116">
        <v>175.462130937099</v>
      </c>
      <c r="D18" s="116">
        <v>171.74099841328</v>
      </c>
      <c r="E18" s="116">
        <v>165.887740384615</v>
      </c>
      <c r="F18" s="116">
        <v>174.972914669223</v>
      </c>
      <c r="G18" s="116">
        <v>180.668273866924</v>
      </c>
      <c r="H18" s="116">
        <v>169.561670056227</v>
      </c>
      <c r="I18" s="116">
        <v>178.101725012684</v>
      </c>
      <c r="J18" s="116">
        <v>158.531735751295</v>
      </c>
      <c r="K18" s="116">
        <v>167.826611551782</v>
      </c>
      <c r="L18" s="116">
        <v>159.152418010006</v>
      </c>
      <c r="M18" s="120">
        <v>162.680503572644</v>
      </c>
      <c r="N18" s="116">
        <v>172.165135396518</v>
      </c>
      <c r="O18" s="116">
        <v>156.291573889605</v>
      </c>
      <c r="P18" s="116">
        <v>165.469757064948</v>
      </c>
      <c r="Q18" s="116">
        <v>169.590036944345</v>
      </c>
      <c r="R18" s="116">
        <v>169.540931760127</v>
      </c>
      <c r="S18" s="116">
        <v>168.461986261497</v>
      </c>
      <c r="T18" s="116">
        <v>169.674086418284</v>
      </c>
      <c r="U18" s="116">
        <v>166.039787184825</v>
      </c>
      <c r="V18" s="116">
        <v>170.46320662768</v>
      </c>
      <c r="W18" s="116">
        <v>165.138528138528</v>
      </c>
      <c r="X18" s="116">
        <v>160.223605402231</v>
      </c>
      <c r="Y18" s="116">
        <v>169.553629218678</v>
      </c>
      <c r="Z18" s="116">
        <v>162.422305179655</v>
      </c>
      <c r="AA18" s="116">
        <v>161.748044366608</v>
      </c>
      <c r="AB18" s="116">
        <v>159.257404286058</v>
      </c>
      <c r="AC18" s="116">
        <v>161.162424242424</v>
      </c>
      <c r="AD18" s="116">
        <v>158.184626791893</v>
      </c>
      <c r="AE18" s="116">
        <v>160.518244575937</v>
      </c>
      <c r="AF18" s="116">
        <v>160.730546306573</v>
      </c>
      <c r="AG18" s="120">
        <v>161.804872107186</v>
      </c>
      <c r="AH18" s="116">
        <f>AH5/AH16</f>
        <v>166.140139332388</v>
      </c>
    </row>
    <row r="19" customFormat="1" ht="15" spans="1:35">
      <c r="A19" s="91">
        <v>1</v>
      </c>
      <c r="B19" s="78" t="s">
        <v>24</v>
      </c>
      <c r="C19" s="81">
        <v>59652.25</v>
      </c>
      <c r="D19" s="81">
        <v>61528.1</v>
      </c>
      <c r="E19" s="81">
        <v>59889.45</v>
      </c>
      <c r="F19" s="81">
        <v>56227.95</v>
      </c>
      <c r="G19" s="81">
        <v>56326.8</v>
      </c>
      <c r="H19" s="81">
        <v>58400.05</v>
      </c>
      <c r="I19" s="81">
        <v>55526.75</v>
      </c>
      <c r="J19" s="81">
        <v>59850</v>
      </c>
      <c r="K19" s="81">
        <v>57844</v>
      </c>
      <c r="L19" s="81">
        <v>60315.2</v>
      </c>
      <c r="M19" s="81">
        <v>60539.65</v>
      </c>
      <c r="N19" s="81">
        <v>57976.4</v>
      </c>
      <c r="O19" s="81">
        <v>59176.25</v>
      </c>
      <c r="P19" s="81">
        <v>57453.45</v>
      </c>
      <c r="Q19" s="81">
        <v>59159.25</v>
      </c>
      <c r="R19" s="81">
        <v>55455.9</v>
      </c>
      <c r="S19" s="81">
        <v>58798.8</v>
      </c>
      <c r="T19" s="81">
        <v>57169.45</v>
      </c>
      <c r="U19" s="81">
        <v>59593.7</v>
      </c>
      <c r="V19" s="81">
        <v>56528.35</v>
      </c>
      <c r="W19" s="81">
        <v>58453.15</v>
      </c>
      <c r="X19" s="81">
        <v>59473.7</v>
      </c>
      <c r="Y19" s="81">
        <v>60504.75</v>
      </c>
      <c r="Z19" s="81">
        <v>60355.8</v>
      </c>
      <c r="AA19" s="81">
        <v>60560.05</v>
      </c>
      <c r="AB19" s="81">
        <v>60111.8</v>
      </c>
      <c r="AC19" s="81">
        <v>61955.05</v>
      </c>
      <c r="AD19" s="81">
        <v>60504.75</v>
      </c>
      <c r="AE19" s="81">
        <v>60909.25</v>
      </c>
      <c r="AF19" s="81">
        <v>61667.45</v>
      </c>
      <c r="AG19" s="81">
        <v>63222.15</v>
      </c>
      <c r="AH19" s="87">
        <f t="shared" ref="AH19:AH28" si="2">SUM(C19:AG19)</f>
        <v>1835129.65</v>
      </c>
      <c r="AI19" s="9"/>
    </row>
    <row r="20" customFormat="1" ht="15" spans="1:35">
      <c r="A20" s="91">
        <v>2</v>
      </c>
      <c r="B20" s="78" t="s">
        <v>25</v>
      </c>
      <c r="C20" s="81">
        <v>19500</v>
      </c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92">
        <f t="shared" si="2"/>
        <v>19500</v>
      </c>
      <c r="AI20" s="9"/>
    </row>
    <row r="21" customFormat="1" ht="15" spans="1:35">
      <c r="A21" s="91">
        <v>3</v>
      </c>
      <c r="B21" s="78" t="s">
        <v>26</v>
      </c>
      <c r="C21" s="81">
        <v>278.06</v>
      </c>
      <c r="D21" s="81">
        <v>284.86</v>
      </c>
      <c r="E21" s="81">
        <v>277.08</v>
      </c>
      <c r="F21" s="81">
        <v>262.5</v>
      </c>
      <c r="G21" s="81">
        <v>261.53</v>
      </c>
      <c r="H21" s="81">
        <v>270.28</v>
      </c>
      <c r="I21" s="81">
        <v>257.64</v>
      </c>
      <c r="J21" s="81">
        <v>270.28</v>
      </c>
      <c r="K21" s="81">
        <v>269.31</v>
      </c>
      <c r="L21" s="81">
        <v>280</v>
      </c>
      <c r="M21" s="81">
        <v>282.92</v>
      </c>
      <c r="N21" s="81">
        <v>273.19</v>
      </c>
      <c r="O21" s="81">
        <v>279.03</v>
      </c>
      <c r="P21" s="81">
        <v>271.25</v>
      </c>
      <c r="Q21" s="81">
        <v>277.08</v>
      </c>
      <c r="R21" s="81">
        <v>260.56</v>
      </c>
      <c r="S21" s="81">
        <v>275.14</v>
      </c>
      <c r="T21" s="81">
        <v>268.33</v>
      </c>
      <c r="U21" s="81">
        <v>278.06</v>
      </c>
      <c r="V21" s="81">
        <v>276.11</v>
      </c>
      <c r="W21" s="81">
        <v>272.22</v>
      </c>
      <c r="X21" s="81">
        <v>278.06</v>
      </c>
      <c r="Y21" s="81">
        <v>283.89</v>
      </c>
      <c r="Z21" s="81">
        <v>281.94</v>
      </c>
      <c r="AA21" s="81">
        <v>284.86</v>
      </c>
      <c r="AB21" s="81">
        <v>288.75</v>
      </c>
      <c r="AC21" s="81">
        <v>292.64</v>
      </c>
      <c r="AD21" s="81">
        <v>287.78</v>
      </c>
      <c r="AE21" s="81">
        <v>293.61</v>
      </c>
      <c r="AF21" s="81">
        <v>292.64</v>
      </c>
      <c r="AG21" s="81">
        <v>297.5</v>
      </c>
      <c r="AH21" s="87">
        <f t="shared" si="2"/>
        <v>8607.1</v>
      </c>
      <c r="AI21" s="9"/>
    </row>
    <row r="22" customFormat="1" ht="15" spans="1:35">
      <c r="A22" s="91">
        <v>4</v>
      </c>
      <c r="B22" s="78" t="s">
        <v>27</v>
      </c>
      <c r="C22" s="81">
        <v>325.72</v>
      </c>
      <c r="D22" s="81">
        <v>333.69</v>
      </c>
      <c r="E22" s="81">
        <v>324.58</v>
      </c>
      <c r="F22" s="81">
        <v>307.5</v>
      </c>
      <c r="G22" s="81">
        <v>306.36</v>
      </c>
      <c r="H22" s="81">
        <v>316.61</v>
      </c>
      <c r="I22" s="81">
        <v>301.81</v>
      </c>
      <c r="J22" s="81">
        <v>316.61</v>
      </c>
      <c r="K22" s="81">
        <v>315.47</v>
      </c>
      <c r="L22" s="81">
        <v>328</v>
      </c>
      <c r="M22" s="81">
        <v>331.42</v>
      </c>
      <c r="N22" s="81">
        <v>320.03</v>
      </c>
      <c r="O22" s="81">
        <v>326.86</v>
      </c>
      <c r="P22" s="81">
        <v>317.75</v>
      </c>
      <c r="Q22" s="81">
        <v>324.58</v>
      </c>
      <c r="R22" s="81">
        <v>305.22</v>
      </c>
      <c r="S22" s="81">
        <v>322.31</v>
      </c>
      <c r="T22" s="81">
        <v>314.33</v>
      </c>
      <c r="U22" s="81">
        <v>325.72</v>
      </c>
      <c r="V22" s="81">
        <v>323.44</v>
      </c>
      <c r="W22" s="81">
        <v>318.89</v>
      </c>
      <c r="X22" s="81">
        <v>325.72</v>
      </c>
      <c r="Y22" s="81">
        <v>332.56</v>
      </c>
      <c r="Z22" s="81">
        <v>330.28</v>
      </c>
      <c r="AA22" s="81">
        <v>333.69</v>
      </c>
      <c r="AB22" s="81">
        <v>338.25</v>
      </c>
      <c r="AC22" s="81">
        <v>342.81</v>
      </c>
      <c r="AD22" s="81">
        <v>337.11</v>
      </c>
      <c r="AE22" s="81">
        <v>343.94</v>
      </c>
      <c r="AF22" s="81">
        <v>342.81</v>
      </c>
      <c r="AG22" s="81">
        <v>348.5</v>
      </c>
      <c r="AH22" s="87">
        <f t="shared" si="2"/>
        <v>10082.57</v>
      </c>
      <c r="AI22" s="9"/>
    </row>
    <row r="23" customFormat="1" ht="15" spans="1:35">
      <c r="A23" s="91">
        <v>5</v>
      </c>
      <c r="B23" s="78" t="s">
        <v>28</v>
      </c>
      <c r="C23" s="81">
        <v>2456</v>
      </c>
      <c r="D23" s="81">
        <v>2520</v>
      </c>
      <c r="E23" s="81">
        <v>2440</v>
      </c>
      <c r="F23" s="81">
        <v>2352</v>
      </c>
      <c r="G23" s="81">
        <v>2328</v>
      </c>
      <c r="H23" s="81">
        <v>2400</v>
      </c>
      <c r="I23" s="81">
        <v>2280</v>
      </c>
      <c r="J23" s="81">
        <v>2392</v>
      </c>
      <c r="K23" s="81">
        <v>2384</v>
      </c>
      <c r="L23" s="81">
        <v>2488</v>
      </c>
      <c r="M23" s="81">
        <v>2512</v>
      </c>
      <c r="N23" s="81">
        <v>2440</v>
      </c>
      <c r="O23" s="81">
        <v>2456</v>
      </c>
      <c r="P23" s="81">
        <v>2400</v>
      </c>
      <c r="Q23" s="81">
        <v>2448</v>
      </c>
      <c r="R23" s="81">
        <v>2296</v>
      </c>
      <c r="S23" s="81">
        <v>2432</v>
      </c>
      <c r="T23" s="81">
        <v>2376</v>
      </c>
      <c r="U23" s="81">
        <v>2464</v>
      </c>
      <c r="V23" s="81">
        <v>2448</v>
      </c>
      <c r="W23" s="81">
        <v>2400</v>
      </c>
      <c r="X23" s="81">
        <v>2456</v>
      </c>
      <c r="Y23" s="81">
        <v>2496</v>
      </c>
      <c r="Z23" s="81">
        <v>2480</v>
      </c>
      <c r="AA23" s="81">
        <v>2512</v>
      </c>
      <c r="AB23" s="81">
        <v>2536</v>
      </c>
      <c r="AC23" s="81">
        <v>2576</v>
      </c>
      <c r="AD23" s="81">
        <v>2536</v>
      </c>
      <c r="AE23" s="81">
        <v>2584</v>
      </c>
      <c r="AF23" s="81">
        <v>2592</v>
      </c>
      <c r="AG23" s="81">
        <v>2640</v>
      </c>
      <c r="AH23" s="92">
        <f t="shared" si="2"/>
        <v>76120</v>
      </c>
      <c r="AI23" s="9"/>
    </row>
    <row r="24" customFormat="1" ht="15" spans="1:35">
      <c r="A24" s="91">
        <v>6</v>
      </c>
      <c r="B24" s="78" t="s">
        <v>29</v>
      </c>
      <c r="C24" s="81"/>
      <c r="D24" s="81">
        <v>1200</v>
      </c>
      <c r="E24" s="81">
        <v>5114</v>
      </c>
      <c r="F24" s="81">
        <v>12120</v>
      </c>
      <c r="G24" s="81">
        <v>1120</v>
      </c>
      <c r="H24" s="81">
        <v>1120</v>
      </c>
      <c r="I24" s="81">
        <v>1120</v>
      </c>
      <c r="J24" s="81">
        <v>1120</v>
      </c>
      <c r="K24" s="81">
        <v>1120</v>
      </c>
      <c r="L24" s="81">
        <v>1120</v>
      </c>
      <c r="M24" s="81">
        <v>560</v>
      </c>
      <c r="N24" s="81"/>
      <c r="O24" s="81"/>
      <c r="P24" s="81">
        <v>1120</v>
      </c>
      <c r="Q24" s="81">
        <v>1120</v>
      </c>
      <c r="R24" s="81">
        <v>1120</v>
      </c>
      <c r="S24" s="81">
        <v>1120</v>
      </c>
      <c r="T24" s="81">
        <v>1120</v>
      </c>
      <c r="U24" s="81">
        <v>1120</v>
      </c>
      <c r="V24" s="81">
        <v>1120</v>
      </c>
      <c r="W24" s="81">
        <v>1120</v>
      </c>
      <c r="X24" s="81"/>
      <c r="Y24" s="81">
        <v>1120</v>
      </c>
      <c r="Z24" s="81">
        <v>1120</v>
      </c>
      <c r="AA24" s="81">
        <v>1120</v>
      </c>
      <c r="AB24" s="81">
        <v>1120</v>
      </c>
      <c r="AC24" s="81">
        <v>1120</v>
      </c>
      <c r="AD24" s="81">
        <v>1120</v>
      </c>
      <c r="AE24" s="81">
        <v>1120</v>
      </c>
      <c r="AF24" s="81">
        <v>560</v>
      </c>
      <c r="AG24" s="81"/>
      <c r="AH24" s="92">
        <f t="shared" si="2"/>
        <v>43074</v>
      </c>
      <c r="AI24" s="9"/>
    </row>
    <row r="25" customFormat="1" ht="15" spans="1:35">
      <c r="A25" s="91">
        <v>7</v>
      </c>
      <c r="B25" s="78" t="s">
        <v>30</v>
      </c>
      <c r="C25" s="81">
        <v>14536</v>
      </c>
      <c r="D25" s="81">
        <v>16916.5</v>
      </c>
      <c r="E25" s="81">
        <v>20355</v>
      </c>
      <c r="F25" s="81">
        <v>25012.5</v>
      </c>
      <c r="G25" s="81">
        <v>24495</v>
      </c>
      <c r="H25" s="81">
        <v>22563</v>
      </c>
      <c r="I25" s="81">
        <v>20792</v>
      </c>
      <c r="J25" s="81">
        <v>30958</v>
      </c>
      <c r="K25" s="81">
        <v>29865.5</v>
      </c>
      <c r="L25" s="81">
        <v>27577</v>
      </c>
      <c r="M25" s="81">
        <v>25277</v>
      </c>
      <c r="N25" s="81">
        <v>22126</v>
      </c>
      <c r="O25" s="81">
        <v>23701.5</v>
      </c>
      <c r="P25" s="81">
        <v>20516</v>
      </c>
      <c r="Q25" s="81">
        <v>22103</v>
      </c>
      <c r="R25" s="81">
        <v>24679</v>
      </c>
      <c r="S25" s="81">
        <v>24713.5</v>
      </c>
      <c r="T25" s="81">
        <v>24656</v>
      </c>
      <c r="U25" s="81">
        <v>24414.5</v>
      </c>
      <c r="V25" s="81">
        <v>23402.5</v>
      </c>
      <c r="W25" s="81">
        <v>22091.5</v>
      </c>
      <c r="X25" s="81">
        <v>23161</v>
      </c>
      <c r="Y25" s="81">
        <v>23402.5</v>
      </c>
      <c r="Z25" s="81">
        <v>22620.5</v>
      </c>
      <c r="AA25" s="81">
        <v>22321.5</v>
      </c>
      <c r="AB25" s="81">
        <v>20033</v>
      </c>
      <c r="AC25" s="81">
        <v>17192.5</v>
      </c>
      <c r="AD25" s="81">
        <v>17192.5</v>
      </c>
      <c r="AE25" s="81">
        <v>16928</v>
      </c>
      <c r="AF25" s="81">
        <v>15870</v>
      </c>
      <c r="AG25" s="81">
        <v>15076.5</v>
      </c>
      <c r="AH25" s="92">
        <f t="shared" si="2"/>
        <v>684549</v>
      </c>
      <c r="AI25" s="9"/>
    </row>
    <row r="26" customFormat="1" ht="15" spans="1:35">
      <c r="A26" s="91">
        <v>8</v>
      </c>
      <c r="B26" s="78" t="s">
        <v>31</v>
      </c>
      <c r="C26" s="81">
        <v>1964.06</v>
      </c>
      <c r="D26" s="81">
        <v>27100</v>
      </c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>
        <v>1777.2</v>
      </c>
      <c r="Q26" s="81"/>
      <c r="R26" s="81"/>
      <c r="S26" s="81"/>
      <c r="T26" s="81"/>
      <c r="U26" s="81"/>
      <c r="V26" s="81">
        <v>466</v>
      </c>
      <c r="W26" s="81"/>
      <c r="X26" s="81"/>
      <c r="Y26" s="81"/>
      <c r="Z26" s="81"/>
      <c r="AA26" s="81">
        <v>1020</v>
      </c>
      <c r="AB26" s="81"/>
      <c r="AC26" s="81">
        <v>4860</v>
      </c>
      <c r="AD26" s="81"/>
      <c r="AE26" s="81"/>
      <c r="AF26" s="81"/>
      <c r="AG26" s="81"/>
      <c r="AH26" s="92">
        <f t="shared" si="2"/>
        <v>37187.26</v>
      </c>
      <c r="AI26" s="9"/>
    </row>
    <row r="27" customFormat="1" ht="15" spans="1:35">
      <c r="A27" s="91">
        <v>9</v>
      </c>
      <c r="B27" s="78" t="s">
        <v>32</v>
      </c>
      <c r="C27" s="81">
        <v>3225.81</v>
      </c>
      <c r="D27" s="81">
        <v>3225.81</v>
      </c>
      <c r="E27" s="81">
        <v>3225.81</v>
      </c>
      <c r="F27" s="81">
        <v>3225.81</v>
      </c>
      <c r="G27" s="81">
        <v>3225.81</v>
      </c>
      <c r="H27" s="81">
        <v>3225.81</v>
      </c>
      <c r="I27" s="81">
        <v>3225.81</v>
      </c>
      <c r="J27" s="81">
        <v>3225.81</v>
      </c>
      <c r="K27" s="81">
        <v>3225.81</v>
      </c>
      <c r="L27" s="81">
        <v>3225.81</v>
      </c>
      <c r="M27" s="81">
        <v>3225.81</v>
      </c>
      <c r="N27" s="81">
        <v>3225.81</v>
      </c>
      <c r="O27" s="81">
        <v>3225.81</v>
      </c>
      <c r="P27" s="81">
        <v>3225.81</v>
      </c>
      <c r="Q27" s="81">
        <v>3225.81</v>
      </c>
      <c r="R27" s="81">
        <v>3225.81</v>
      </c>
      <c r="S27" s="81">
        <v>3225.81</v>
      </c>
      <c r="T27" s="81">
        <v>3225.81</v>
      </c>
      <c r="U27" s="81">
        <v>3225.81</v>
      </c>
      <c r="V27" s="81">
        <v>3225.81</v>
      </c>
      <c r="W27" s="81">
        <v>3225.81</v>
      </c>
      <c r="X27" s="81">
        <v>3225.81</v>
      </c>
      <c r="Y27" s="81">
        <v>3225.81</v>
      </c>
      <c r="Z27" s="81">
        <v>3225.81</v>
      </c>
      <c r="AA27" s="81">
        <v>3225.81</v>
      </c>
      <c r="AB27" s="81">
        <v>3225.81</v>
      </c>
      <c r="AC27" s="81">
        <v>3225.81</v>
      </c>
      <c r="AD27" s="81">
        <v>3225.81</v>
      </c>
      <c r="AE27" s="81">
        <v>3225.81</v>
      </c>
      <c r="AF27" s="81">
        <v>3225.81</v>
      </c>
      <c r="AG27" s="81">
        <v>3225.81</v>
      </c>
      <c r="AH27" s="87">
        <f t="shared" si="2"/>
        <v>100000.11</v>
      </c>
      <c r="AI27" s="9"/>
    </row>
    <row r="28" customFormat="1" ht="15" spans="1:35">
      <c r="A28" s="91">
        <v>10</v>
      </c>
      <c r="B28" s="78" t="s">
        <v>33</v>
      </c>
      <c r="C28" s="81">
        <v>33957.7</v>
      </c>
      <c r="D28" s="81">
        <v>33957.7</v>
      </c>
      <c r="E28" s="81">
        <v>33957.7</v>
      </c>
      <c r="F28" s="81">
        <v>33957.7</v>
      </c>
      <c r="G28" s="81">
        <v>33957.7</v>
      </c>
      <c r="H28" s="81">
        <v>33957.7</v>
      </c>
      <c r="I28" s="81">
        <v>33957.7</v>
      </c>
      <c r="J28" s="81">
        <v>33957.7</v>
      </c>
      <c r="K28" s="81">
        <v>33957.7</v>
      </c>
      <c r="L28" s="81">
        <v>33957.7</v>
      </c>
      <c r="M28" s="81">
        <v>33957.7</v>
      </c>
      <c r="N28" s="81">
        <v>33957.7</v>
      </c>
      <c r="O28" s="81">
        <v>33957.7</v>
      </c>
      <c r="P28" s="81">
        <v>33957.7</v>
      </c>
      <c r="Q28" s="81">
        <v>33957.7</v>
      </c>
      <c r="R28" s="81">
        <v>33957.7</v>
      </c>
      <c r="S28" s="81">
        <v>33957.7</v>
      </c>
      <c r="T28" s="81">
        <v>33957.7</v>
      </c>
      <c r="U28" s="81">
        <v>33957.7</v>
      </c>
      <c r="V28" s="81">
        <v>33957.7</v>
      </c>
      <c r="W28" s="81">
        <v>33957.7</v>
      </c>
      <c r="X28" s="81">
        <v>33957.7</v>
      </c>
      <c r="Y28" s="81">
        <v>33957.7</v>
      </c>
      <c r="Z28" s="81">
        <v>33957.7</v>
      </c>
      <c r="AA28" s="81">
        <v>33957.7</v>
      </c>
      <c r="AB28" s="81">
        <v>33957.7</v>
      </c>
      <c r="AC28" s="81">
        <v>33957.7</v>
      </c>
      <c r="AD28" s="81">
        <v>33957.7</v>
      </c>
      <c r="AE28" s="81">
        <v>33957.7</v>
      </c>
      <c r="AF28" s="81">
        <v>33957.7</v>
      </c>
      <c r="AG28" s="81">
        <v>33957.7</v>
      </c>
      <c r="AH28" s="87">
        <f t="shared" si="2"/>
        <v>1052688.7</v>
      </c>
    </row>
    <row r="29" s="7" customFormat="1" ht="15.6" spans="1:35">
      <c r="A29" s="93" t="s">
        <v>34</v>
      </c>
      <c r="B29" s="93"/>
      <c r="C29" s="27">
        <v>135895.6</v>
      </c>
      <c r="D29" s="27">
        <v>147066.66</v>
      </c>
      <c r="E29" s="27">
        <v>125583.62</v>
      </c>
      <c r="F29" s="27">
        <v>133465.96</v>
      </c>
      <c r="G29" s="27">
        <v>122021.2</v>
      </c>
      <c r="H29" s="27">
        <v>122253.45</v>
      </c>
      <c r="I29" s="27">
        <v>117461.71</v>
      </c>
      <c r="J29" s="27">
        <v>132090.4</v>
      </c>
      <c r="K29" s="27">
        <v>128981.79</v>
      </c>
      <c r="L29" s="27">
        <v>129291.71</v>
      </c>
      <c r="M29" s="27">
        <v>126686.5</v>
      </c>
      <c r="N29" s="27">
        <v>120319.13</v>
      </c>
      <c r="O29" s="27">
        <v>123123.15</v>
      </c>
      <c r="P29" s="27">
        <v>121039.16</v>
      </c>
      <c r="Q29" s="27">
        <v>122615.42</v>
      </c>
      <c r="R29" s="27">
        <v>121300.19</v>
      </c>
      <c r="S29" s="27">
        <v>124845.26</v>
      </c>
      <c r="T29" s="27">
        <v>123087.62</v>
      </c>
      <c r="U29" s="27">
        <v>125379.49</v>
      </c>
      <c r="V29" s="27">
        <v>121747.91</v>
      </c>
      <c r="W29" s="27">
        <v>121839.27</v>
      </c>
      <c r="X29" s="27">
        <v>122877.99</v>
      </c>
      <c r="Y29" s="27">
        <v>125323.21</v>
      </c>
      <c r="Z29" s="27">
        <v>124372.03</v>
      </c>
      <c r="AA29" s="27">
        <v>125335.61</v>
      </c>
      <c r="AB29" s="27">
        <v>121611.31</v>
      </c>
      <c r="AC29" s="27">
        <v>125522.51</v>
      </c>
      <c r="AD29" s="27">
        <v>119161.65</v>
      </c>
      <c r="AE29" s="27">
        <v>119362.31</v>
      </c>
      <c r="AF29" s="27">
        <v>118508.41</v>
      </c>
      <c r="AG29" s="27">
        <v>118768.16</v>
      </c>
      <c r="AH29" s="27">
        <f>SUM(AH19:AH28)</f>
        <v>3866938.39</v>
      </c>
    </row>
    <row r="30" s="7" customFormat="1" ht="15.6" spans="1:35">
      <c r="A30" s="39" t="s">
        <v>35</v>
      </c>
      <c r="B30" s="39"/>
      <c r="C30" s="27">
        <v>753.47</v>
      </c>
      <c r="D30" s="27">
        <v>776.24</v>
      </c>
      <c r="E30" s="27">
        <v>761.02</v>
      </c>
      <c r="F30" s="27">
        <v>806.19</v>
      </c>
      <c r="G30" s="27">
        <v>828.18</v>
      </c>
      <c r="H30" s="27">
        <v>782.07</v>
      </c>
      <c r="I30" s="27">
        <v>774.59</v>
      </c>
      <c r="J30" s="27">
        <v>811.09</v>
      </c>
      <c r="K30" s="27">
        <v>830.1</v>
      </c>
      <c r="L30" s="27">
        <v>790.11</v>
      </c>
      <c r="M30" s="27">
        <v>791.68</v>
      </c>
      <c r="N30" s="27">
        <v>785.91</v>
      </c>
      <c r="O30" s="27">
        <v>734.66</v>
      </c>
      <c r="P30" s="27">
        <v>735.44</v>
      </c>
      <c r="Q30" s="27">
        <v>785.27</v>
      </c>
      <c r="R30" s="27">
        <v>768.72</v>
      </c>
      <c r="S30" s="27">
        <v>798.8</v>
      </c>
      <c r="T30" s="27">
        <v>786.63</v>
      </c>
      <c r="U30" s="27">
        <v>792.38</v>
      </c>
      <c r="V30" s="27">
        <v>771.76</v>
      </c>
      <c r="W30" s="27">
        <v>757.11</v>
      </c>
      <c r="X30" s="27">
        <v>752.02</v>
      </c>
      <c r="Y30" s="27">
        <v>810.15</v>
      </c>
      <c r="Z30" s="27">
        <v>767.87</v>
      </c>
      <c r="AA30" s="27">
        <v>763.95</v>
      </c>
      <c r="AB30" s="27">
        <v>728.52</v>
      </c>
      <c r="AC30" s="27">
        <v>732.37</v>
      </c>
      <c r="AD30" s="27">
        <v>704.31</v>
      </c>
      <c r="AE30" s="27">
        <v>716.82</v>
      </c>
      <c r="AF30" s="27">
        <v>717.52</v>
      </c>
      <c r="AG30" s="27">
        <v>731.71</v>
      </c>
      <c r="AH30" s="27">
        <f t="shared" ref="AH30:AH42" si="3">SUM(C30:AG30)</f>
        <v>23846.66</v>
      </c>
    </row>
    <row r="31" s="7" customFormat="1" spans="1:35">
      <c r="A31" s="94" t="s">
        <v>36</v>
      </c>
      <c r="B31" s="94"/>
      <c r="C31" s="27">
        <v>-32001</v>
      </c>
      <c r="D31" s="27">
        <v>-40031.94</v>
      </c>
      <c r="E31" s="27">
        <v>-20647.94</v>
      </c>
      <c r="F31" s="27">
        <v>-22301.56</v>
      </c>
      <c r="G31" s="27">
        <v>-7823.93</v>
      </c>
      <c r="H31" s="27">
        <v>-14415.27</v>
      </c>
      <c r="I31" s="27">
        <v>-10654.94</v>
      </c>
      <c r="J31" s="27">
        <v>-20249.62</v>
      </c>
      <c r="K31" s="27">
        <v>-14519.72</v>
      </c>
      <c r="L31" s="27">
        <v>-20344.22</v>
      </c>
      <c r="M31" s="27">
        <v>-17522.13</v>
      </c>
      <c r="N31" s="27">
        <v>-11951.36</v>
      </c>
      <c r="O31" s="27">
        <v>-21821.43</v>
      </c>
      <c r="P31" s="27">
        <v>-19630.18</v>
      </c>
      <c r="Q31" s="27">
        <v>-14335.08</v>
      </c>
      <c r="R31" s="27">
        <v>-15302.02</v>
      </c>
      <c r="S31" s="27">
        <v>-14699.93</v>
      </c>
      <c r="T31" s="27">
        <v>-14619.76</v>
      </c>
      <c r="U31" s="27">
        <v>-16119.43</v>
      </c>
      <c r="V31" s="27">
        <v>-15330.85</v>
      </c>
      <c r="W31" s="27">
        <v>-17441.77</v>
      </c>
      <c r="X31" s="27">
        <v>-19182.14</v>
      </c>
      <c r="Y31" s="27">
        <v>-13612.02</v>
      </c>
      <c r="Z31" s="27">
        <v>-18491.91</v>
      </c>
      <c r="AA31" s="27">
        <v>-19995.07</v>
      </c>
      <c r="AB31" s="27">
        <v>-21156.14</v>
      </c>
      <c r="AC31" s="27">
        <v>-24536.64</v>
      </c>
      <c r="AD31" s="27">
        <v>-22044.73</v>
      </c>
      <c r="AE31" s="27">
        <v>-20520.6</v>
      </c>
      <c r="AF31" s="27">
        <v>-19569.9</v>
      </c>
      <c r="AG31" s="27">
        <v>-17873.79</v>
      </c>
      <c r="AH31" s="27">
        <f>AH11-AH29-AH30</f>
        <v>-578747.02</v>
      </c>
    </row>
    <row r="32" customFormat="1" ht="15" spans="1:35">
      <c r="A32" s="91">
        <v>1</v>
      </c>
      <c r="B32" s="95" t="s">
        <v>37</v>
      </c>
      <c r="C32" s="86">
        <v>9937.68</v>
      </c>
      <c r="D32" s="86">
        <v>9937.68</v>
      </c>
      <c r="E32" s="86">
        <v>9937.68</v>
      </c>
      <c r="F32" s="86">
        <v>9937.68</v>
      </c>
      <c r="G32" s="86">
        <v>9937.68</v>
      </c>
      <c r="H32" s="86">
        <v>9937.68</v>
      </c>
      <c r="I32" s="86">
        <v>9937.68</v>
      </c>
      <c r="J32" s="86">
        <v>9937.68</v>
      </c>
      <c r="K32" s="86">
        <v>9937.68</v>
      </c>
      <c r="L32" s="86">
        <v>9937.68</v>
      </c>
      <c r="M32" s="86">
        <v>9937.68</v>
      </c>
      <c r="N32" s="86">
        <v>9937.68</v>
      </c>
      <c r="O32" s="86">
        <v>9937.68</v>
      </c>
      <c r="P32" s="86">
        <v>9937.68</v>
      </c>
      <c r="Q32" s="86">
        <v>9937.68</v>
      </c>
      <c r="R32" s="86">
        <v>9937.68</v>
      </c>
      <c r="S32" s="86">
        <v>9937.68</v>
      </c>
      <c r="T32" s="86">
        <v>9937.68</v>
      </c>
      <c r="U32" s="86">
        <v>9937.68</v>
      </c>
      <c r="V32" s="86">
        <v>9937.68</v>
      </c>
      <c r="W32" s="86">
        <v>9937.68</v>
      </c>
      <c r="X32" s="86">
        <v>9937.68</v>
      </c>
      <c r="Y32" s="86">
        <v>9937.68</v>
      </c>
      <c r="Z32" s="86">
        <v>9937.68</v>
      </c>
      <c r="AA32" s="86">
        <v>9937.68</v>
      </c>
      <c r="AB32" s="86">
        <v>9937.68</v>
      </c>
      <c r="AC32" s="86">
        <v>9937.68</v>
      </c>
      <c r="AD32" s="86">
        <v>9937.68</v>
      </c>
      <c r="AE32" s="86">
        <v>9937.68</v>
      </c>
      <c r="AF32" s="86">
        <v>9937.68</v>
      </c>
      <c r="AG32" s="86">
        <v>9937.68</v>
      </c>
      <c r="AH32" s="87">
        <f t="shared" si="3"/>
        <v>308068.08</v>
      </c>
      <c r="AI32" s="9"/>
    </row>
    <row r="33" customFormat="1" ht="15" spans="1:35">
      <c r="A33" s="91">
        <v>2</v>
      </c>
      <c r="B33" s="95" t="s">
        <v>38</v>
      </c>
      <c r="C33" s="86">
        <v>677.42</v>
      </c>
      <c r="D33" s="86">
        <v>677.42</v>
      </c>
      <c r="E33" s="86">
        <v>677.42</v>
      </c>
      <c r="F33" s="86">
        <v>677.42</v>
      </c>
      <c r="G33" s="86">
        <v>677.42</v>
      </c>
      <c r="H33" s="86">
        <v>677.42</v>
      </c>
      <c r="I33" s="86">
        <v>677.42</v>
      </c>
      <c r="J33" s="86">
        <v>677.42</v>
      </c>
      <c r="K33" s="86">
        <v>677.42</v>
      </c>
      <c r="L33" s="86">
        <v>677.42</v>
      </c>
      <c r="M33" s="86">
        <v>677.42</v>
      </c>
      <c r="N33" s="86">
        <v>677.42</v>
      </c>
      <c r="O33" s="86">
        <v>677.42</v>
      </c>
      <c r="P33" s="86">
        <v>677.42</v>
      </c>
      <c r="Q33" s="86">
        <v>677.42</v>
      </c>
      <c r="R33" s="86">
        <v>677.42</v>
      </c>
      <c r="S33" s="86">
        <v>677.42</v>
      </c>
      <c r="T33" s="86">
        <v>677.42</v>
      </c>
      <c r="U33" s="86">
        <v>677.42</v>
      </c>
      <c r="V33" s="86">
        <v>677.42</v>
      </c>
      <c r="W33" s="86">
        <v>677.42</v>
      </c>
      <c r="X33" s="86">
        <v>677.42</v>
      </c>
      <c r="Y33" s="86">
        <v>677.42</v>
      </c>
      <c r="Z33" s="86">
        <v>677.42</v>
      </c>
      <c r="AA33" s="86">
        <v>677.42</v>
      </c>
      <c r="AB33" s="86">
        <v>677.42</v>
      </c>
      <c r="AC33" s="86">
        <v>677.42</v>
      </c>
      <c r="AD33" s="86">
        <v>677.42</v>
      </c>
      <c r="AE33" s="86">
        <v>677.42</v>
      </c>
      <c r="AF33" s="86">
        <v>677.42</v>
      </c>
      <c r="AG33" s="86">
        <v>677.42</v>
      </c>
      <c r="AH33" s="92">
        <f t="shared" si="3"/>
        <v>21000.02</v>
      </c>
      <c r="AI33" s="9"/>
    </row>
    <row r="34" customFormat="1" ht="15" spans="1:35">
      <c r="A34" s="91">
        <v>3</v>
      </c>
      <c r="B34" s="95" t="s">
        <v>39</v>
      </c>
      <c r="C34" s="86">
        <v>1306.45161290323</v>
      </c>
      <c r="D34" s="86">
        <v>1306.45161290323</v>
      </c>
      <c r="E34" s="86">
        <v>1306.45161290323</v>
      </c>
      <c r="F34" s="86">
        <v>1306.45161290323</v>
      </c>
      <c r="G34" s="86">
        <v>1306.45161290323</v>
      </c>
      <c r="H34" s="86">
        <v>1306.45161290323</v>
      </c>
      <c r="I34" s="86">
        <v>1306.45161290323</v>
      </c>
      <c r="J34" s="86">
        <v>1306.45161290323</v>
      </c>
      <c r="K34" s="86">
        <v>1306.45161290323</v>
      </c>
      <c r="L34" s="86">
        <v>1306.45161290323</v>
      </c>
      <c r="M34" s="86">
        <v>1306.45161290323</v>
      </c>
      <c r="N34" s="86">
        <v>1306.45161290323</v>
      </c>
      <c r="O34" s="86">
        <v>1306.45161290323</v>
      </c>
      <c r="P34" s="86">
        <v>1306.45161290323</v>
      </c>
      <c r="Q34" s="86">
        <v>1306.45161290323</v>
      </c>
      <c r="R34" s="86">
        <v>1306.45161290323</v>
      </c>
      <c r="S34" s="86">
        <v>1306.45161290323</v>
      </c>
      <c r="T34" s="86">
        <v>1306.45161290323</v>
      </c>
      <c r="U34" s="86">
        <v>1306.45161290323</v>
      </c>
      <c r="V34" s="86">
        <v>1306.45161290323</v>
      </c>
      <c r="W34" s="86">
        <v>1306.45161290323</v>
      </c>
      <c r="X34" s="86">
        <v>1306.45161290323</v>
      </c>
      <c r="Y34" s="86">
        <v>1306.45161290323</v>
      </c>
      <c r="Z34" s="86">
        <v>1306.45161290323</v>
      </c>
      <c r="AA34" s="86">
        <v>1306.45161290323</v>
      </c>
      <c r="AB34" s="86">
        <v>1306.45161290323</v>
      </c>
      <c r="AC34" s="86">
        <v>1306.45161290323</v>
      </c>
      <c r="AD34" s="86">
        <v>1306.45161290323</v>
      </c>
      <c r="AE34" s="86">
        <v>1306.45161290323</v>
      </c>
      <c r="AF34" s="86">
        <v>1306.45161290323</v>
      </c>
      <c r="AG34" s="86">
        <v>1306.45161290323</v>
      </c>
      <c r="AH34" s="92">
        <f t="shared" si="3"/>
        <v>40500.0000000001</v>
      </c>
      <c r="AI34" s="9"/>
    </row>
    <row r="35" customFormat="1" ht="15" spans="1:35">
      <c r="A35" s="91">
        <v>4</v>
      </c>
      <c r="B35" s="78" t="s">
        <v>26</v>
      </c>
      <c r="C35" s="81">
        <v>29.17</v>
      </c>
      <c r="D35" s="86">
        <v>29.17</v>
      </c>
      <c r="E35" s="86">
        <v>29.17</v>
      </c>
      <c r="F35" s="86">
        <v>29.17</v>
      </c>
      <c r="G35" s="86">
        <v>29.17</v>
      </c>
      <c r="H35" s="86">
        <v>29.17</v>
      </c>
      <c r="I35" s="86">
        <v>29.17</v>
      </c>
      <c r="J35" s="86">
        <v>29.17</v>
      </c>
      <c r="K35" s="86">
        <v>29.17</v>
      </c>
      <c r="L35" s="86">
        <v>29.17</v>
      </c>
      <c r="M35" s="86">
        <v>29.17</v>
      </c>
      <c r="N35" s="86">
        <v>29.17</v>
      </c>
      <c r="O35" s="86">
        <v>29.17</v>
      </c>
      <c r="P35" s="86">
        <v>29.17</v>
      </c>
      <c r="Q35" s="86">
        <v>29.17</v>
      </c>
      <c r="R35" s="86">
        <v>29.17</v>
      </c>
      <c r="S35" s="86">
        <v>29.17</v>
      </c>
      <c r="T35" s="86">
        <v>29.17</v>
      </c>
      <c r="U35" s="86">
        <v>29.17</v>
      </c>
      <c r="V35" s="86">
        <v>29.17</v>
      </c>
      <c r="W35" s="86">
        <v>29.17</v>
      </c>
      <c r="X35" s="86">
        <v>29.17</v>
      </c>
      <c r="Y35" s="86">
        <v>29.17</v>
      </c>
      <c r="Z35" s="86">
        <v>29.17</v>
      </c>
      <c r="AA35" s="86">
        <v>29.17</v>
      </c>
      <c r="AB35" s="86">
        <v>29.17</v>
      </c>
      <c r="AC35" s="86">
        <v>29.17</v>
      </c>
      <c r="AD35" s="86">
        <v>29.17</v>
      </c>
      <c r="AE35" s="86">
        <v>29.17</v>
      </c>
      <c r="AF35" s="86">
        <v>29.17</v>
      </c>
      <c r="AG35" s="86">
        <v>29.17</v>
      </c>
      <c r="AH35" s="87">
        <f t="shared" si="3"/>
        <v>904.27</v>
      </c>
      <c r="AI35" s="9"/>
    </row>
    <row r="36" customFormat="1" ht="15" spans="1:35">
      <c r="A36" s="91">
        <v>5</v>
      </c>
      <c r="B36" s="78" t="s">
        <v>27</v>
      </c>
      <c r="C36" s="81">
        <v>34.17</v>
      </c>
      <c r="D36" s="86">
        <v>34.17</v>
      </c>
      <c r="E36" s="86">
        <v>34.17</v>
      </c>
      <c r="F36" s="86">
        <v>34.17</v>
      </c>
      <c r="G36" s="86">
        <v>34.17</v>
      </c>
      <c r="H36" s="86">
        <v>34.17</v>
      </c>
      <c r="I36" s="86">
        <v>34.17</v>
      </c>
      <c r="J36" s="86">
        <v>34.17</v>
      </c>
      <c r="K36" s="86">
        <v>34.17</v>
      </c>
      <c r="L36" s="86">
        <v>34.17</v>
      </c>
      <c r="M36" s="86">
        <v>34.17</v>
      </c>
      <c r="N36" s="86">
        <v>34.17</v>
      </c>
      <c r="O36" s="86">
        <v>34.17</v>
      </c>
      <c r="P36" s="86">
        <v>34.17</v>
      </c>
      <c r="Q36" s="86">
        <v>34.17</v>
      </c>
      <c r="R36" s="86">
        <v>34.17</v>
      </c>
      <c r="S36" s="86">
        <v>34.17</v>
      </c>
      <c r="T36" s="86">
        <v>34.17</v>
      </c>
      <c r="U36" s="86">
        <v>34.17</v>
      </c>
      <c r="V36" s="86">
        <v>34.17</v>
      </c>
      <c r="W36" s="86">
        <v>34.17</v>
      </c>
      <c r="X36" s="86">
        <v>34.17</v>
      </c>
      <c r="Y36" s="86">
        <v>34.17</v>
      </c>
      <c r="Z36" s="86">
        <v>34.17</v>
      </c>
      <c r="AA36" s="86">
        <v>34.17</v>
      </c>
      <c r="AB36" s="86">
        <v>34.17</v>
      </c>
      <c r="AC36" s="86">
        <v>34.17</v>
      </c>
      <c r="AD36" s="86">
        <v>34.17</v>
      </c>
      <c r="AE36" s="86">
        <v>34.17</v>
      </c>
      <c r="AF36" s="86">
        <v>34.17</v>
      </c>
      <c r="AG36" s="86">
        <v>34.17</v>
      </c>
      <c r="AH36" s="87">
        <f t="shared" si="3"/>
        <v>1059.27</v>
      </c>
      <c r="AI36" s="9"/>
    </row>
    <row r="37" customFormat="1" ht="15" spans="1:35">
      <c r="A37" s="91">
        <v>6</v>
      </c>
      <c r="B37" s="95" t="s">
        <v>40</v>
      </c>
      <c r="C37" s="86"/>
      <c r="D37" s="86"/>
      <c r="E37" s="86"/>
      <c r="F37" s="86"/>
      <c r="G37" s="9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7">
        <f t="shared" si="3"/>
        <v>0</v>
      </c>
      <c r="AI37" s="9"/>
    </row>
    <row r="38" customFormat="1" ht="15" spans="1:35">
      <c r="A38" s="91">
        <v>7</v>
      </c>
      <c r="B38" s="96" t="s">
        <v>41</v>
      </c>
      <c r="C38" s="81">
        <v>204880</v>
      </c>
      <c r="D38" s="81">
        <v>460</v>
      </c>
      <c r="E38" s="81">
        <v>440</v>
      </c>
      <c r="F38" s="81">
        <v>360</v>
      </c>
      <c r="G38" s="81">
        <v>340</v>
      </c>
      <c r="H38" s="81">
        <v>380</v>
      </c>
      <c r="I38" s="81">
        <v>340</v>
      </c>
      <c r="J38" s="81">
        <v>420</v>
      </c>
      <c r="K38" s="81">
        <v>380</v>
      </c>
      <c r="L38" s="81">
        <v>380</v>
      </c>
      <c r="M38" s="81">
        <v>300</v>
      </c>
      <c r="N38" s="81">
        <v>420</v>
      </c>
      <c r="O38" s="81">
        <v>300</v>
      </c>
      <c r="P38" s="81">
        <v>300</v>
      </c>
      <c r="Q38" s="81">
        <v>400</v>
      </c>
      <c r="R38" s="81">
        <v>360</v>
      </c>
      <c r="S38" s="81">
        <v>320</v>
      </c>
      <c r="T38" s="81">
        <v>280</v>
      </c>
      <c r="U38" s="81">
        <v>320</v>
      </c>
      <c r="V38" s="81">
        <v>280</v>
      </c>
      <c r="W38" s="81">
        <v>360</v>
      </c>
      <c r="X38" s="81">
        <v>340</v>
      </c>
      <c r="Y38" s="81">
        <v>420</v>
      </c>
      <c r="Z38" s="81">
        <v>340</v>
      </c>
      <c r="AA38" s="81">
        <v>360</v>
      </c>
      <c r="AB38" s="81">
        <v>380</v>
      </c>
      <c r="AC38" s="81">
        <v>380</v>
      </c>
      <c r="AD38" s="81">
        <v>340</v>
      </c>
      <c r="AE38" s="81">
        <v>360</v>
      </c>
      <c r="AF38" s="81">
        <v>380</v>
      </c>
      <c r="AG38" s="81">
        <v>360</v>
      </c>
      <c r="AH38" s="87">
        <f t="shared" si="3"/>
        <v>215680</v>
      </c>
      <c r="AI38" s="9"/>
    </row>
    <row r="39" customFormat="1" ht="15" spans="1:35">
      <c r="A39" s="91">
        <v>8</v>
      </c>
      <c r="B39" s="99" t="s">
        <v>42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7">
        <f t="shared" si="3"/>
        <v>0</v>
      </c>
      <c r="AI39" s="9"/>
    </row>
    <row r="40" customFormat="1" ht="15" spans="1:35">
      <c r="A40" s="91">
        <v>9</v>
      </c>
      <c r="B40" s="99" t="s">
        <v>43</v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7">
        <f t="shared" si="3"/>
        <v>0</v>
      </c>
      <c r="AI40" s="9"/>
    </row>
    <row r="41" customFormat="1" ht="15" spans="1:35">
      <c r="A41" s="91">
        <v>10</v>
      </c>
      <c r="B41" s="100" t="s">
        <v>44</v>
      </c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7">
        <f t="shared" si="3"/>
        <v>0</v>
      </c>
      <c r="AI41" s="9"/>
    </row>
    <row r="42" customFormat="1" ht="15" spans="1:35">
      <c r="A42" s="91">
        <v>11</v>
      </c>
      <c r="B42" s="95" t="s">
        <v>45</v>
      </c>
      <c r="C42" s="81">
        <v>205</v>
      </c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>
        <v>350</v>
      </c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7">
        <f t="shared" si="3"/>
        <v>555</v>
      </c>
      <c r="AI42" s="9"/>
    </row>
    <row r="43" customFormat="1" ht="13.5" hidden="1" customHeight="1" spans="1:35">
      <c r="A43" s="91">
        <v>13</v>
      </c>
      <c r="B43" s="95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7"/>
      <c r="AI43" s="9"/>
    </row>
    <row r="44" customFormat="1" ht="15" hidden="1" spans="1:35">
      <c r="A44" s="91">
        <v>14</v>
      </c>
      <c r="B44" s="10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7"/>
      <c r="AI44" s="9"/>
    </row>
    <row r="45" s="7" customFormat="1" ht="15.6" spans="1:35">
      <c r="A45" s="102" t="s">
        <v>46</v>
      </c>
      <c r="B45" s="102"/>
      <c r="C45" s="42">
        <f t="shared" ref="C45:AH45" si="4">SUM(C32:C44)</f>
        <v>217069.891612903</v>
      </c>
      <c r="D45" s="42">
        <f t="shared" si="4"/>
        <v>12444.8916129032</v>
      </c>
      <c r="E45" s="42">
        <f t="shared" si="4"/>
        <v>12424.8916129032</v>
      </c>
      <c r="F45" s="42">
        <f t="shared" si="4"/>
        <v>12344.8916129032</v>
      </c>
      <c r="G45" s="42">
        <f t="shared" si="4"/>
        <v>12324.8916129032</v>
      </c>
      <c r="H45" s="42">
        <f t="shared" si="4"/>
        <v>12364.8916129032</v>
      </c>
      <c r="I45" s="42">
        <f t="shared" si="4"/>
        <v>12324.8916129032</v>
      </c>
      <c r="J45" s="42">
        <f t="shared" si="4"/>
        <v>12404.8916129032</v>
      </c>
      <c r="K45" s="42">
        <f t="shared" si="4"/>
        <v>12364.8916129032</v>
      </c>
      <c r="L45" s="42">
        <f t="shared" si="4"/>
        <v>12364.8916129032</v>
      </c>
      <c r="M45" s="42">
        <f t="shared" si="4"/>
        <v>12284.8916129032</v>
      </c>
      <c r="N45" s="42">
        <f t="shared" si="4"/>
        <v>12404.8916129032</v>
      </c>
      <c r="O45" s="42">
        <f t="shared" si="4"/>
        <v>12284.8916129032</v>
      </c>
      <c r="P45" s="42">
        <f t="shared" si="4"/>
        <v>12284.8916129032</v>
      </c>
      <c r="Q45" s="42">
        <f t="shared" si="4"/>
        <v>12734.8916129032</v>
      </c>
      <c r="R45" s="42">
        <f t="shared" si="4"/>
        <v>12344.8916129032</v>
      </c>
      <c r="S45" s="42">
        <f t="shared" si="4"/>
        <v>12304.8916129032</v>
      </c>
      <c r="T45" s="42">
        <f t="shared" si="4"/>
        <v>12264.8916129032</v>
      </c>
      <c r="U45" s="42">
        <f t="shared" si="4"/>
        <v>12304.8916129032</v>
      </c>
      <c r="V45" s="42">
        <f t="shared" si="4"/>
        <v>12264.8916129032</v>
      </c>
      <c r="W45" s="42">
        <f t="shared" si="4"/>
        <v>12344.8916129032</v>
      </c>
      <c r="X45" s="42">
        <f t="shared" si="4"/>
        <v>12324.8916129032</v>
      </c>
      <c r="Y45" s="42">
        <f t="shared" si="4"/>
        <v>12404.8916129032</v>
      </c>
      <c r="Z45" s="42">
        <f t="shared" si="4"/>
        <v>12324.8916129032</v>
      </c>
      <c r="AA45" s="42">
        <f t="shared" si="4"/>
        <v>12344.8916129032</v>
      </c>
      <c r="AB45" s="42">
        <f t="shared" si="4"/>
        <v>12364.8916129032</v>
      </c>
      <c r="AC45" s="42">
        <f t="shared" si="4"/>
        <v>12364.8916129032</v>
      </c>
      <c r="AD45" s="42">
        <f t="shared" si="4"/>
        <v>12324.8916129032</v>
      </c>
      <c r="AE45" s="42">
        <f t="shared" si="4"/>
        <v>12344.8916129032</v>
      </c>
      <c r="AF45" s="42">
        <f t="shared" si="4"/>
        <v>12364.8916129032</v>
      </c>
      <c r="AG45" s="42">
        <f t="shared" si="4"/>
        <v>12344.8916129032</v>
      </c>
      <c r="AH45" s="42">
        <f t="shared" si="4"/>
        <v>587766.64</v>
      </c>
    </row>
    <row r="46" s="7" customFormat="1" ht="15.6" spans="1:35">
      <c r="A46" s="102" t="s">
        <v>47</v>
      </c>
      <c r="B46" s="102"/>
      <c r="C46" s="27">
        <f>ROUND(C31-C45,2)</f>
        <v>-249070.89</v>
      </c>
      <c r="D46" s="27">
        <f t="shared" ref="D46:AG46" si="5">D31-D45</f>
        <v>-52476.8316129032</v>
      </c>
      <c r="E46" s="27">
        <f t="shared" si="5"/>
        <v>-33072.8316129032</v>
      </c>
      <c r="F46" s="27">
        <f t="shared" si="5"/>
        <v>-34646.4516129032</v>
      </c>
      <c r="G46" s="27">
        <f t="shared" si="5"/>
        <v>-20148.8216129032</v>
      </c>
      <c r="H46" s="27">
        <f t="shared" si="5"/>
        <v>-26780.1616129032</v>
      </c>
      <c r="I46" s="27">
        <f t="shared" si="5"/>
        <v>-22979.8316129032</v>
      </c>
      <c r="J46" s="27">
        <f t="shared" si="5"/>
        <v>-32654.5116129032</v>
      </c>
      <c r="K46" s="27">
        <f t="shared" si="5"/>
        <v>-26884.6116129032</v>
      </c>
      <c r="L46" s="27">
        <f t="shared" si="5"/>
        <v>-32709.1116129032</v>
      </c>
      <c r="M46" s="27">
        <f t="shared" si="5"/>
        <v>-29807.0216129032</v>
      </c>
      <c r="N46" s="27">
        <f t="shared" si="5"/>
        <v>-24356.2516129032</v>
      </c>
      <c r="O46" s="27">
        <f t="shared" si="5"/>
        <v>-34106.3216129032</v>
      </c>
      <c r="P46" s="27">
        <f t="shared" si="5"/>
        <v>-31915.0716129032</v>
      </c>
      <c r="Q46" s="27">
        <f t="shared" si="5"/>
        <v>-27069.9716129032</v>
      </c>
      <c r="R46" s="27">
        <f t="shared" si="5"/>
        <v>-27646.9116129032</v>
      </c>
      <c r="S46" s="27">
        <f t="shared" si="5"/>
        <v>-27004.8216129032</v>
      </c>
      <c r="T46" s="27">
        <f t="shared" si="5"/>
        <v>-26884.6516129032</v>
      </c>
      <c r="U46" s="27">
        <f t="shared" si="5"/>
        <v>-28424.3216129032</v>
      </c>
      <c r="V46" s="27">
        <f t="shared" si="5"/>
        <v>-27595.7416129032</v>
      </c>
      <c r="W46" s="27">
        <f t="shared" si="5"/>
        <v>-29786.6616129032</v>
      </c>
      <c r="X46" s="27">
        <f t="shared" si="5"/>
        <v>-31507.0316129032</v>
      </c>
      <c r="Y46" s="27">
        <f t="shared" si="5"/>
        <v>-26016.9116129032</v>
      </c>
      <c r="Z46" s="27">
        <f t="shared" si="5"/>
        <v>-30816.8016129032</v>
      </c>
      <c r="AA46" s="27">
        <f t="shared" si="5"/>
        <v>-32339.9616129032</v>
      </c>
      <c r="AB46" s="27">
        <f t="shared" si="5"/>
        <v>-33521.0316129032</v>
      </c>
      <c r="AC46" s="27">
        <f t="shared" si="5"/>
        <v>-36901.5316129032</v>
      </c>
      <c r="AD46" s="27">
        <f t="shared" si="5"/>
        <v>-34369.6216129032</v>
      </c>
      <c r="AE46" s="27">
        <f t="shared" si="5"/>
        <v>-32865.4916129032</v>
      </c>
      <c r="AF46" s="27">
        <f t="shared" si="5"/>
        <v>-31934.7916129032</v>
      </c>
      <c r="AG46" s="27">
        <f t="shared" si="5"/>
        <v>-30218.6816129032</v>
      </c>
      <c r="AH46" s="27">
        <f>ROUND(AH31-AH45,2)</f>
        <v>-1166513.66</v>
      </c>
    </row>
    <row r="47" s="9" customFormat="1" ht="144" customHeight="1" spans="1:35">
      <c r="A47" s="103" t="s">
        <v>48</v>
      </c>
      <c r="B47" s="103"/>
      <c r="C47" s="48" t="s">
        <v>57</v>
      </c>
      <c r="D47" s="48" t="s">
        <v>57</v>
      </c>
      <c r="E47" s="48" t="s">
        <v>73</v>
      </c>
      <c r="F47" s="48" t="s">
        <v>74</v>
      </c>
      <c r="G47" s="48" t="s">
        <v>75</v>
      </c>
      <c r="H47" s="117"/>
      <c r="I47" s="117"/>
      <c r="J47" s="48" t="s">
        <v>76</v>
      </c>
      <c r="K47" s="117"/>
      <c r="L47" s="117"/>
      <c r="M47" s="117"/>
      <c r="N47" s="48"/>
      <c r="O47" s="51"/>
      <c r="P47" s="51"/>
      <c r="Q47" s="118"/>
      <c r="R47" s="118"/>
      <c r="S47" s="117"/>
      <c r="T47" s="118"/>
      <c r="U47" s="118"/>
      <c r="V47" s="118"/>
      <c r="W47" s="118"/>
      <c r="X47" s="48" t="s">
        <v>77</v>
      </c>
      <c r="Y47" s="118"/>
      <c r="Z47" s="119"/>
      <c r="AA47" s="118"/>
      <c r="AB47" s="119"/>
      <c r="AC47" s="119"/>
      <c r="AD47" s="119" t="s">
        <v>78</v>
      </c>
      <c r="AE47" s="48"/>
      <c r="AF47" s="48"/>
      <c r="AG47" s="114"/>
      <c r="AH47" s="53"/>
    </row>
    <row r="48" customFormat="1" ht="15.6" spans="1:35">
      <c r="A48" s="104" t="s">
        <v>58</v>
      </c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9"/>
    </row>
    <row r="49" customFormat="1" ht="18" customHeight="1" spans="1:35">
      <c r="A49" s="9"/>
      <c r="B49" s="9"/>
      <c r="C49" s="106"/>
      <c r="D49" s="106"/>
      <c r="E49" s="106"/>
      <c r="F49" s="106"/>
      <c r="G49" s="106"/>
      <c r="H49" s="107"/>
      <c r="I49" s="108"/>
      <c r="J49" s="108"/>
      <c r="K49" s="108"/>
      <c r="L49" s="108"/>
      <c r="M49" s="10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customFormat="1" ht="18" customHeight="1" spans="1:35">
      <c r="A50" s="9"/>
      <c r="B50" s="9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13"/>
      <c r="O50" s="113"/>
      <c r="P50" s="113"/>
      <c r="Q50" s="113"/>
      <c r="R50" s="113"/>
      <c r="S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customFormat="1" ht="18" customHeight="1" spans="1:35">
      <c r="A51" s="9"/>
      <c r="B51" s="9"/>
      <c r="C51" s="107"/>
      <c r="D51" s="107"/>
      <c r="E51" s="122"/>
      <c r="K51" s="122"/>
      <c r="L51" s="122"/>
      <c r="M51" s="122"/>
      <c r="S51" s="9"/>
      <c r="Y51" s="9"/>
      <c r="Z51" s="9"/>
      <c r="AA51" s="109" t="s">
        <v>59</v>
      </c>
      <c r="AB51" s="109"/>
      <c r="AC51" s="109"/>
      <c r="AD51" s="109"/>
      <c r="AE51" s="109"/>
      <c r="AF51" s="9"/>
      <c r="AG51" s="9"/>
      <c r="AH51" s="9"/>
      <c r="AI51" s="9"/>
    </row>
    <row r="52" customFormat="1" ht="18" customHeight="1" spans="1:35">
      <c r="A52" s="9"/>
      <c r="B52" s="9"/>
      <c r="C52" s="107"/>
      <c r="D52" s="107"/>
      <c r="E52" s="107"/>
      <c r="K52" s="107"/>
      <c r="L52" s="107"/>
      <c r="M52" s="107"/>
      <c r="S52" s="9"/>
      <c r="Y52" s="9"/>
      <c r="Z52" s="9"/>
      <c r="AA52" s="109" t="s">
        <v>60</v>
      </c>
      <c r="AB52" s="109"/>
      <c r="AC52" s="109" t="s">
        <v>61</v>
      </c>
      <c r="AD52" s="109"/>
      <c r="AE52" s="109"/>
      <c r="AF52" s="9"/>
      <c r="AG52" s="9"/>
      <c r="AH52" s="9"/>
      <c r="AI52" s="9"/>
    </row>
    <row r="53" customFormat="1" ht="18" customHeight="1" spans="1:35">
      <c r="A53" s="9"/>
      <c r="B53" s="9"/>
      <c r="C53" s="107"/>
      <c r="D53" s="107"/>
      <c r="E53" s="107"/>
      <c r="K53" s="107"/>
      <c r="L53" s="107"/>
      <c r="M53" s="107"/>
      <c r="S53" s="9"/>
      <c r="Y53" s="9"/>
      <c r="Z53" s="9"/>
      <c r="AA53" s="109" t="s">
        <v>62</v>
      </c>
      <c r="AB53" s="109"/>
      <c r="AC53" s="110">
        <v>45869</v>
      </c>
      <c r="AD53" s="110"/>
      <c r="AE53" s="110"/>
      <c r="AF53" s="9"/>
      <c r="AG53" s="9"/>
      <c r="AH53" s="9"/>
      <c r="AI53" s="9"/>
    </row>
    <row r="54" customFormat="1" ht="18" customHeight="1" spans="1:35">
      <c r="A54" s="9"/>
      <c r="B54" s="9"/>
      <c r="C54" s="107"/>
      <c r="D54" s="107"/>
      <c r="E54" s="107"/>
      <c r="K54" s="107"/>
      <c r="L54" s="107"/>
      <c r="M54" s="107"/>
      <c r="S54" s="9"/>
      <c r="Y54" s="9"/>
      <c r="Z54" s="9"/>
      <c r="AA54" s="109" t="s">
        <v>63</v>
      </c>
      <c r="AB54" s="109"/>
      <c r="AC54" s="109">
        <v>24</v>
      </c>
      <c r="AD54" s="109"/>
      <c r="AE54" s="109"/>
      <c r="AF54" s="9"/>
      <c r="AG54" s="9"/>
      <c r="AH54" s="9"/>
      <c r="AI54" s="9"/>
    </row>
    <row r="55" customFormat="1" ht="18" customHeight="1" spans="1:35">
      <c r="A55" s="105"/>
      <c r="B55" s="105"/>
      <c r="C55" s="121"/>
      <c r="D55" s="121"/>
      <c r="E55" s="121"/>
      <c r="K55" s="121"/>
      <c r="L55" s="121"/>
      <c r="M55" s="121"/>
      <c r="S55" s="105"/>
      <c r="Y55" s="105"/>
      <c r="Z55" s="105"/>
      <c r="AA55" s="109" t="s">
        <v>64</v>
      </c>
      <c r="AB55" s="109"/>
      <c r="AC55" s="109">
        <v>306</v>
      </c>
      <c r="AD55" s="109"/>
      <c r="AE55" s="109"/>
      <c r="AF55" s="105"/>
      <c r="AG55" s="105"/>
      <c r="AH55" s="105"/>
      <c r="AI55" s="9"/>
    </row>
    <row r="56" customFormat="1" ht="18" customHeight="1" spans="1:35">
      <c r="A56" s="9"/>
      <c r="B56" s="9"/>
      <c r="C56" s="107"/>
      <c r="D56" s="107"/>
      <c r="E56" s="107"/>
      <c r="K56" s="107"/>
      <c r="L56" s="107"/>
      <c r="M56" s="107"/>
      <c r="S56" s="9"/>
      <c r="Y56" s="9"/>
      <c r="Z56" s="9"/>
      <c r="AA56" s="109" t="s">
        <v>65</v>
      </c>
      <c r="AB56" s="109"/>
      <c r="AC56" s="109">
        <v>57</v>
      </c>
      <c r="AD56" s="109"/>
      <c r="AE56" s="109"/>
      <c r="AF56" s="9"/>
      <c r="AG56" s="9"/>
      <c r="AH56" s="9"/>
      <c r="AI56" s="9"/>
    </row>
    <row r="57" customFormat="1" ht="18" customHeight="1" spans="1:35">
      <c r="A57" s="9"/>
      <c r="B57" s="9"/>
      <c r="C57" s="107"/>
      <c r="D57" s="107"/>
      <c r="E57" s="107"/>
      <c r="K57" s="107"/>
      <c r="L57" s="107"/>
      <c r="M57" s="107"/>
      <c r="S57" s="9"/>
      <c r="Y57" s="9"/>
      <c r="Z57" s="9"/>
      <c r="AA57" s="111" t="s">
        <v>20</v>
      </c>
      <c r="AB57" s="111"/>
      <c r="AC57" s="111">
        <v>387</v>
      </c>
      <c r="AD57" s="111"/>
      <c r="AE57" s="111"/>
      <c r="AF57" s="9"/>
      <c r="AG57" s="9"/>
      <c r="AH57" s="9"/>
      <c r="AI57" s="9"/>
    </row>
    <row r="58" customFormat="1" ht="18" customHeight="1" spans="1:35">
      <c r="A58" s="9"/>
      <c r="B58" s="9"/>
      <c r="C58" s="107"/>
      <c r="D58" s="107"/>
      <c r="E58" s="123"/>
      <c r="K58" s="123"/>
      <c r="L58" s="123"/>
      <c r="M58" s="123"/>
      <c r="S58" s="9"/>
      <c r="Y58" s="9"/>
      <c r="Z58" s="9"/>
      <c r="AA58" s="109" t="s">
        <v>5</v>
      </c>
      <c r="AB58" s="109"/>
      <c r="AC58" s="109">
        <v>664209</v>
      </c>
      <c r="AD58" s="109"/>
      <c r="AE58" s="109"/>
      <c r="AF58" s="9"/>
      <c r="AG58" s="9"/>
      <c r="AH58" s="9"/>
      <c r="AI58" s="9"/>
    </row>
    <row r="59" customFormat="1" spans="1:35">
      <c r="A59" s="9"/>
      <c r="B59" s="9"/>
      <c r="C59" s="113"/>
      <c r="D59" s="113"/>
      <c r="E59" s="113"/>
      <c r="K59" s="113"/>
      <c r="L59" s="113"/>
      <c r="M59" s="113"/>
      <c r="S59" s="9"/>
      <c r="Y59" s="9"/>
      <c r="Z59" s="9"/>
      <c r="AA59" s="109" t="s">
        <v>21</v>
      </c>
      <c r="AB59" s="109"/>
      <c r="AC59" s="109">
        <v>4105</v>
      </c>
      <c r="AD59" s="109"/>
      <c r="AE59" s="109"/>
      <c r="AF59" s="9"/>
      <c r="AG59" s="9"/>
      <c r="AH59" s="9"/>
      <c r="AI59" s="9"/>
    </row>
    <row r="60" spans="1:35">
      <c r="C60" s="113"/>
      <c r="D60" s="113"/>
      <c r="E60" s="113"/>
      <c r="K60" s="113"/>
      <c r="L60" s="113"/>
      <c r="M60" s="113"/>
      <c r="AA60" s="109" t="s">
        <v>23</v>
      </c>
      <c r="AB60" s="109"/>
      <c r="AC60" s="112">
        <v>161.804872107186</v>
      </c>
      <c r="AD60" s="112"/>
      <c r="AE60" s="112"/>
    </row>
  </sheetData>
  <mergeCells count="30">
    <mergeCell ref="A3:B3"/>
    <mergeCell ref="A11:B11"/>
    <mergeCell ref="A17:B17"/>
    <mergeCell ref="A18:B18"/>
    <mergeCell ref="A29:B29"/>
    <mergeCell ref="A30:B30"/>
    <mergeCell ref="A31:B31"/>
    <mergeCell ref="A45:B45"/>
    <mergeCell ref="A46:B46"/>
    <mergeCell ref="A47:B47"/>
    <mergeCell ref="C49:G49"/>
    <mergeCell ref="AA51:AE51"/>
    <mergeCell ref="AA52:AB52"/>
    <mergeCell ref="AC52:AE52"/>
    <mergeCell ref="AA53:AB53"/>
    <mergeCell ref="AC53:AE53"/>
    <mergeCell ref="AA54:AB54"/>
    <mergeCell ref="AC54:AE54"/>
    <mergeCell ref="AA55:AB55"/>
    <mergeCell ref="AC55:AE55"/>
    <mergeCell ref="AA56:AB56"/>
    <mergeCell ref="AC56:AE56"/>
    <mergeCell ref="AA57:AB57"/>
    <mergeCell ref="AC57:AE57"/>
    <mergeCell ref="AA58:AB58"/>
    <mergeCell ref="AC58:AE58"/>
    <mergeCell ref="AA59:AB59"/>
    <mergeCell ref="AC59:AE59"/>
    <mergeCell ref="AA60:AB60"/>
    <mergeCell ref="AC60:AE6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A1" sqref="$A1:$XFD1048576"/>
    </sheetView>
  </sheetViews>
  <sheetFormatPr defaultColWidth="19.3703703703704" defaultRowHeight="14.4"/>
  <cols>
    <col min="1" max="1" width="9.62962962962963" style="62" customWidth="1"/>
    <col min="2" max="9" width="19.3703703703704" style="62" customWidth="1"/>
    <col min="10" max="10" width="12.3703703703704" style="62" customWidth="1"/>
    <col min="11" max="16384" width="19.3703703703704" style="62" customWidth="1"/>
  </cols>
  <sheetData>
    <row r="1" s="62" customFormat="1" ht="32.4" spans="1:10">
      <c r="A1" s="63" t="s">
        <v>66</v>
      </c>
      <c r="B1" s="64" t="s">
        <v>67</v>
      </c>
      <c r="C1" s="64" t="s">
        <v>68</v>
      </c>
      <c r="D1" s="64" t="s">
        <v>69</v>
      </c>
      <c r="E1" s="65" t="s">
        <v>70</v>
      </c>
      <c r="F1" s="66" t="s">
        <v>71</v>
      </c>
    </row>
    <row r="2" s="62" customFormat="1" ht="15.6" spans="1:10">
      <c r="A2" s="67">
        <v>45839</v>
      </c>
      <c r="B2" s="68">
        <v>273309</v>
      </c>
      <c r="C2" s="68">
        <v>434710</v>
      </c>
      <c r="D2" s="68">
        <v>29670</v>
      </c>
      <c r="E2" s="69">
        <v>54264</v>
      </c>
      <c r="F2" s="68">
        <f t="shared" ref="F2:F32" si="0">SUM(B2:D2)-E2</f>
        <v>683425</v>
      </c>
    </row>
    <row r="3" s="62" customFormat="1" ht="15.6" spans="1:10">
      <c r="A3" s="67">
        <f t="shared" ref="A3:A32" si="1">A2+1</f>
        <v>45840</v>
      </c>
      <c r="B3" s="68">
        <v>272222</v>
      </c>
      <c r="C3" s="68">
        <v>452733</v>
      </c>
      <c r="D3" s="68">
        <v>29157</v>
      </c>
      <c r="E3" s="69">
        <v>50575</v>
      </c>
      <c r="F3" s="68">
        <f t="shared" si="0"/>
        <v>703537</v>
      </c>
    </row>
    <row r="4" s="62" customFormat="1" ht="15.6" spans="1:10">
      <c r="A4" s="67">
        <f t="shared" si="1"/>
        <v>45841</v>
      </c>
      <c r="B4" s="68">
        <v>257205</v>
      </c>
      <c r="C4" s="68">
        <v>461131</v>
      </c>
      <c r="D4" s="68">
        <v>27925</v>
      </c>
      <c r="E4" s="69">
        <v>56168</v>
      </c>
      <c r="F4" s="68">
        <f t="shared" si="0"/>
        <v>690093</v>
      </c>
    </row>
    <row r="5" s="62" customFormat="1" ht="15.6" spans="1:10">
      <c r="A5" s="67">
        <f t="shared" si="1"/>
        <v>45842</v>
      </c>
      <c r="B5" s="68">
        <v>276720</v>
      </c>
      <c r="C5" s="68">
        <v>488345</v>
      </c>
      <c r="D5" s="68">
        <v>30491</v>
      </c>
      <c r="E5" s="69">
        <v>65569</v>
      </c>
      <c r="F5" s="68">
        <f t="shared" si="0"/>
        <v>729987</v>
      </c>
    </row>
    <row r="6" s="62" customFormat="1" ht="15.6" spans="1:10">
      <c r="A6" s="67">
        <f t="shared" si="1"/>
        <v>45843</v>
      </c>
      <c r="B6" s="68">
        <v>285230</v>
      </c>
      <c r="C6" s="68">
        <v>484235</v>
      </c>
      <c r="D6" s="68">
        <v>27547</v>
      </c>
      <c r="E6" s="69">
        <v>47600</v>
      </c>
      <c r="F6" s="68">
        <f t="shared" si="0"/>
        <v>749412</v>
      </c>
    </row>
    <row r="7" s="62" customFormat="1" ht="15.6" spans="1:10">
      <c r="A7" s="67">
        <f t="shared" si="1"/>
        <v>45844</v>
      </c>
      <c r="B7" s="68">
        <v>292697</v>
      </c>
      <c r="C7" s="68">
        <v>477917</v>
      </c>
      <c r="D7" s="68">
        <v>21964</v>
      </c>
      <c r="E7" s="69">
        <v>83895</v>
      </c>
      <c r="F7" s="68">
        <f t="shared" si="0"/>
        <v>708683</v>
      </c>
    </row>
    <row r="8" s="62" customFormat="1" ht="15.6" spans="1:10">
      <c r="A8" s="67">
        <f t="shared" si="1"/>
        <v>45845</v>
      </c>
      <c r="B8" s="68">
        <v>272889</v>
      </c>
      <c r="C8" s="68">
        <v>460241</v>
      </c>
      <c r="D8" s="68">
        <v>24996</v>
      </c>
      <c r="E8" s="69">
        <v>56049</v>
      </c>
      <c r="F8" s="68">
        <f t="shared" si="0"/>
        <v>702077</v>
      </c>
    </row>
    <row r="9" s="62" customFormat="1" ht="15.6" spans="1:10">
      <c r="A9" s="67">
        <f t="shared" si="1"/>
        <v>45846</v>
      </c>
      <c r="B9" s="68">
        <v>281580</v>
      </c>
      <c r="C9" s="68">
        <v>492283</v>
      </c>
      <c r="D9" s="68">
        <v>28167</v>
      </c>
      <c r="E9" s="69">
        <v>67711</v>
      </c>
      <c r="F9" s="68">
        <f t="shared" si="0"/>
        <v>734319</v>
      </c>
      <c r="I9" s="57"/>
      <c r="J9" s="57"/>
    </row>
    <row r="10" s="62" customFormat="1" ht="15.6" spans="1:10">
      <c r="A10" s="67">
        <f t="shared" si="1"/>
        <v>45847</v>
      </c>
      <c r="B10" s="68">
        <v>292358</v>
      </c>
      <c r="C10" s="68">
        <v>499517</v>
      </c>
      <c r="D10" s="68">
        <v>28253</v>
      </c>
      <c r="E10" s="69">
        <v>69020</v>
      </c>
      <c r="F10" s="68">
        <f t="shared" si="0"/>
        <v>751108</v>
      </c>
      <c r="I10" s="57"/>
      <c r="J10" s="57"/>
    </row>
    <row r="11" s="62" customFormat="1" ht="15.6" spans="1:10">
      <c r="A11" s="67">
        <f t="shared" si="1"/>
        <v>45848</v>
      </c>
      <c r="B11" s="68">
        <v>277205</v>
      </c>
      <c r="C11" s="68">
        <v>483220</v>
      </c>
      <c r="D11" s="68">
        <v>28072</v>
      </c>
      <c r="E11" s="69">
        <v>72709</v>
      </c>
      <c r="F11" s="68">
        <f t="shared" si="0"/>
        <v>715788</v>
      </c>
      <c r="I11" s="57"/>
      <c r="J11" s="57"/>
    </row>
    <row r="12" s="62" customFormat="1" ht="15.6" spans="1:10">
      <c r="A12" s="67">
        <f t="shared" si="1"/>
        <v>45849</v>
      </c>
      <c r="B12" s="68">
        <v>294003</v>
      </c>
      <c r="C12" s="68">
        <v>477121</v>
      </c>
      <c r="D12" s="68">
        <v>30543</v>
      </c>
      <c r="E12" s="69">
        <v>84490</v>
      </c>
      <c r="F12" s="68">
        <f t="shared" si="0"/>
        <v>717177</v>
      </c>
      <c r="I12" s="57"/>
      <c r="J12" s="57"/>
    </row>
    <row r="13" s="62" customFormat="1" ht="15.6" spans="1:10">
      <c r="A13" s="67">
        <f t="shared" si="1"/>
        <v>45850</v>
      </c>
      <c r="B13" s="68">
        <v>289464</v>
      </c>
      <c r="C13" s="68">
        <v>471614</v>
      </c>
      <c r="D13" s="68">
        <v>24777</v>
      </c>
      <c r="E13" s="69">
        <v>73780</v>
      </c>
      <c r="F13" s="68">
        <f t="shared" si="0"/>
        <v>712075</v>
      </c>
      <c r="I13" s="57"/>
      <c r="J13" s="57"/>
    </row>
    <row r="14" s="62" customFormat="1" ht="15.6" spans="1:10">
      <c r="A14" s="67">
        <f t="shared" si="1"/>
        <v>45851</v>
      </c>
      <c r="B14" s="68">
        <v>272432</v>
      </c>
      <c r="C14" s="68">
        <v>440130</v>
      </c>
      <c r="D14" s="68">
        <v>20896</v>
      </c>
      <c r="E14" s="69">
        <v>66640</v>
      </c>
      <c r="F14" s="68">
        <f t="shared" si="0"/>
        <v>666818</v>
      </c>
      <c r="I14" s="57"/>
      <c r="J14" s="57"/>
    </row>
    <row r="15" s="62" customFormat="1" ht="15.6" spans="1:10">
      <c r="A15" s="67">
        <f t="shared" si="1"/>
        <v>45852</v>
      </c>
      <c r="B15" s="68">
        <v>262848</v>
      </c>
      <c r="C15" s="68">
        <v>407176</v>
      </c>
      <c r="D15" s="68">
        <v>28302</v>
      </c>
      <c r="E15" s="69">
        <v>30821</v>
      </c>
      <c r="F15" s="68">
        <f t="shared" si="0"/>
        <v>667505</v>
      </c>
      <c r="I15" s="57"/>
      <c r="J15" s="57"/>
    </row>
    <row r="16" s="62" customFormat="1" ht="15.6" spans="1:10">
      <c r="A16" s="67">
        <f t="shared" si="1"/>
        <v>45853</v>
      </c>
      <c r="B16" s="68">
        <v>292742</v>
      </c>
      <c r="C16" s="68">
        <v>427112</v>
      </c>
      <c r="D16" s="68">
        <v>28313</v>
      </c>
      <c r="E16" s="69">
        <v>36652</v>
      </c>
      <c r="F16" s="68">
        <f t="shared" si="0"/>
        <v>711515</v>
      </c>
      <c r="I16" s="57"/>
      <c r="J16" s="57"/>
    </row>
    <row r="17" s="62" customFormat="1" ht="15.6" spans="1:10">
      <c r="A17" s="67">
        <f t="shared" si="1"/>
        <v>45854</v>
      </c>
      <c r="B17" s="68">
        <v>283335</v>
      </c>
      <c r="C17" s="68">
        <v>461277</v>
      </c>
      <c r="D17" s="68">
        <v>27970</v>
      </c>
      <c r="E17" s="69">
        <v>75684</v>
      </c>
      <c r="F17" s="68">
        <f t="shared" si="0"/>
        <v>696898</v>
      </c>
      <c r="I17" s="57"/>
      <c r="J17" s="57"/>
    </row>
    <row r="18" s="62" customFormat="1" ht="15.6" spans="1:10">
      <c r="A18" s="67">
        <f t="shared" si="1"/>
        <v>45855</v>
      </c>
      <c r="B18" s="70">
        <v>308793</v>
      </c>
      <c r="C18" s="70">
        <v>464891</v>
      </c>
      <c r="D18" s="70">
        <v>28673</v>
      </c>
      <c r="E18" s="71">
        <v>78897</v>
      </c>
      <c r="F18" s="68">
        <f t="shared" si="0"/>
        <v>723460</v>
      </c>
      <c r="I18" s="57"/>
      <c r="J18" s="57"/>
    </row>
    <row r="19" s="62" customFormat="1" ht="15.6" spans="1:10">
      <c r="A19" s="67">
        <f t="shared" si="1"/>
        <v>45856</v>
      </c>
      <c r="B19" s="70">
        <v>299376</v>
      </c>
      <c r="C19" s="70">
        <v>442351</v>
      </c>
      <c r="D19" s="68">
        <v>30132</v>
      </c>
      <c r="E19" s="69">
        <v>59143</v>
      </c>
      <c r="F19" s="68">
        <f t="shared" si="0"/>
        <v>712716</v>
      </c>
    </row>
    <row r="20" s="62" customFormat="1" ht="15.6" spans="1:10">
      <c r="A20" s="67">
        <f t="shared" si="1"/>
        <v>45857</v>
      </c>
      <c r="B20" s="68">
        <v>306694</v>
      </c>
      <c r="C20" s="68">
        <v>470961</v>
      </c>
      <c r="D20" s="68">
        <v>23792</v>
      </c>
      <c r="E20" s="69">
        <v>83657</v>
      </c>
      <c r="F20" s="68">
        <f t="shared" si="0"/>
        <v>717790</v>
      </c>
      <c r="H20" s="72"/>
    </row>
    <row r="21" s="62" customFormat="1" ht="15.6" spans="1:10">
      <c r="A21" s="67">
        <f t="shared" si="1"/>
        <v>45858</v>
      </c>
      <c r="B21" s="68">
        <v>307304</v>
      </c>
      <c r="C21" s="68">
        <v>412298</v>
      </c>
      <c r="D21" s="68">
        <v>19844</v>
      </c>
      <c r="E21" s="69">
        <v>39865</v>
      </c>
      <c r="F21" s="68">
        <f t="shared" si="0"/>
        <v>699581</v>
      </c>
    </row>
    <row r="22" s="62" customFormat="1" ht="15.6" spans="1:10">
      <c r="A22" s="67">
        <f t="shared" si="1"/>
        <v>45859</v>
      </c>
      <c r="B22" s="68">
        <v>301260</v>
      </c>
      <c r="C22" s="68">
        <v>424017</v>
      </c>
      <c r="D22" s="68">
        <v>26224</v>
      </c>
      <c r="E22" s="69">
        <v>64855</v>
      </c>
      <c r="F22" s="68">
        <f t="shared" si="0"/>
        <v>686646</v>
      </c>
    </row>
    <row r="23" s="62" customFormat="1" ht="15.6" spans="1:10">
      <c r="A23" s="67">
        <f t="shared" si="1"/>
        <v>45860</v>
      </c>
      <c r="B23" s="68">
        <v>285327</v>
      </c>
      <c r="C23" s="68">
        <v>435198</v>
      </c>
      <c r="D23" s="68">
        <v>30647</v>
      </c>
      <c r="E23" s="69">
        <v>69020</v>
      </c>
      <c r="F23" s="68">
        <f t="shared" si="0"/>
        <v>682152</v>
      </c>
    </row>
    <row r="24" s="62" customFormat="1" ht="15.6" spans="1:10">
      <c r="A24" s="67">
        <f t="shared" si="1"/>
        <v>45861</v>
      </c>
      <c r="B24" s="68">
        <v>316606</v>
      </c>
      <c r="C24" s="68">
        <v>480118</v>
      </c>
      <c r="D24" s="68">
        <v>30061</v>
      </c>
      <c r="E24" s="69">
        <v>93296</v>
      </c>
      <c r="F24" s="68">
        <f t="shared" si="0"/>
        <v>733489</v>
      </c>
    </row>
    <row r="25" s="62" customFormat="1" ht="15.6" spans="1:10">
      <c r="A25" s="67">
        <f t="shared" si="1"/>
        <v>45862</v>
      </c>
      <c r="B25" s="68">
        <v>289075</v>
      </c>
      <c r="C25" s="68">
        <v>435863</v>
      </c>
      <c r="D25" s="68">
        <v>28562</v>
      </c>
      <c r="E25" s="69">
        <v>57358</v>
      </c>
      <c r="F25" s="68">
        <f t="shared" si="0"/>
        <v>696142</v>
      </c>
    </row>
    <row r="26" s="62" customFormat="1" ht="15.6" spans="1:10">
      <c r="A26" s="67">
        <f t="shared" si="1"/>
        <v>45863</v>
      </c>
      <c r="B26" s="68">
        <v>285717</v>
      </c>
      <c r="C26" s="68">
        <v>451015</v>
      </c>
      <c r="D26" s="68">
        <v>31043</v>
      </c>
      <c r="E26" s="69">
        <v>75089</v>
      </c>
      <c r="F26" s="68">
        <f t="shared" si="0"/>
        <v>692686</v>
      </c>
    </row>
    <row r="27" s="62" customFormat="1" ht="15.6" spans="1:10">
      <c r="A27" s="67">
        <f t="shared" si="1"/>
        <v>45864</v>
      </c>
      <c r="B27" s="68">
        <v>276375</v>
      </c>
      <c r="C27" s="68">
        <v>442593</v>
      </c>
      <c r="D27" s="68">
        <v>23586</v>
      </c>
      <c r="E27" s="69">
        <v>81158</v>
      </c>
      <c r="F27" s="68">
        <f t="shared" si="0"/>
        <v>661396</v>
      </c>
    </row>
    <row r="28" s="62" customFormat="1" ht="15.6" spans="1:10">
      <c r="A28" s="67">
        <f t="shared" si="1"/>
        <v>45865</v>
      </c>
      <c r="B28" s="68">
        <v>287213</v>
      </c>
      <c r="C28" s="68">
        <v>428034</v>
      </c>
      <c r="D28" s="68">
        <v>21186</v>
      </c>
      <c r="E28" s="69">
        <v>71638</v>
      </c>
      <c r="F28" s="68">
        <f t="shared" si="0"/>
        <v>664795</v>
      </c>
    </row>
    <row r="29" s="62" customFormat="1" ht="15.6" spans="1:10">
      <c r="A29" s="67">
        <f t="shared" si="1"/>
        <v>45866</v>
      </c>
      <c r="B29" s="68">
        <v>266080</v>
      </c>
      <c r="C29" s="68">
        <v>374070</v>
      </c>
      <c r="D29" s="68">
        <v>25450</v>
      </c>
      <c r="E29" s="69">
        <v>25585</v>
      </c>
      <c r="F29" s="68">
        <f t="shared" si="0"/>
        <v>640015</v>
      </c>
    </row>
    <row r="30" s="62" customFormat="1" ht="15.6" spans="1:10">
      <c r="A30" s="67">
        <f t="shared" si="1"/>
        <v>45867</v>
      </c>
      <c r="B30" s="68">
        <v>264254</v>
      </c>
      <c r="C30" s="68">
        <v>437203</v>
      </c>
      <c r="D30" s="68">
        <v>26598</v>
      </c>
      <c r="E30" s="69">
        <v>76993</v>
      </c>
      <c r="F30" s="68">
        <f t="shared" si="0"/>
        <v>651062</v>
      </c>
    </row>
    <row r="31" s="62" customFormat="1" ht="15.6" spans="1:10">
      <c r="A31" s="67">
        <f t="shared" si="1"/>
        <v>45868</v>
      </c>
      <c r="B31" s="68">
        <v>254621</v>
      </c>
      <c r="C31" s="68">
        <v>424588</v>
      </c>
      <c r="D31" s="68">
        <v>27213</v>
      </c>
      <c r="E31" s="69">
        <v>54740</v>
      </c>
      <c r="F31" s="68">
        <f t="shared" si="0"/>
        <v>651682</v>
      </c>
    </row>
    <row r="32" s="62" customFormat="1" ht="15.6" spans="1:10">
      <c r="A32" s="67">
        <f t="shared" si="1"/>
        <v>45869</v>
      </c>
      <c r="B32" s="68">
        <v>273807</v>
      </c>
      <c r="C32" s="68">
        <v>420393</v>
      </c>
      <c r="D32" s="68">
        <v>27367</v>
      </c>
      <c r="E32" s="69">
        <v>57358</v>
      </c>
      <c r="F32" s="68">
        <f t="shared" si="0"/>
        <v>664209</v>
      </c>
    </row>
    <row r="33" s="62" customFormat="1" ht="15.6" spans="1:6">
      <c r="A33" s="68" t="s">
        <v>71</v>
      </c>
      <c r="B33" s="68">
        <f t="shared" ref="B33:F33" si="2">SUM(B2:B32)</f>
        <v>8798741</v>
      </c>
      <c r="C33" s="68">
        <f t="shared" si="2"/>
        <v>13962355</v>
      </c>
      <c r="D33" s="68">
        <f t="shared" si="2"/>
        <v>837421</v>
      </c>
      <c r="E33" s="69">
        <f t="shared" si="2"/>
        <v>1980279</v>
      </c>
      <c r="F33" s="68">
        <f t="shared" si="2"/>
        <v>21618238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0"/>
  <sheetViews>
    <sheetView workbookViewId="0">
      <selection activeCell="A1" sqref="$A1:$XFD1048576"/>
    </sheetView>
  </sheetViews>
  <sheetFormatPr defaultColWidth="9" defaultRowHeight="14.4"/>
  <cols>
    <col min="1" max="1" width="9" style="9"/>
    <col min="2" max="2" width="18.5" style="9" customWidth="1"/>
    <col min="3" max="3" width="11.6296296296296" style="9" hidden="1" customWidth="1"/>
    <col min="4" max="4" width="12.1296296296296" style="9" hidden="1" customWidth="1"/>
    <col min="5" max="15" width="10.212962962963" style="9" hidden="1" customWidth="1"/>
    <col min="16" max="16" width="10.6296296296296" style="9" hidden="1" customWidth="1"/>
    <col min="17" max="21" width="10.212962962963" style="9" hidden="1" customWidth="1"/>
    <col min="22" max="22" width="12.6296296296296" style="9" hidden="1" customWidth="1"/>
    <col min="23" max="23" width="10.212962962963" style="9" hidden="1" customWidth="1"/>
    <col min="24" max="24" width="11.4814814814815" style="9" customWidth="1"/>
    <col min="25" max="27" width="10.212962962963" style="9" customWidth="1"/>
    <col min="28" max="28" width="11.6296296296296" style="9" customWidth="1"/>
    <col min="29" max="33" width="10.212962962963" style="9" customWidth="1"/>
    <col min="34" max="34" width="13.8796296296296" style="9" customWidth="1"/>
    <col min="35" max="35" width="12.787037037037" style="9"/>
    <col min="36" max="36" width="12.6296296296296"/>
  </cols>
  <sheetData>
    <row r="1" customFormat="1" ht="17.4" spans="1:35">
      <c r="A1" s="73" t="s">
        <v>79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9"/>
    </row>
    <row r="2" customFormat="1" ht="17.4" spans="1:35">
      <c r="A2" s="74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9"/>
    </row>
    <row r="3" s="7" customFormat="1" ht="15.6" spans="1:35">
      <c r="A3" s="14" t="s">
        <v>1</v>
      </c>
      <c r="B3" s="14"/>
      <c r="C3" s="15">
        <v>45870</v>
      </c>
      <c r="D3" s="15">
        <f t="shared" ref="D3:AG3" si="0">C3+1</f>
        <v>45871</v>
      </c>
      <c r="E3" s="15">
        <f t="shared" si="0"/>
        <v>45872</v>
      </c>
      <c r="F3" s="15">
        <f t="shared" si="0"/>
        <v>45873</v>
      </c>
      <c r="G3" s="15">
        <f t="shared" si="0"/>
        <v>45874</v>
      </c>
      <c r="H3" s="15">
        <f t="shared" si="0"/>
        <v>45875</v>
      </c>
      <c r="I3" s="15">
        <f t="shared" si="0"/>
        <v>45876</v>
      </c>
      <c r="J3" s="15">
        <f t="shared" si="0"/>
        <v>45877</v>
      </c>
      <c r="K3" s="15">
        <f t="shared" si="0"/>
        <v>45878</v>
      </c>
      <c r="L3" s="15">
        <f t="shared" si="0"/>
        <v>45879</v>
      </c>
      <c r="M3" s="15">
        <f t="shared" si="0"/>
        <v>45880</v>
      </c>
      <c r="N3" s="15">
        <f t="shared" si="0"/>
        <v>45881</v>
      </c>
      <c r="O3" s="15">
        <f t="shared" si="0"/>
        <v>45882</v>
      </c>
      <c r="P3" s="15">
        <f t="shared" si="0"/>
        <v>45883</v>
      </c>
      <c r="Q3" s="15">
        <f t="shared" si="0"/>
        <v>45884</v>
      </c>
      <c r="R3" s="15">
        <f t="shared" si="0"/>
        <v>45885</v>
      </c>
      <c r="S3" s="15">
        <f t="shared" si="0"/>
        <v>45886</v>
      </c>
      <c r="T3" s="15">
        <f t="shared" si="0"/>
        <v>45887</v>
      </c>
      <c r="U3" s="15">
        <f t="shared" si="0"/>
        <v>45888</v>
      </c>
      <c r="V3" s="15">
        <f t="shared" si="0"/>
        <v>45889</v>
      </c>
      <c r="W3" s="15">
        <f t="shared" si="0"/>
        <v>45890</v>
      </c>
      <c r="X3" s="15">
        <f t="shared" si="0"/>
        <v>45891</v>
      </c>
      <c r="Y3" s="15">
        <f t="shared" si="0"/>
        <v>45892</v>
      </c>
      <c r="Z3" s="15">
        <f t="shared" si="0"/>
        <v>45893</v>
      </c>
      <c r="AA3" s="15">
        <f t="shared" si="0"/>
        <v>45894</v>
      </c>
      <c r="AB3" s="15">
        <f t="shared" si="0"/>
        <v>45895</v>
      </c>
      <c r="AC3" s="15">
        <f t="shared" si="0"/>
        <v>45896</v>
      </c>
      <c r="AD3" s="15">
        <f t="shared" si="0"/>
        <v>45897</v>
      </c>
      <c r="AE3" s="15">
        <f t="shared" si="0"/>
        <v>45898</v>
      </c>
      <c r="AF3" s="15">
        <f t="shared" si="0"/>
        <v>45899</v>
      </c>
      <c r="AG3" s="15">
        <f t="shared" si="0"/>
        <v>45900</v>
      </c>
      <c r="AH3" s="76" t="s">
        <v>2</v>
      </c>
    </row>
    <row r="4" s="7" customFormat="1" ht="15.6" spans="1:35">
      <c r="A4" s="14"/>
      <c r="B4" s="14"/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  <c r="K4" s="17" t="s">
        <v>3</v>
      </c>
      <c r="L4" s="17" t="s">
        <v>3</v>
      </c>
      <c r="M4" s="17" t="s">
        <v>3</v>
      </c>
      <c r="N4" s="17" t="s">
        <v>3</v>
      </c>
      <c r="O4" s="17" t="s">
        <v>3</v>
      </c>
      <c r="P4" s="17" t="s">
        <v>3</v>
      </c>
      <c r="Q4" s="17" t="s">
        <v>3</v>
      </c>
      <c r="R4" s="17" t="s">
        <v>3</v>
      </c>
      <c r="S4" s="17" t="s">
        <v>3</v>
      </c>
      <c r="T4" s="17" t="s">
        <v>3</v>
      </c>
      <c r="U4" s="17" t="s">
        <v>3</v>
      </c>
      <c r="V4" s="17" t="s">
        <v>3</v>
      </c>
      <c r="W4" s="17" t="s">
        <v>3</v>
      </c>
      <c r="X4" s="17" t="s">
        <v>3</v>
      </c>
      <c r="Y4" s="17" t="s">
        <v>3</v>
      </c>
      <c r="Z4" s="17" t="s">
        <v>3</v>
      </c>
      <c r="AA4" s="17" t="s">
        <v>3</v>
      </c>
      <c r="AB4" s="17" t="s">
        <v>3</v>
      </c>
      <c r="AC4" s="17" t="s">
        <v>3</v>
      </c>
      <c r="AD4" s="17" t="s">
        <v>3</v>
      </c>
      <c r="AE4" s="17" t="s">
        <v>3</v>
      </c>
      <c r="AF4" s="17" t="s">
        <v>3</v>
      </c>
      <c r="AG4" s="17" t="s">
        <v>3</v>
      </c>
      <c r="AH4" s="17" t="s">
        <v>3</v>
      </c>
    </row>
    <row r="5" customFormat="1" spans="1:35">
      <c r="A5" s="77" t="s">
        <v>4</v>
      </c>
      <c r="B5" s="78" t="s">
        <v>5</v>
      </c>
      <c r="C5" s="79">
        <f>SUMIFS('8月处理量'!$F:$F,'8月处理量'!$A:$A,C3)</f>
        <v>650583</v>
      </c>
      <c r="D5" s="79">
        <f>SUMIFS('8月处理量'!$F:$F,'8月处理量'!$A:$A,D3)</f>
        <v>676353</v>
      </c>
      <c r="E5" s="79">
        <f>SUMIFS('8月处理量'!$F:$F,'8月处理量'!$A:$A,E3)</f>
        <v>672508</v>
      </c>
      <c r="F5" s="79">
        <f>SUMIFS('8月处理量'!$F:$F,'8月处理量'!$A:$A,F3)</f>
        <v>650310</v>
      </c>
      <c r="G5" s="79">
        <f>SUMIFS('8月处理量'!$F:$F,'8月处理量'!$A:$A,G3)</f>
        <v>665521</v>
      </c>
      <c r="H5" s="79">
        <f>SUMIFS('8月处理量'!$F:$F,'8月处理量'!$A:$A,H3)</f>
        <v>673181</v>
      </c>
      <c r="I5" s="79">
        <f>SUMIFS('8月处理量'!$F:$F,'8月处理量'!$A:$A,I3)</f>
        <v>696859</v>
      </c>
      <c r="J5" s="79">
        <f>SUMIFS('8月处理量'!$F:$F,'8月处理量'!$A:$A,J3)</f>
        <v>719725</v>
      </c>
      <c r="K5" s="79">
        <f>SUMIFS('8月处理量'!$F:$F,'8月处理量'!$A:$A,K3)</f>
        <v>731416</v>
      </c>
      <c r="L5" s="79">
        <f>SUMIFS('8月处理量'!$F:$F,'8月处理量'!$A:$A,L3)</f>
        <v>721149</v>
      </c>
      <c r="M5" s="79">
        <f>SUMIFS('8月处理量'!$F:$F,'8月处理量'!$A:$A,M3)</f>
        <v>697883</v>
      </c>
      <c r="N5" s="79">
        <f>SUMIFS('8月处理量'!$F:$F,'8月处理量'!$A:$A,N3)</f>
        <v>744773</v>
      </c>
      <c r="O5" s="79">
        <f>SUMIFS('8月处理量'!$F:$F,'8月处理量'!$A:$A,O3)</f>
        <v>758949</v>
      </c>
      <c r="P5" s="79">
        <f>SUMIFS('8月处理量'!$F:$F,'8月处理量'!$A:$A,P3)</f>
        <v>750944</v>
      </c>
      <c r="Q5" s="79">
        <f>SUMIFS('8月处理量'!$F:$F,'8月处理量'!$A:$A,Q3)</f>
        <v>775017</v>
      </c>
      <c r="R5" s="79">
        <f>SUMIFS('8月处理量'!$F:$F,'8月处理量'!$A:$A,R3)</f>
        <v>740372</v>
      </c>
      <c r="S5" s="79">
        <f>SUMIFS('8月处理量'!$F:$F,'8月处理量'!$A:$A,S3)</f>
        <v>733678</v>
      </c>
      <c r="T5" s="79">
        <f>SUMIFS('8月处理量'!$F:$F,'8月处理量'!$A:$A,T3)</f>
        <v>721378</v>
      </c>
      <c r="U5" s="79">
        <f>SUMIFS('8月处理量'!$F:$F,'8月处理量'!$A:$A,U3)</f>
        <v>723486</v>
      </c>
      <c r="V5" s="79">
        <f>SUMIFS('8月处理量'!$F:$F,'8月处理量'!$A:$A,V3)</f>
        <v>774707</v>
      </c>
      <c r="W5" s="79">
        <f>SUMIFS('8月处理量'!$F:$F,'8月处理量'!$A:$A,W3)</f>
        <v>776471</v>
      </c>
      <c r="X5" s="79">
        <f>SUMIFS('8月处理量'!$F:$F,'8月处理量'!$A:$A,X3)</f>
        <v>770174</v>
      </c>
      <c r="Y5" s="79">
        <f>SUMIFS('8月处理量'!$F:$F,'8月处理量'!$A:$A,Y3)</f>
        <v>806069</v>
      </c>
      <c r="Z5" s="79">
        <f>SUMIFS('8月处理量'!$F:$F,'8月处理量'!$A:$A,Z3)</f>
        <v>787922</v>
      </c>
      <c r="AA5" s="79">
        <f>SUMIFS('8月处理量'!$F:$F,'8月处理量'!$A:$A,AA3)</f>
        <v>750111</v>
      </c>
      <c r="AB5" s="79">
        <f>SUMIFS('8月处理量'!$F:$F,'8月处理量'!$A:$A,AB3)</f>
        <v>803610</v>
      </c>
      <c r="AC5" s="79">
        <f>SUMIFS('8月处理量'!$F:$F,'8月处理量'!$A:$A,AC3)</f>
        <v>809391</v>
      </c>
      <c r="AD5" s="79">
        <f>SUMIFS('8月处理量'!$F:$F,'8月处理量'!$A:$A,AD3)</f>
        <v>831042</v>
      </c>
      <c r="AE5" s="79">
        <f>SUMIFS('8月处理量'!$F:$F,'8月处理量'!$A:$A,AE3)</f>
        <v>829254</v>
      </c>
      <c r="AF5" s="79">
        <f>SUMIFS('8月处理量'!$F:$F,'8月处理量'!$A:$A,AF3)</f>
        <v>827736</v>
      </c>
      <c r="AG5" s="79">
        <f>SUMIFS('8月处理量'!$F:$F,'8月处理量'!$A:$A,AG3)</f>
        <v>814355</v>
      </c>
      <c r="AH5" s="87">
        <f t="shared" ref="AH5:AH16" si="1">SUM(C5:AG5)</f>
        <v>23084927</v>
      </c>
      <c r="AI5" s="9"/>
    </row>
    <row r="6" customFormat="1" spans="1:35">
      <c r="A6" s="77" t="s">
        <v>6</v>
      </c>
      <c r="B6" s="78" t="s">
        <v>7</v>
      </c>
      <c r="C6" s="80">
        <v>0.1667</v>
      </c>
      <c r="D6" s="80">
        <v>0.1667</v>
      </c>
      <c r="E6" s="80">
        <v>0.1667</v>
      </c>
      <c r="F6" s="80">
        <v>0.1667</v>
      </c>
      <c r="G6" s="80">
        <v>0.1667</v>
      </c>
      <c r="H6" s="80">
        <v>0.1667</v>
      </c>
      <c r="I6" s="80">
        <v>0.1667</v>
      </c>
      <c r="J6" s="80">
        <v>0.1667</v>
      </c>
      <c r="K6" s="80">
        <v>0.1667</v>
      </c>
      <c r="L6" s="80">
        <v>0.1667</v>
      </c>
      <c r="M6" s="80">
        <v>0.1667</v>
      </c>
      <c r="N6" s="80">
        <v>0.1667</v>
      </c>
      <c r="O6" s="80">
        <v>0.1667</v>
      </c>
      <c r="P6" s="80">
        <v>0.1667</v>
      </c>
      <c r="Q6" s="80">
        <v>0.1667</v>
      </c>
      <c r="R6" s="80">
        <v>0.1667</v>
      </c>
      <c r="S6" s="80">
        <v>0.1667</v>
      </c>
      <c r="T6" s="80">
        <v>0.1667</v>
      </c>
      <c r="U6" s="80">
        <v>0.1667</v>
      </c>
      <c r="V6" s="80">
        <v>0.1667</v>
      </c>
      <c r="W6" s="80">
        <v>0.1667</v>
      </c>
      <c r="X6" s="80">
        <v>0.1667</v>
      </c>
      <c r="Y6" s="80">
        <v>0.1667</v>
      </c>
      <c r="Z6" s="80">
        <v>0.1667</v>
      </c>
      <c r="AA6" s="80">
        <v>0.1667</v>
      </c>
      <c r="AB6" s="80">
        <v>0.1667</v>
      </c>
      <c r="AC6" s="80">
        <v>0.1667</v>
      </c>
      <c r="AD6" s="80">
        <v>0.1667</v>
      </c>
      <c r="AE6" s="80">
        <v>0.1667</v>
      </c>
      <c r="AF6" s="80">
        <v>0.1667</v>
      </c>
      <c r="AG6" s="81">
        <v>0.1667</v>
      </c>
      <c r="AH6" s="87">
        <v>0.1667</v>
      </c>
      <c r="AI6" s="9"/>
    </row>
    <row r="7" customFormat="1" spans="1:35">
      <c r="A7" s="77" t="s">
        <v>8</v>
      </c>
      <c r="B7" s="78" t="s">
        <v>9</v>
      </c>
      <c r="C7" s="81">
        <v>108452.19</v>
      </c>
      <c r="D7" s="81">
        <v>112748.05</v>
      </c>
      <c r="E7" s="81">
        <v>112107.08</v>
      </c>
      <c r="F7" s="81">
        <v>108406.68</v>
      </c>
      <c r="G7" s="81">
        <v>110942.35</v>
      </c>
      <c r="H7" s="81">
        <v>112219.27</v>
      </c>
      <c r="I7" s="81">
        <v>116166.4</v>
      </c>
      <c r="J7" s="81">
        <v>119978.16</v>
      </c>
      <c r="K7" s="81">
        <v>121927.05</v>
      </c>
      <c r="L7" s="81">
        <v>120215.54</v>
      </c>
      <c r="M7" s="81">
        <v>116337.1</v>
      </c>
      <c r="N7" s="81">
        <v>124153.66</v>
      </c>
      <c r="O7" s="81">
        <v>126516.8</v>
      </c>
      <c r="P7" s="81">
        <v>125182.36</v>
      </c>
      <c r="Q7" s="81">
        <v>129195.33</v>
      </c>
      <c r="R7" s="81">
        <v>123420.01</v>
      </c>
      <c r="S7" s="81">
        <v>122304.12</v>
      </c>
      <c r="T7" s="81">
        <v>120253.71</v>
      </c>
      <c r="U7" s="81">
        <v>120605.12</v>
      </c>
      <c r="V7" s="81">
        <v>129143.66</v>
      </c>
      <c r="W7" s="81">
        <v>129437.72</v>
      </c>
      <c r="X7" s="81">
        <v>128388.01</v>
      </c>
      <c r="Y7" s="81">
        <v>134371.7</v>
      </c>
      <c r="Z7" s="81">
        <v>131346.6</v>
      </c>
      <c r="AA7" s="81">
        <v>125043.5</v>
      </c>
      <c r="AB7" s="81">
        <v>133961.79</v>
      </c>
      <c r="AC7" s="81">
        <v>134925.48</v>
      </c>
      <c r="AD7" s="81">
        <v>138534.7</v>
      </c>
      <c r="AE7" s="81">
        <v>138236.64</v>
      </c>
      <c r="AF7" s="81">
        <v>137983.59</v>
      </c>
      <c r="AG7" s="81">
        <v>135752.98</v>
      </c>
      <c r="AH7" s="87">
        <f t="shared" si="1"/>
        <v>3848257.35</v>
      </c>
      <c r="AI7" s="9"/>
    </row>
    <row r="8" customFormat="1" spans="1:35">
      <c r="A8" s="77" t="s">
        <v>10</v>
      </c>
      <c r="B8" s="78" t="s">
        <v>11</v>
      </c>
      <c r="C8" s="81">
        <v>3000</v>
      </c>
      <c r="D8" s="81">
        <v>3000</v>
      </c>
      <c r="E8" s="81">
        <v>3000</v>
      </c>
      <c r="F8" s="81">
        <v>3000</v>
      </c>
      <c r="G8" s="81">
        <v>3000</v>
      </c>
      <c r="H8" s="81">
        <v>3000</v>
      </c>
      <c r="I8" s="81">
        <v>3000</v>
      </c>
      <c r="J8" s="81">
        <v>3000</v>
      </c>
      <c r="K8" s="81">
        <v>3000</v>
      </c>
      <c r="L8" s="81">
        <v>3000</v>
      </c>
      <c r="M8" s="81">
        <v>3000</v>
      </c>
      <c r="N8" s="81">
        <v>3000</v>
      </c>
      <c r="O8" s="81">
        <v>3000</v>
      </c>
      <c r="P8" s="81">
        <v>3000</v>
      </c>
      <c r="Q8" s="81">
        <v>3000</v>
      </c>
      <c r="R8" s="81">
        <v>3000</v>
      </c>
      <c r="S8" s="81">
        <v>3000</v>
      </c>
      <c r="T8" s="81">
        <v>3000</v>
      </c>
      <c r="U8" s="81">
        <v>3000</v>
      </c>
      <c r="V8" s="81">
        <v>3000</v>
      </c>
      <c r="W8" s="81">
        <v>3000</v>
      </c>
      <c r="X8" s="81">
        <v>3000</v>
      </c>
      <c r="Y8" s="81">
        <v>3000</v>
      </c>
      <c r="Z8" s="81">
        <v>3000</v>
      </c>
      <c r="AA8" s="81">
        <v>3000</v>
      </c>
      <c r="AB8" s="81">
        <v>3000</v>
      </c>
      <c r="AC8" s="81">
        <v>3000</v>
      </c>
      <c r="AD8" s="81">
        <v>3000</v>
      </c>
      <c r="AE8" s="81">
        <v>3000</v>
      </c>
      <c r="AF8" s="81">
        <v>3000</v>
      </c>
      <c r="AG8" s="81">
        <v>3000</v>
      </c>
      <c r="AH8" s="87">
        <f t="shared" si="1"/>
        <v>93000</v>
      </c>
      <c r="AI8" s="9"/>
    </row>
    <row r="9" customFormat="1" hidden="1" spans="1:35">
      <c r="A9" s="77" t="s">
        <v>12</v>
      </c>
      <c r="B9" s="78" t="s">
        <v>13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7">
        <f t="shared" si="1"/>
        <v>0</v>
      </c>
      <c r="AI9" s="9"/>
    </row>
    <row r="10" customFormat="1" spans="1:35">
      <c r="A10" s="77" t="s">
        <v>14</v>
      </c>
      <c r="B10" s="78" t="s">
        <v>15</v>
      </c>
      <c r="C10" s="81">
        <v>105452.19</v>
      </c>
      <c r="D10" s="81">
        <v>109748.05</v>
      </c>
      <c r="E10" s="81">
        <v>109107.08</v>
      </c>
      <c r="F10" s="81">
        <v>105406.68</v>
      </c>
      <c r="G10" s="81">
        <v>107942.35</v>
      </c>
      <c r="H10" s="81">
        <v>109219.27</v>
      </c>
      <c r="I10" s="81">
        <v>113166.4</v>
      </c>
      <c r="J10" s="81">
        <v>116978.16</v>
      </c>
      <c r="K10" s="81">
        <v>118927.05</v>
      </c>
      <c r="L10" s="81">
        <v>117215.54</v>
      </c>
      <c r="M10" s="81">
        <v>113337.1</v>
      </c>
      <c r="N10" s="81">
        <v>121153.66</v>
      </c>
      <c r="O10" s="81">
        <v>123516.8</v>
      </c>
      <c r="P10" s="81">
        <v>122182.36</v>
      </c>
      <c r="Q10" s="81">
        <v>126195.33</v>
      </c>
      <c r="R10" s="81">
        <v>120420.01</v>
      </c>
      <c r="S10" s="81">
        <v>119304.12</v>
      </c>
      <c r="T10" s="81">
        <v>117253.71</v>
      </c>
      <c r="U10" s="81">
        <v>117605.12</v>
      </c>
      <c r="V10" s="81">
        <v>126143.66</v>
      </c>
      <c r="W10" s="81">
        <v>126437.72</v>
      </c>
      <c r="X10" s="81">
        <v>125388.01</v>
      </c>
      <c r="Y10" s="81">
        <v>131371.7</v>
      </c>
      <c r="Z10" s="81">
        <v>128346.6</v>
      </c>
      <c r="AA10" s="81">
        <v>122043.5</v>
      </c>
      <c r="AB10" s="81">
        <v>130961.79</v>
      </c>
      <c r="AC10" s="81">
        <v>131925.48</v>
      </c>
      <c r="AD10" s="81">
        <v>135534.7</v>
      </c>
      <c r="AE10" s="81">
        <v>135236.64</v>
      </c>
      <c r="AF10" s="81">
        <v>134983.59</v>
      </c>
      <c r="AG10" s="81">
        <v>132752.98</v>
      </c>
      <c r="AH10" s="87">
        <f t="shared" si="1"/>
        <v>3755257.35</v>
      </c>
      <c r="AI10" s="9"/>
    </row>
    <row r="11" s="7" customFormat="1" ht="15.6" spans="1:35">
      <c r="A11" s="82" t="s">
        <v>16</v>
      </c>
      <c r="B11" s="82"/>
      <c r="C11" s="27">
        <v>99483.2</v>
      </c>
      <c r="D11" s="27">
        <v>103535.9</v>
      </c>
      <c r="E11" s="27">
        <v>102931.21</v>
      </c>
      <c r="F11" s="27">
        <v>99440.26</v>
      </c>
      <c r="G11" s="27">
        <v>101832.41</v>
      </c>
      <c r="H11" s="27">
        <v>103037.05</v>
      </c>
      <c r="I11" s="27">
        <v>106760.75</v>
      </c>
      <c r="J11" s="27">
        <v>110356.75</v>
      </c>
      <c r="K11" s="27">
        <v>112195.33</v>
      </c>
      <c r="L11" s="27">
        <v>110580.7</v>
      </c>
      <c r="M11" s="27">
        <v>106921.79</v>
      </c>
      <c r="N11" s="27">
        <v>114295.91</v>
      </c>
      <c r="O11" s="27">
        <v>116525.28</v>
      </c>
      <c r="P11" s="27">
        <v>115266.38</v>
      </c>
      <c r="Q11" s="27">
        <v>119052.2</v>
      </c>
      <c r="R11" s="27">
        <v>113603.78</v>
      </c>
      <c r="S11" s="27">
        <v>112551.06</v>
      </c>
      <c r="T11" s="27">
        <v>110616.71</v>
      </c>
      <c r="U11" s="27">
        <v>110948.23</v>
      </c>
      <c r="V11" s="27">
        <v>119003.45</v>
      </c>
      <c r="W11" s="27">
        <v>119280.87</v>
      </c>
      <c r="X11" s="27">
        <v>118290.58</v>
      </c>
      <c r="Y11" s="27">
        <v>123935.57</v>
      </c>
      <c r="Z11" s="27">
        <v>121081.7</v>
      </c>
      <c r="AA11" s="27">
        <v>115135.38</v>
      </c>
      <c r="AB11" s="27">
        <v>123548.86</v>
      </c>
      <c r="AC11" s="27">
        <v>124458</v>
      </c>
      <c r="AD11" s="27">
        <v>127862.92</v>
      </c>
      <c r="AE11" s="27">
        <v>127581.74</v>
      </c>
      <c r="AF11" s="27">
        <v>127343.01</v>
      </c>
      <c r="AG11" s="27">
        <v>125238.66</v>
      </c>
      <c r="AH11" s="83">
        <f t="shared" si="1"/>
        <v>3542695.64</v>
      </c>
    </row>
    <row r="12" customFormat="1" ht="15.6" spans="1:35">
      <c r="A12" s="77">
        <v>1</v>
      </c>
      <c r="B12" s="84" t="s">
        <v>17</v>
      </c>
      <c r="C12" s="85">
        <v>23</v>
      </c>
      <c r="D12" s="86">
        <v>23</v>
      </c>
      <c r="E12" s="86">
        <v>23</v>
      </c>
      <c r="F12" s="86">
        <v>23</v>
      </c>
      <c r="G12" s="86">
        <v>20</v>
      </c>
      <c r="H12" s="86">
        <v>22</v>
      </c>
      <c r="I12" s="86">
        <v>22</v>
      </c>
      <c r="J12" s="86">
        <v>23</v>
      </c>
      <c r="K12" s="86">
        <v>22</v>
      </c>
      <c r="L12" s="86">
        <v>24</v>
      </c>
      <c r="M12" s="86">
        <v>21</v>
      </c>
      <c r="N12" s="86">
        <v>20</v>
      </c>
      <c r="O12" s="86">
        <v>20</v>
      </c>
      <c r="P12" s="86">
        <v>21</v>
      </c>
      <c r="Q12" s="86">
        <v>21</v>
      </c>
      <c r="R12" s="86">
        <v>23</v>
      </c>
      <c r="S12" s="86">
        <v>24</v>
      </c>
      <c r="T12" s="86">
        <v>25</v>
      </c>
      <c r="U12" s="86">
        <v>25</v>
      </c>
      <c r="V12" s="86">
        <v>21</v>
      </c>
      <c r="W12" s="86">
        <v>21</v>
      </c>
      <c r="X12" s="86">
        <v>23</v>
      </c>
      <c r="Y12" s="86">
        <v>22</v>
      </c>
      <c r="Z12" s="86">
        <v>19</v>
      </c>
      <c r="AA12" s="86">
        <v>19</v>
      </c>
      <c r="AB12" s="86">
        <v>22</v>
      </c>
      <c r="AC12" s="86">
        <v>20</v>
      </c>
      <c r="AD12" s="86">
        <v>21</v>
      </c>
      <c r="AE12" s="86">
        <v>21</v>
      </c>
      <c r="AF12" s="86">
        <v>22</v>
      </c>
      <c r="AG12" s="86">
        <v>23</v>
      </c>
      <c r="AH12" s="87">
        <f t="shared" si="1"/>
        <v>679</v>
      </c>
      <c r="AI12" s="9"/>
    </row>
    <row r="13" customFormat="1" ht="15.6" spans="1:35">
      <c r="A13" s="77">
        <v>2</v>
      </c>
      <c r="B13" s="84" t="s">
        <v>18</v>
      </c>
      <c r="C13" s="85">
        <v>296</v>
      </c>
      <c r="D13" s="86">
        <v>294</v>
      </c>
      <c r="E13" s="86">
        <v>294</v>
      </c>
      <c r="F13" s="86">
        <v>291</v>
      </c>
      <c r="G13" s="86">
        <v>299</v>
      </c>
      <c r="H13" s="86">
        <v>292</v>
      </c>
      <c r="I13" s="86">
        <v>290</v>
      </c>
      <c r="J13" s="86">
        <v>300</v>
      </c>
      <c r="K13" s="86">
        <v>299</v>
      </c>
      <c r="L13" s="86">
        <v>291</v>
      </c>
      <c r="M13" s="86">
        <v>301</v>
      </c>
      <c r="N13" s="86">
        <v>304</v>
      </c>
      <c r="O13" s="86">
        <v>308</v>
      </c>
      <c r="P13" s="86">
        <v>298</v>
      </c>
      <c r="Q13" s="86">
        <v>294</v>
      </c>
      <c r="R13" s="86">
        <v>283</v>
      </c>
      <c r="S13" s="86">
        <v>290</v>
      </c>
      <c r="T13" s="86">
        <v>287</v>
      </c>
      <c r="U13" s="86">
        <v>293</v>
      </c>
      <c r="V13" s="86">
        <v>294</v>
      </c>
      <c r="W13" s="86">
        <v>292</v>
      </c>
      <c r="X13" s="86">
        <v>283</v>
      </c>
      <c r="Y13" s="86">
        <v>292</v>
      </c>
      <c r="Z13" s="86">
        <v>283</v>
      </c>
      <c r="AA13" s="86">
        <v>284</v>
      </c>
      <c r="AB13" s="86">
        <v>295</v>
      </c>
      <c r="AC13" s="86">
        <v>300</v>
      </c>
      <c r="AD13" s="86">
        <v>305</v>
      </c>
      <c r="AE13" s="86">
        <v>290</v>
      </c>
      <c r="AF13" s="86">
        <v>289</v>
      </c>
      <c r="AG13" s="86">
        <v>281</v>
      </c>
      <c r="AH13" s="87">
        <f t="shared" si="1"/>
        <v>9092</v>
      </c>
      <c r="AI13" s="9"/>
    </row>
    <row r="14" customFormat="1" ht="15.6" spans="1:35">
      <c r="A14" s="77">
        <v>3</v>
      </c>
      <c r="B14" s="84" t="s">
        <v>19</v>
      </c>
      <c r="C14" s="85">
        <v>63</v>
      </c>
      <c r="D14" s="86">
        <v>65</v>
      </c>
      <c r="E14" s="86">
        <v>64</v>
      </c>
      <c r="F14" s="86">
        <v>65</v>
      </c>
      <c r="G14" s="86">
        <v>63</v>
      </c>
      <c r="H14" s="86">
        <v>57</v>
      </c>
      <c r="I14" s="86">
        <v>64</v>
      </c>
      <c r="J14" s="86">
        <v>58</v>
      </c>
      <c r="K14" s="86">
        <v>61</v>
      </c>
      <c r="L14" s="86">
        <v>58</v>
      </c>
      <c r="M14" s="86">
        <v>60</v>
      </c>
      <c r="N14" s="86">
        <v>63</v>
      </c>
      <c r="O14" s="86">
        <v>60</v>
      </c>
      <c r="P14" s="86">
        <v>65</v>
      </c>
      <c r="Q14" s="86">
        <v>65</v>
      </c>
      <c r="R14" s="86">
        <v>63</v>
      </c>
      <c r="S14" s="86">
        <v>63</v>
      </c>
      <c r="T14" s="86">
        <v>71</v>
      </c>
      <c r="U14" s="86">
        <v>67</v>
      </c>
      <c r="V14" s="86">
        <v>67</v>
      </c>
      <c r="W14" s="86">
        <v>61</v>
      </c>
      <c r="X14" s="86">
        <v>58</v>
      </c>
      <c r="Y14" s="86">
        <v>80</v>
      </c>
      <c r="Z14" s="86">
        <v>86</v>
      </c>
      <c r="AA14" s="86">
        <v>76</v>
      </c>
      <c r="AB14" s="86">
        <v>74</v>
      </c>
      <c r="AC14" s="86">
        <v>66</v>
      </c>
      <c r="AD14" s="86">
        <v>70</v>
      </c>
      <c r="AE14" s="86">
        <v>74</v>
      </c>
      <c r="AF14" s="86">
        <v>69</v>
      </c>
      <c r="AG14" s="86">
        <v>75</v>
      </c>
      <c r="AH14" s="87">
        <f t="shared" si="1"/>
        <v>2051</v>
      </c>
      <c r="AI14" s="9"/>
    </row>
    <row r="15" customFormat="1" ht="15.6" spans="1:35">
      <c r="A15" s="77">
        <v>4</v>
      </c>
      <c r="B15" s="84" t="s">
        <v>20</v>
      </c>
      <c r="C15" s="85">
        <v>382</v>
      </c>
      <c r="D15" s="86">
        <v>382</v>
      </c>
      <c r="E15" s="86">
        <v>381</v>
      </c>
      <c r="F15" s="86">
        <v>379</v>
      </c>
      <c r="G15" s="86">
        <v>382</v>
      </c>
      <c r="H15" s="86">
        <v>371</v>
      </c>
      <c r="I15" s="86">
        <v>376</v>
      </c>
      <c r="J15" s="86">
        <v>381</v>
      </c>
      <c r="K15" s="86">
        <v>382</v>
      </c>
      <c r="L15" s="86">
        <v>373</v>
      </c>
      <c r="M15" s="86">
        <v>382</v>
      </c>
      <c r="N15" s="86">
        <v>387</v>
      </c>
      <c r="O15" s="86">
        <v>388</v>
      </c>
      <c r="P15" s="86">
        <v>384</v>
      </c>
      <c r="Q15" s="86">
        <v>380</v>
      </c>
      <c r="R15" s="86">
        <v>369</v>
      </c>
      <c r="S15" s="86">
        <v>377</v>
      </c>
      <c r="T15" s="86">
        <v>383</v>
      </c>
      <c r="U15" s="86">
        <v>385</v>
      </c>
      <c r="V15" s="86">
        <v>382</v>
      </c>
      <c r="W15" s="86">
        <v>374</v>
      </c>
      <c r="X15" s="86">
        <v>364</v>
      </c>
      <c r="Y15" s="86">
        <v>394</v>
      </c>
      <c r="Z15" s="86">
        <v>388</v>
      </c>
      <c r="AA15" s="86">
        <v>379</v>
      </c>
      <c r="AB15" s="86">
        <v>391</v>
      </c>
      <c r="AC15" s="86">
        <v>386</v>
      </c>
      <c r="AD15" s="86">
        <v>396</v>
      </c>
      <c r="AE15" s="86">
        <v>385</v>
      </c>
      <c r="AF15" s="86">
        <v>380</v>
      </c>
      <c r="AG15" s="86">
        <v>379</v>
      </c>
      <c r="AH15" s="87">
        <f t="shared" si="1"/>
        <v>11822</v>
      </c>
      <c r="AI15" s="9"/>
    </row>
    <row r="16" customFormat="1" ht="15.6" spans="1:35">
      <c r="A16" s="77">
        <v>5</v>
      </c>
      <c r="B16" s="84" t="s">
        <v>21</v>
      </c>
      <c r="C16" s="88">
        <v>3975.5</v>
      </c>
      <c r="D16" s="88">
        <v>3991</v>
      </c>
      <c r="E16" s="88">
        <v>3950.5</v>
      </c>
      <c r="F16" s="88">
        <v>3928.5</v>
      </c>
      <c r="G16" s="88">
        <v>4008.5</v>
      </c>
      <c r="H16" s="88">
        <v>3875.5</v>
      </c>
      <c r="I16" s="88">
        <v>3912</v>
      </c>
      <c r="J16" s="88">
        <v>3986</v>
      </c>
      <c r="K16" s="88">
        <v>3999</v>
      </c>
      <c r="L16" s="88">
        <v>3868.5</v>
      </c>
      <c r="M16" s="88">
        <v>4008.5</v>
      </c>
      <c r="N16" s="88">
        <v>4071.5</v>
      </c>
      <c r="O16" s="88">
        <v>4115.5</v>
      </c>
      <c r="P16" s="88">
        <v>4032</v>
      </c>
      <c r="Q16" s="88">
        <v>3988</v>
      </c>
      <c r="R16" s="88">
        <v>3840.5</v>
      </c>
      <c r="S16" s="88">
        <v>3951.5</v>
      </c>
      <c r="T16" s="88">
        <v>3971.5</v>
      </c>
      <c r="U16" s="88">
        <v>4053.5</v>
      </c>
      <c r="V16" s="88">
        <v>4032.5</v>
      </c>
      <c r="W16" s="88">
        <v>3956.5</v>
      </c>
      <c r="X16" s="88">
        <v>3834</v>
      </c>
      <c r="Y16" s="88">
        <v>4174.5</v>
      </c>
      <c r="Z16" s="88">
        <v>4150.5</v>
      </c>
      <c r="AA16" s="88">
        <v>4062</v>
      </c>
      <c r="AB16" s="88">
        <v>4156</v>
      </c>
      <c r="AC16" s="88">
        <v>4099.5</v>
      </c>
      <c r="AD16" s="88">
        <v>4190.5</v>
      </c>
      <c r="AE16" s="88">
        <v>4084.5</v>
      </c>
      <c r="AF16" s="88">
        <v>4058</v>
      </c>
      <c r="AG16" s="88">
        <v>4049</v>
      </c>
      <c r="AH16" s="88">
        <f t="shared" si="1"/>
        <v>124375</v>
      </c>
      <c r="AI16" s="9"/>
    </row>
    <row r="17" s="7" customFormat="1" ht="15.6" spans="1:35">
      <c r="A17" s="31" t="s">
        <v>22</v>
      </c>
      <c r="B17" s="89"/>
      <c r="C17" s="115">
        <v>1703.09685863874</v>
      </c>
      <c r="D17" s="115">
        <v>1770.55759162304</v>
      </c>
      <c r="E17" s="115">
        <v>1765.11286089239</v>
      </c>
      <c r="F17" s="115">
        <v>1715.85751978892</v>
      </c>
      <c r="G17" s="115">
        <v>1742.20157068063</v>
      </c>
      <c r="H17" s="115">
        <v>1814.50404312668</v>
      </c>
      <c r="I17" s="115">
        <v>1853.34840425532</v>
      </c>
      <c r="J17" s="115">
        <v>1889.04199475066</v>
      </c>
      <c r="K17" s="115">
        <v>1914.70157068063</v>
      </c>
      <c r="L17" s="115">
        <v>1933.37533512064</v>
      </c>
      <c r="M17" s="115">
        <v>1826.91884816754</v>
      </c>
      <c r="N17" s="115">
        <v>1924.47803617571</v>
      </c>
      <c r="O17" s="115">
        <v>1956.05412371134</v>
      </c>
      <c r="P17" s="115">
        <v>1955.58333333333</v>
      </c>
      <c r="Q17" s="115">
        <v>2039.51842105263</v>
      </c>
      <c r="R17" s="115">
        <v>2006.42818428184</v>
      </c>
      <c r="S17" s="115">
        <v>1946.09549071618</v>
      </c>
      <c r="T17" s="115">
        <v>1883.49347258486</v>
      </c>
      <c r="U17" s="115">
        <v>1879.18441558442</v>
      </c>
      <c r="V17" s="115">
        <v>2028.02879581152</v>
      </c>
      <c r="W17" s="115">
        <v>2076.1256684492</v>
      </c>
      <c r="X17" s="115">
        <v>2115.86263736264</v>
      </c>
      <c r="Y17" s="115">
        <v>2045.86040609137</v>
      </c>
      <c r="Z17" s="115">
        <v>2030.72680412371</v>
      </c>
      <c r="AA17" s="115">
        <v>1979.18469656992</v>
      </c>
      <c r="AB17" s="115">
        <v>2055.26854219949</v>
      </c>
      <c r="AC17" s="115">
        <v>2096.86787564767</v>
      </c>
      <c r="AD17" s="115">
        <v>2098.59090909091</v>
      </c>
      <c r="AE17" s="115">
        <v>2153.90649350649</v>
      </c>
      <c r="AF17" s="115">
        <v>2178.25263157895</v>
      </c>
      <c r="AG17" s="27">
        <v>2148.69393139842</v>
      </c>
      <c r="AH17" s="115">
        <f>AH5/AH15</f>
        <v>1952.70910167484</v>
      </c>
    </row>
    <row r="18" s="7" customFormat="1" ht="15.6" spans="1:35">
      <c r="A18" s="31" t="s">
        <v>23</v>
      </c>
      <c r="B18" s="89"/>
      <c r="C18" s="116">
        <v>163.648094579298</v>
      </c>
      <c r="D18" s="116">
        <v>169.46955650213</v>
      </c>
      <c r="E18" s="116">
        <v>170.233641311226</v>
      </c>
      <c r="F18" s="116">
        <v>165.536464299351</v>
      </c>
      <c r="G18" s="116">
        <v>166.027441686416</v>
      </c>
      <c r="H18" s="116">
        <v>173.701715907625</v>
      </c>
      <c r="I18" s="116">
        <v>178.133691206544</v>
      </c>
      <c r="J18" s="116">
        <v>180.563221274461</v>
      </c>
      <c r="K18" s="116">
        <v>182.899724931233</v>
      </c>
      <c r="L18" s="116">
        <v>186.415664986429</v>
      </c>
      <c r="M18" s="116">
        <v>174.100785830111</v>
      </c>
      <c r="N18" s="116">
        <v>182.923492570306</v>
      </c>
      <c r="O18" s="116">
        <v>184.412343579152</v>
      </c>
      <c r="P18" s="116">
        <v>186.246031746032</v>
      </c>
      <c r="Q18" s="116">
        <v>194.337261785356</v>
      </c>
      <c r="R18" s="116">
        <v>192.780106756933</v>
      </c>
      <c r="S18" s="116">
        <v>185.670757940023</v>
      </c>
      <c r="T18" s="116">
        <v>181.638675563389</v>
      </c>
      <c r="U18" s="116">
        <v>178.484272850623</v>
      </c>
      <c r="V18" s="116">
        <v>192.115809051457</v>
      </c>
      <c r="W18" s="116">
        <v>196.251990395552</v>
      </c>
      <c r="X18" s="116">
        <v>200.880020865936</v>
      </c>
      <c r="Y18" s="116">
        <v>193.093544137022</v>
      </c>
      <c r="Z18" s="116">
        <v>189.837850861342</v>
      </c>
      <c r="AA18" s="116">
        <v>184.665435745938</v>
      </c>
      <c r="AB18" s="116">
        <v>193.361405197305</v>
      </c>
      <c r="AC18" s="116">
        <v>197.436516648372</v>
      </c>
      <c r="AD18" s="116">
        <v>198.315714115261</v>
      </c>
      <c r="AE18" s="116">
        <v>203.024605214837</v>
      </c>
      <c r="AF18" s="116">
        <v>203.976343026121</v>
      </c>
      <c r="AG18" s="120">
        <v>201.12496912818</v>
      </c>
      <c r="AH18" s="116">
        <f>AH5/AH16</f>
        <v>185.607453266332</v>
      </c>
    </row>
    <row r="19" customFormat="1" ht="15" spans="1:35">
      <c r="A19" s="91">
        <v>1</v>
      </c>
      <c r="B19" s="78" t="s">
        <v>24</v>
      </c>
      <c r="C19" s="81">
        <v>59439.6</v>
      </c>
      <c r="D19" s="81">
        <v>59480.7</v>
      </c>
      <c r="E19" s="81">
        <v>59509.1</v>
      </c>
      <c r="F19" s="81">
        <v>58681.75</v>
      </c>
      <c r="G19" s="81">
        <v>60596.55</v>
      </c>
      <c r="H19" s="81">
        <v>59274.5</v>
      </c>
      <c r="I19" s="81">
        <v>58584.85</v>
      </c>
      <c r="J19" s="81">
        <v>61183.55</v>
      </c>
      <c r="K19" s="81">
        <v>60814.5</v>
      </c>
      <c r="L19" s="81">
        <v>58973.7</v>
      </c>
      <c r="M19" s="81">
        <v>61263.3</v>
      </c>
      <c r="N19" s="81">
        <v>61787.65</v>
      </c>
      <c r="O19" s="81">
        <v>63130.85</v>
      </c>
      <c r="P19" s="81">
        <v>60574</v>
      </c>
      <c r="Q19" s="81">
        <v>59685</v>
      </c>
      <c r="R19" s="81">
        <v>57288.45</v>
      </c>
      <c r="S19" s="81">
        <v>59408.75</v>
      </c>
      <c r="T19" s="81">
        <v>58230.25</v>
      </c>
      <c r="U19" s="81">
        <v>60568.2</v>
      </c>
      <c r="V19" s="81">
        <v>60085.75</v>
      </c>
      <c r="W19" s="81">
        <v>60023.25</v>
      </c>
      <c r="X19" s="81">
        <v>58364.55</v>
      </c>
      <c r="Y19" s="81">
        <v>59934.5</v>
      </c>
      <c r="Z19" s="81">
        <v>58262.6</v>
      </c>
      <c r="AA19" s="81">
        <v>58803.7</v>
      </c>
      <c r="AB19" s="81">
        <v>60932.65</v>
      </c>
      <c r="AC19" s="81">
        <v>61615.4</v>
      </c>
      <c r="AD19" s="81">
        <v>62458.45</v>
      </c>
      <c r="AE19" s="81">
        <v>59526.9</v>
      </c>
      <c r="AF19" s="81">
        <v>60064.65</v>
      </c>
      <c r="AG19" s="81">
        <v>58731.15</v>
      </c>
      <c r="AH19" s="87">
        <f t="shared" ref="AH19:AH28" si="2">SUM(C19:AG19)</f>
        <v>1857278.8</v>
      </c>
      <c r="AI19" s="9"/>
    </row>
    <row r="20" customFormat="1" ht="15" spans="1:35">
      <c r="A20" s="91">
        <v>2</v>
      </c>
      <c r="B20" s="78" t="s">
        <v>25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92">
        <f t="shared" si="2"/>
        <v>0</v>
      </c>
      <c r="AI20" s="9"/>
    </row>
    <row r="21" customFormat="1" ht="15" spans="1:35">
      <c r="A21" s="91">
        <v>3</v>
      </c>
      <c r="B21" s="78" t="s">
        <v>26</v>
      </c>
      <c r="C21" s="81">
        <v>287.78</v>
      </c>
      <c r="D21" s="81">
        <v>285.83</v>
      </c>
      <c r="E21" s="81">
        <v>285.83</v>
      </c>
      <c r="F21" s="81">
        <v>282.92</v>
      </c>
      <c r="G21" s="81">
        <v>290.69</v>
      </c>
      <c r="H21" s="81">
        <v>283.89</v>
      </c>
      <c r="I21" s="81">
        <v>281.94</v>
      </c>
      <c r="J21" s="81">
        <v>291.67</v>
      </c>
      <c r="K21" s="81">
        <v>290.69</v>
      </c>
      <c r="L21" s="81">
        <v>282.92</v>
      </c>
      <c r="M21" s="81">
        <v>292.64</v>
      </c>
      <c r="N21" s="81">
        <v>295.56</v>
      </c>
      <c r="O21" s="81">
        <v>299.44</v>
      </c>
      <c r="P21" s="81">
        <v>289.72</v>
      </c>
      <c r="Q21" s="81">
        <v>285.83</v>
      </c>
      <c r="R21" s="81">
        <v>275.14</v>
      </c>
      <c r="S21" s="81">
        <v>281.94</v>
      </c>
      <c r="T21" s="81">
        <v>279.03</v>
      </c>
      <c r="U21" s="81">
        <v>284.86</v>
      </c>
      <c r="V21" s="81">
        <v>285.83</v>
      </c>
      <c r="W21" s="81">
        <v>283.89</v>
      </c>
      <c r="X21" s="81">
        <v>275.14</v>
      </c>
      <c r="Y21" s="81">
        <v>283.89</v>
      </c>
      <c r="Z21" s="81">
        <v>275.14</v>
      </c>
      <c r="AA21" s="81">
        <v>276.11</v>
      </c>
      <c r="AB21" s="81">
        <v>286.81</v>
      </c>
      <c r="AC21" s="81">
        <v>291.67</v>
      </c>
      <c r="AD21" s="81">
        <v>296.53</v>
      </c>
      <c r="AE21" s="81">
        <v>281.94</v>
      </c>
      <c r="AF21" s="81">
        <v>280.97</v>
      </c>
      <c r="AG21" s="81">
        <v>273.19</v>
      </c>
      <c r="AH21" s="87">
        <f t="shared" si="2"/>
        <v>8839.43</v>
      </c>
      <c r="AI21" s="9"/>
    </row>
    <row r="22" customFormat="1" ht="15" spans="1:35">
      <c r="A22" s="91">
        <v>4</v>
      </c>
      <c r="B22" s="78" t="s">
        <v>27</v>
      </c>
      <c r="C22" s="81">
        <v>337.11</v>
      </c>
      <c r="D22" s="81">
        <v>334.83</v>
      </c>
      <c r="E22" s="81">
        <v>334.83</v>
      </c>
      <c r="F22" s="81">
        <v>331.42</v>
      </c>
      <c r="G22" s="81">
        <v>340.53</v>
      </c>
      <c r="H22" s="81">
        <v>332.56</v>
      </c>
      <c r="I22" s="81">
        <v>330.28</v>
      </c>
      <c r="J22" s="81">
        <v>341.67</v>
      </c>
      <c r="K22" s="81">
        <v>340.53</v>
      </c>
      <c r="L22" s="81">
        <v>331.42</v>
      </c>
      <c r="M22" s="81">
        <v>342.81</v>
      </c>
      <c r="N22" s="81">
        <v>346.22</v>
      </c>
      <c r="O22" s="81">
        <v>350.78</v>
      </c>
      <c r="P22" s="81">
        <v>339.39</v>
      </c>
      <c r="Q22" s="81">
        <v>334.83</v>
      </c>
      <c r="R22" s="81">
        <v>322.31</v>
      </c>
      <c r="S22" s="81">
        <v>330.28</v>
      </c>
      <c r="T22" s="81">
        <v>326.86</v>
      </c>
      <c r="U22" s="81">
        <v>333.69</v>
      </c>
      <c r="V22" s="81">
        <v>334.83</v>
      </c>
      <c r="W22" s="81">
        <v>332.56</v>
      </c>
      <c r="X22" s="81">
        <v>322.31</v>
      </c>
      <c r="Y22" s="81">
        <v>332.56</v>
      </c>
      <c r="Z22" s="81">
        <v>322.31</v>
      </c>
      <c r="AA22" s="81">
        <v>323.44</v>
      </c>
      <c r="AB22" s="81">
        <v>335.97</v>
      </c>
      <c r="AC22" s="81">
        <v>341.67</v>
      </c>
      <c r="AD22" s="81">
        <v>347.36</v>
      </c>
      <c r="AE22" s="81">
        <v>330.28</v>
      </c>
      <c r="AF22" s="81">
        <v>329.14</v>
      </c>
      <c r="AG22" s="81">
        <v>320.03</v>
      </c>
      <c r="AH22" s="87">
        <f t="shared" si="2"/>
        <v>10354.81</v>
      </c>
      <c r="AI22" s="9"/>
    </row>
    <row r="23" customFormat="1" ht="15" spans="1:35">
      <c r="A23" s="91">
        <v>5</v>
      </c>
      <c r="B23" s="78" t="s">
        <v>28</v>
      </c>
      <c r="C23" s="81">
        <v>2576</v>
      </c>
      <c r="D23" s="81">
        <v>2560</v>
      </c>
      <c r="E23" s="81">
        <v>2560</v>
      </c>
      <c r="F23" s="81">
        <v>2536</v>
      </c>
      <c r="G23" s="81">
        <v>2576</v>
      </c>
      <c r="H23" s="81">
        <v>2536</v>
      </c>
      <c r="I23" s="81">
        <v>2520</v>
      </c>
      <c r="J23" s="81">
        <v>2608</v>
      </c>
      <c r="K23" s="81">
        <v>2592</v>
      </c>
      <c r="L23" s="81">
        <v>2544</v>
      </c>
      <c r="M23" s="81">
        <v>2600</v>
      </c>
      <c r="N23" s="81">
        <v>2616</v>
      </c>
      <c r="O23" s="81">
        <v>2648</v>
      </c>
      <c r="P23" s="81">
        <v>2576</v>
      </c>
      <c r="Q23" s="81">
        <v>2544</v>
      </c>
      <c r="R23" s="81">
        <v>2472</v>
      </c>
      <c r="S23" s="81">
        <v>2536</v>
      </c>
      <c r="T23" s="81">
        <v>2520</v>
      </c>
      <c r="U23" s="81">
        <v>2568</v>
      </c>
      <c r="V23" s="81">
        <v>2544</v>
      </c>
      <c r="W23" s="81">
        <v>2528</v>
      </c>
      <c r="X23" s="81">
        <v>2472</v>
      </c>
      <c r="Y23" s="81">
        <v>2536</v>
      </c>
      <c r="Z23" s="81">
        <v>2440</v>
      </c>
      <c r="AA23" s="81">
        <v>2448</v>
      </c>
      <c r="AB23" s="81">
        <v>2560</v>
      </c>
      <c r="AC23" s="81">
        <v>2584</v>
      </c>
      <c r="AD23" s="81">
        <v>2632</v>
      </c>
      <c r="AE23" s="81">
        <v>2512</v>
      </c>
      <c r="AF23" s="81">
        <v>2512</v>
      </c>
      <c r="AG23" s="81">
        <v>2456</v>
      </c>
      <c r="AH23" s="92">
        <f t="shared" si="2"/>
        <v>78912</v>
      </c>
      <c r="AI23" s="9"/>
    </row>
    <row r="24" customFormat="1" ht="15" spans="1:35">
      <c r="A24" s="91">
        <v>6</v>
      </c>
      <c r="B24" s="78" t="s">
        <v>29</v>
      </c>
      <c r="C24" s="81"/>
      <c r="D24" s="81"/>
      <c r="E24" s="81"/>
      <c r="F24" s="81">
        <v>575</v>
      </c>
      <c r="G24" s="81">
        <v>575</v>
      </c>
      <c r="H24" s="81">
        <v>575</v>
      </c>
      <c r="I24" s="81">
        <v>575</v>
      </c>
      <c r="J24" s="81">
        <v>575</v>
      </c>
      <c r="K24" s="81">
        <v>575</v>
      </c>
      <c r="L24" s="81">
        <v>575</v>
      </c>
      <c r="M24" s="81">
        <v>575</v>
      </c>
      <c r="N24" s="81">
        <v>575</v>
      </c>
      <c r="O24" s="81">
        <v>575</v>
      </c>
      <c r="P24" s="81"/>
      <c r="Q24" s="81"/>
      <c r="R24" s="81"/>
      <c r="S24" s="81"/>
      <c r="T24" s="81">
        <v>560</v>
      </c>
      <c r="U24" s="81">
        <v>1120</v>
      </c>
      <c r="V24" s="81">
        <v>1120</v>
      </c>
      <c r="W24" s="81">
        <v>1120</v>
      </c>
      <c r="X24" s="81">
        <v>1120</v>
      </c>
      <c r="Y24" s="81">
        <v>1120</v>
      </c>
      <c r="Z24" s="81">
        <v>1120</v>
      </c>
      <c r="AA24" s="81">
        <v>560</v>
      </c>
      <c r="AB24" s="81">
        <v>1120</v>
      </c>
      <c r="AC24" s="81">
        <v>1120</v>
      </c>
      <c r="AD24" s="81">
        <v>1120</v>
      </c>
      <c r="AE24" s="81">
        <v>1120</v>
      </c>
      <c r="AF24" s="81">
        <v>1120</v>
      </c>
      <c r="AG24" s="81"/>
      <c r="AH24" s="92">
        <f t="shared" si="2"/>
        <v>19190</v>
      </c>
      <c r="AI24" s="9"/>
    </row>
    <row r="25" customFormat="1" ht="15" spans="1:35">
      <c r="A25" s="91">
        <v>7</v>
      </c>
      <c r="B25" s="78" t="s">
        <v>30</v>
      </c>
      <c r="C25" s="81">
        <v>16893.5</v>
      </c>
      <c r="D25" s="81">
        <v>17388</v>
      </c>
      <c r="E25" s="81">
        <v>16617.5</v>
      </c>
      <c r="F25" s="81">
        <v>17192.5</v>
      </c>
      <c r="G25" s="81">
        <v>16617.5</v>
      </c>
      <c r="H25" s="81">
        <v>15030.5</v>
      </c>
      <c r="I25" s="81">
        <v>16882</v>
      </c>
      <c r="J25" s="81">
        <v>15295</v>
      </c>
      <c r="K25" s="81">
        <v>16088.5</v>
      </c>
      <c r="L25" s="81">
        <v>15295</v>
      </c>
      <c r="M25" s="81">
        <v>15824</v>
      </c>
      <c r="N25" s="81">
        <v>16617.5</v>
      </c>
      <c r="O25" s="81">
        <v>15824</v>
      </c>
      <c r="P25" s="81">
        <v>17146.5</v>
      </c>
      <c r="Q25" s="81">
        <v>17146.5</v>
      </c>
      <c r="R25" s="81">
        <v>16617.5</v>
      </c>
      <c r="S25" s="81">
        <v>16617.5</v>
      </c>
      <c r="T25" s="81">
        <v>18710.5</v>
      </c>
      <c r="U25" s="81">
        <v>17641</v>
      </c>
      <c r="V25" s="81">
        <v>17652.5</v>
      </c>
      <c r="W25" s="81">
        <v>16065.5</v>
      </c>
      <c r="X25" s="81">
        <v>15272</v>
      </c>
      <c r="Y25" s="81">
        <v>21079.5</v>
      </c>
      <c r="Z25" s="81">
        <v>22609</v>
      </c>
      <c r="AA25" s="81">
        <v>19975.5</v>
      </c>
      <c r="AB25" s="81">
        <v>19458</v>
      </c>
      <c r="AC25" s="81">
        <v>17376.5</v>
      </c>
      <c r="AD25" s="81">
        <v>18434.5</v>
      </c>
      <c r="AE25" s="81">
        <v>19538.5</v>
      </c>
      <c r="AF25" s="81">
        <v>18216</v>
      </c>
      <c r="AG25" s="81">
        <v>19803</v>
      </c>
      <c r="AH25" s="92">
        <f t="shared" si="2"/>
        <v>540925.5</v>
      </c>
      <c r="AI25" s="9"/>
    </row>
    <row r="26" customFormat="1" ht="15" spans="1:35">
      <c r="A26" s="91">
        <v>8</v>
      </c>
      <c r="B26" s="78" t="s">
        <v>31</v>
      </c>
      <c r="C26" s="81">
        <v>3110.4</v>
      </c>
      <c r="D26" s="81">
        <v>3110.4</v>
      </c>
      <c r="E26" s="81">
        <v>3110.4</v>
      </c>
      <c r="F26" s="81">
        <v>3110.4</v>
      </c>
      <c r="G26" s="81">
        <v>3110.4</v>
      </c>
      <c r="H26" s="81">
        <v>3110.4</v>
      </c>
      <c r="I26" s="81">
        <v>3110.4</v>
      </c>
      <c r="J26" s="81">
        <v>3110.4</v>
      </c>
      <c r="K26" s="81">
        <v>3110.4</v>
      </c>
      <c r="L26" s="81">
        <v>3110.4</v>
      </c>
      <c r="M26" s="81">
        <v>49700</v>
      </c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92">
        <f t="shared" si="2"/>
        <v>80804</v>
      </c>
      <c r="AI26" s="9"/>
    </row>
    <row r="27" customFormat="1" ht="15" spans="1:35">
      <c r="A27" s="91">
        <v>9</v>
      </c>
      <c r="B27" s="78" t="s">
        <v>32</v>
      </c>
      <c r="C27" s="81">
        <v>2096.77</v>
      </c>
      <c r="D27" s="81">
        <v>2096.77</v>
      </c>
      <c r="E27" s="81">
        <v>2096.77</v>
      </c>
      <c r="F27" s="81">
        <v>2096.77</v>
      </c>
      <c r="G27" s="81">
        <v>2096.77</v>
      </c>
      <c r="H27" s="81">
        <v>2096.77</v>
      </c>
      <c r="I27" s="81">
        <v>2096.77</v>
      </c>
      <c r="J27" s="81">
        <v>2096.77</v>
      </c>
      <c r="K27" s="81">
        <v>2096.77</v>
      </c>
      <c r="L27" s="81">
        <v>2096.77</v>
      </c>
      <c r="M27" s="81">
        <v>2096.77</v>
      </c>
      <c r="N27" s="81">
        <v>2096.77</v>
      </c>
      <c r="O27" s="81">
        <v>2096.77</v>
      </c>
      <c r="P27" s="81">
        <v>2096.77</v>
      </c>
      <c r="Q27" s="81">
        <v>2096.77</v>
      </c>
      <c r="R27" s="81">
        <v>2096.77</v>
      </c>
      <c r="S27" s="81">
        <v>2096.77</v>
      </c>
      <c r="T27" s="81">
        <v>2096.77</v>
      </c>
      <c r="U27" s="81">
        <v>2096.77</v>
      </c>
      <c r="V27" s="81">
        <v>2096.77</v>
      </c>
      <c r="W27" s="81">
        <v>2096.77</v>
      </c>
      <c r="X27" s="81">
        <v>2096.77</v>
      </c>
      <c r="Y27" s="81">
        <v>2096.77</v>
      </c>
      <c r="Z27" s="81">
        <v>2096.77</v>
      </c>
      <c r="AA27" s="81">
        <v>2096.77</v>
      </c>
      <c r="AB27" s="81">
        <v>2096.77</v>
      </c>
      <c r="AC27" s="81">
        <v>2096.77</v>
      </c>
      <c r="AD27" s="81">
        <v>2096.77</v>
      </c>
      <c r="AE27" s="81">
        <v>2096.77</v>
      </c>
      <c r="AF27" s="81">
        <v>2096.77</v>
      </c>
      <c r="AG27" s="81">
        <v>2096.77</v>
      </c>
      <c r="AH27" s="87">
        <f t="shared" si="2"/>
        <v>64999.87</v>
      </c>
      <c r="AI27" s="9"/>
    </row>
    <row r="28" customFormat="1" ht="15" spans="1:35">
      <c r="A28" s="91">
        <v>10</v>
      </c>
      <c r="B28" s="78" t="s">
        <v>33</v>
      </c>
      <c r="C28" s="81">
        <v>33651.84</v>
      </c>
      <c r="D28" s="81">
        <v>33651.84</v>
      </c>
      <c r="E28" s="81">
        <v>33651.84</v>
      </c>
      <c r="F28" s="81">
        <v>33651.84</v>
      </c>
      <c r="G28" s="81">
        <v>33651.84</v>
      </c>
      <c r="H28" s="81">
        <v>33651.84</v>
      </c>
      <c r="I28" s="81">
        <v>33651.84</v>
      </c>
      <c r="J28" s="81">
        <v>33651.84</v>
      </c>
      <c r="K28" s="81">
        <v>33651.84</v>
      </c>
      <c r="L28" s="81">
        <v>33651.84</v>
      </c>
      <c r="M28" s="81">
        <v>33651.84</v>
      </c>
      <c r="N28" s="81">
        <v>33651.84</v>
      </c>
      <c r="O28" s="81">
        <v>33651.84</v>
      </c>
      <c r="P28" s="81">
        <v>33651.84</v>
      </c>
      <c r="Q28" s="81">
        <v>33651.84</v>
      </c>
      <c r="R28" s="81">
        <v>33651.84</v>
      </c>
      <c r="S28" s="81">
        <v>33651.84</v>
      </c>
      <c r="T28" s="81">
        <v>33651.84</v>
      </c>
      <c r="U28" s="81">
        <v>33651.84</v>
      </c>
      <c r="V28" s="81">
        <v>33651.84</v>
      </c>
      <c r="W28" s="81">
        <v>33651.84</v>
      </c>
      <c r="X28" s="81">
        <v>33651.84</v>
      </c>
      <c r="Y28" s="81">
        <v>33651.84</v>
      </c>
      <c r="Z28" s="81">
        <v>33651.84</v>
      </c>
      <c r="AA28" s="81">
        <v>33651.84</v>
      </c>
      <c r="AB28" s="81">
        <v>33651.84</v>
      </c>
      <c r="AC28" s="81">
        <v>33651.84</v>
      </c>
      <c r="AD28" s="81">
        <v>33651.84</v>
      </c>
      <c r="AE28" s="81">
        <v>33651.84</v>
      </c>
      <c r="AF28" s="81">
        <v>33651.84</v>
      </c>
      <c r="AG28" s="81">
        <v>33651.84</v>
      </c>
      <c r="AH28" s="87">
        <f t="shared" si="2"/>
        <v>1043207.04</v>
      </c>
    </row>
    <row r="29" s="7" customFormat="1" ht="15.6" spans="1:35">
      <c r="A29" s="93" t="s">
        <v>34</v>
      </c>
      <c r="B29" s="93"/>
      <c r="C29" s="27">
        <v>118393</v>
      </c>
      <c r="D29" s="27">
        <v>118908.37</v>
      </c>
      <c r="E29" s="27">
        <v>118166.27</v>
      </c>
      <c r="F29" s="27">
        <v>118458.6</v>
      </c>
      <c r="G29" s="27">
        <v>119855.28</v>
      </c>
      <c r="H29" s="27">
        <v>116891.46</v>
      </c>
      <c r="I29" s="27">
        <v>118033.08</v>
      </c>
      <c r="J29" s="27">
        <v>119153.9</v>
      </c>
      <c r="K29" s="27">
        <v>119560.23</v>
      </c>
      <c r="L29" s="27">
        <v>116861.05</v>
      </c>
      <c r="M29" s="27">
        <v>166346.36</v>
      </c>
      <c r="N29" s="27">
        <v>117986.54</v>
      </c>
      <c r="O29" s="27">
        <v>118576.68</v>
      </c>
      <c r="P29" s="27">
        <v>116674.22</v>
      </c>
      <c r="Q29" s="27">
        <v>115744.77</v>
      </c>
      <c r="R29" s="27">
        <v>112724.01</v>
      </c>
      <c r="S29" s="27">
        <v>114923.08</v>
      </c>
      <c r="T29" s="27">
        <v>116375.25</v>
      </c>
      <c r="U29" s="27">
        <v>118264.36</v>
      </c>
      <c r="V29" s="27">
        <v>117771.52</v>
      </c>
      <c r="W29" s="27">
        <v>116101.81</v>
      </c>
      <c r="X29" s="27">
        <v>113574.61</v>
      </c>
      <c r="Y29" s="27">
        <v>121035.06</v>
      </c>
      <c r="Z29" s="27">
        <v>120777.66</v>
      </c>
      <c r="AA29" s="27">
        <v>118135.36</v>
      </c>
      <c r="AB29" s="27">
        <v>120442.04</v>
      </c>
      <c r="AC29" s="27">
        <v>119077.85</v>
      </c>
      <c r="AD29" s="27">
        <v>121037.45</v>
      </c>
      <c r="AE29" s="27">
        <v>119058.23</v>
      </c>
      <c r="AF29" s="27">
        <v>118271.37</v>
      </c>
      <c r="AG29" s="27">
        <v>117331.98</v>
      </c>
      <c r="AH29" s="27">
        <f>SUM(AH19:AH28)</f>
        <v>3704511.45</v>
      </c>
    </row>
    <row r="30" s="7" customFormat="1" ht="15.6" spans="1:35">
      <c r="A30" s="39" t="s">
        <v>35</v>
      </c>
      <c r="B30" s="39"/>
      <c r="C30" s="27">
        <v>716.28</v>
      </c>
      <c r="D30" s="27">
        <v>745.46</v>
      </c>
      <c r="E30" s="27">
        <v>741.1</v>
      </c>
      <c r="F30" s="27">
        <v>715.97</v>
      </c>
      <c r="G30" s="27">
        <v>733.19</v>
      </c>
      <c r="H30" s="27">
        <v>741.87</v>
      </c>
      <c r="I30" s="27">
        <v>768.68</v>
      </c>
      <c r="J30" s="27">
        <v>794.57</v>
      </c>
      <c r="K30" s="27">
        <v>807.81</v>
      </c>
      <c r="L30" s="27">
        <v>796.18</v>
      </c>
      <c r="M30" s="27">
        <v>769.84</v>
      </c>
      <c r="N30" s="27">
        <v>822.93</v>
      </c>
      <c r="O30" s="27">
        <v>838.98</v>
      </c>
      <c r="P30" s="27">
        <v>829.92</v>
      </c>
      <c r="Q30" s="27">
        <v>857.18</v>
      </c>
      <c r="R30" s="27">
        <v>817.95</v>
      </c>
      <c r="S30" s="27">
        <v>810.37</v>
      </c>
      <c r="T30" s="27">
        <v>796.44</v>
      </c>
      <c r="U30" s="27">
        <v>798.83</v>
      </c>
      <c r="V30" s="27">
        <v>856.82</v>
      </c>
      <c r="W30" s="27">
        <v>858.82</v>
      </c>
      <c r="X30" s="27">
        <v>851.69</v>
      </c>
      <c r="Y30" s="27">
        <v>892.34</v>
      </c>
      <c r="Z30" s="27">
        <v>871.79</v>
      </c>
      <c r="AA30" s="27">
        <v>828.97</v>
      </c>
      <c r="AB30" s="27">
        <v>889.55</v>
      </c>
      <c r="AC30" s="27">
        <v>896.1</v>
      </c>
      <c r="AD30" s="27">
        <v>920.61</v>
      </c>
      <c r="AE30" s="27">
        <v>918.59</v>
      </c>
      <c r="AF30" s="27">
        <v>916.87</v>
      </c>
      <c r="AG30" s="27">
        <v>901.72</v>
      </c>
      <c r="AH30" s="27">
        <f t="shared" ref="AH30:AH42" si="3">SUM(C30:AG30)</f>
        <v>25507.42</v>
      </c>
    </row>
    <row r="31" s="7" customFormat="1" spans="1:35">
      <c r="A31" s="94" t="s">
        <v>36</v>
      </c>
      <c r="B31" s="94"/>
      <c r="C31" s="27">
        <v>-19626.08</v>
      </c>
      <c r="D31" s="27">
        <v>-16117.93</v>
      </c>
      <c r="E31" s="27">
        <v>-15976.16</v>
      </c>
      <c r="F31" s="27">
        <v>-19734.31</v>
      </c>
      <c r="G31" s="27">
        <v>-18756.06</v>
      </c>
      <c r="H31" s="27">
        <v>-14596.28</v>
      </c>
      <c r="I31" s="27">
        <v>-12041.01</v>
      </c>
      <c r="J31" s="27">
        <v>-9591.72</v>
      </c>
      <c r="K31" s="27">
        <v>-8172.71</v>
      </c>
      <c r="L31" s="27">
        <v>-7076.53</v>
      </c>
      <c r="M31" s="27">
        <v>-60194.41</v>
      </c>
      <c r="N31" s="27">
        <v>-4513.56</v>
      </c>
      <c r="O31" s="27">
        <v>-2890.38</v>
      </c>
      <c r="P31" s="27">
        <v>-2237.76</v>
      </c>
      <c r="Q31" s="27">
        <v>2450.25</v>
      </c>
      <c r="R31" s="27">
        <v>61.82</v>
      </c>
      <c r="S31" s="27">
        <v>-3182.39</v>
      </c>
      <c r="T31" s="27">
        <v>-6554.98</v>
      </c>
      <c r="U31" s="27">
        <v>-8114.96</v>
      </c>
      <c r="V31" s="27">
        <v>375.11</v>
      </c>
      <c r="W31" s="27">
        <v>2320.24</v>
      </c>
      <c r="X31" s="27">
        <v>3864.28</v>
      </c>
      <c r="Y31" s="27">
        <v>2008.17</v>
      </c>
      <c r="Z31" s="27">
        <v>-567.75</v>
      </c>
      <c r="AA31" s="27">
        <v>-3828.95</v>
      </c>
      <c r="AB31" s="27">
        <v>2217.27</v>
      </c>
      <c r="AC31" s="27">
        <v>4484.05</v>
      </c>
      <c r="AD31" s="27">
        <v>5904.86</v>
      </c>
      <c r="AE31" s="27">
        <v>7604.92</v>
      </c>
      <c r="AF31" s="27">
        <v>8154.77</v>
      </c>
      <c r="AG31" s="27">
        <v>7004.96</v>
      </c>
      <c r="AH31" s="27">
        <f>AH11-AH29-AH30</f>
        <v>-187323.229999998</v>
      </c>
    </row>
    <row r="32" customFormat="1" ht="15" spans="1:35">
      <c r="A32" s="91">
        <v>1</v>
      </c>
      <c r="B32" s="95" t="s">
        <v>37</v>
      </c>
      <c r="C32" s="86">
        <v>10686.37</v>
      </c>
      <c r="D32" s="86">
        <v>10686.37</v>
      </c>
      <c r="E32" s="86">
        <v>10686.37</v>
      </c>
      <c r="F32" s="86">
        <v>10686.37</v>
      </c>
      <c r="G32" s="86">
        <v>10686.37</v>
      </c>
      <c r="H32" s="86">
        <v>10686.37</v>
      </c>
      <c r="I32" s="86">
        <v>10686.37</v>
      </c>
      <c r="J32" s="86">
        <v>10686.37</v>
      </c>
      <c r="K32" s="86">
        <v>10686.37</v>
      </c>
      <c r="L32" s="86">
        <v>10686.37</v>
      </c>
      <c r="M32" s="86">
        <v>10686.37</v>
      </c>
      <c r="N32" s="86">
        <v>10686.37</v>
      </c>
      <c r="O32" s="86">
        <v>10686.37</v>
      </c>
      <c r="P32" s="86">
        <v>10686.37</v>
      </c>
      <c r="Q32" s="86">
        <v>10686.37</v>
      </c>
      <c r="R32" s="86">
        <v>10686.37</v>
      </c>
      <c r="S32" s="86">
        <v>10686.37</v>
      </c>
      <c r="T32" s="86">
        <v>10686.37</v>
      </c>
      <c r="U32" s="86">
        <v>10686.37</v>
      </c>
      <c r="V32" s="86">
        <v>10686.37</v>
      </c>
      <c r="W32" s="86">
        <v>10686.37</v>
      </c>
      <c r="X32" s="86">
        <v>10686.37</v>
      </c>
      <c r="Y32" s="86">
        <v>10686.37</v>
      </c>
      <c r="Z32" s="86">
        <v>10686.37</v>
      </c>
      <c r="AA32" s="86">
        <v>10686.37</v>
      </c>
      <c r="AB32" s="86">
        <v>10686.37</v>
      </c>
      <c r="AC32" s="86">
        <v>10686.37</v>
      </c>
      <c r="AD32" s="86">
        <v>10686.37</v>
      </c>
      <c r="AE32" s="86">
        <v>10686.37</v>
      </c>
      <c r="AF32" s="86">
        <v>10686.37</v>
      </c>
      <c r="AG32" s="86">
        <v>10686.37</v>
      </c>
      <c r="AH32" s="87">
        <f t="shared" si="3"/>
        <v>331277.47</v>
      </c>
      <c r="AI32" s="9"/>
    </row>
    <row r="33" customFormat="1" ht="15" spans="1:35">
      <c r="A33" s="91">
        <v>2</v>
      </c>
      <c r="B33" s="95" t="s">
        <v>38</v>
      </c>
      <c r="C33" s="86">
        <v>680.65</v>
      </c>
      <c r="D33" s="86">
        <v>680.65</v>
      </c>
      <c r="E33" s="86">
        <v>680.65</v>
      </c>
      <c r="F33" s="86">
        <v>680.65</v>
      </c>
      <c r="G33" s="86">
        <v>680.65</v>
      </c>
      <c r="H33" s="86">
        <v>680.65</v>
      </c>
      <c r="I33" s="86">
        <v>680.65</v>
      </c>
      <c r="J33" s="86">
        <v>680.65</v>
      </c>
      <c r="K33" s="86">
        <v>680.65</v>
      </c>
      <c r="L33" s="86">
        <v>680.65</v>
      </c>
      <c r="M33" s="86">
        <v>680.65</v>
      </c>
      <c r="N33" s="86">
        <v>680.65</v>
      </c>
      <c r="O33" s="86">
        <v>680.65</v>
      </c>
      <c r="P33" s="86">
        <v>680.65</v>
      </c>
      <c r="Q33" s="86">
        <v>680.65</v>
      </c>
      <c r="R33" s="86">
        <v>680.65</v>
      </c>
      <c r="S33" s="86">
        <v>680.65</v>
      </c>
      <c r="T33" s="86">
        <v>680.65</v>
      </c>
      <c r="U33" s="86">
        <v>680.65</v>
      </c>
      <c r="V33" s="86">
        <v>680.65</v>
      </c>
      <c r="W33" s="86">
        <v>680.65</v>
      </c>
      <c r="X33" s="86">
        <v>680.65</v>
      </c>
      <c r="Y33" s="86">
        <v>680.65</v>
      </c>
      <c r="Z33" s="86">
        <v>680.65</v>
      </c>
      <c r="AA33" s="86">
        <v>680.65</v>
      </c>
      <c r="AB33" s="86">
        <v>680.65</v>
      </c>
      <c r="AC33" s="86">
        <v>680.65</v>
      </c>
      <c r="AD33" s="86">
        <v>680.65</v>
      </c>
      <c r="AE33" s="86">
        <v>680.65</v>
      </c>
      <c r="AF33" s="86">
        <v>680.65</v>
      </c>
      <c r="AG33" s="86">
        <v>680.65</v>
      </c>
      <c r="AH33" s="92">
        <f t="shared" si="3"/>
        <v>21100.15</v>
      </c>
      <c r="AI33" s="9"/>
    </row>
    <row r="34" customFormat="1" ht="15" spans="1:35">
      <c r="A34" s="91">
        <v>3</v>
      </c>
      <c r="B34" s="95" t="s">
        <v>39</v>
      </c>
      <c r="C34" s="86">
        <v>1262.90322580645</v>
      </c>
      <c r="D34" s="86">
        <v>1262.90322580645</v>
      </c>
      <c r="E34" s="86">
        <v>1262.90322580645</v>
      </c>
      <c r="F34" s="86">
        <v>1262.90322580645</v>
      </c>
      <c r="G34" s="86">
        <v>1262.90322580645</v>
      </c>
      <c r="H34" s="86">
        <v>1262.90322580645</v>
      </c>
      <c r="I34" s="86">
        <v>1262.90322580645</v>
      </c>
      <c r="J34" s="86">
        <v>1262.90322580645</v>
      </c>
      <c r="K34" s="86">
        <v>1262.90322580645</v>
      </c>
      <c r="L34" s="86">
        <v>1262.90322580645</v>
      </c>
      <c r="M34" s="86">
        <v>1262.90322580645</v>
      </c>
      <c r="N34" s="86">
        <v>1262.90322580645</v>
      </c>
      <c r="O34" s="86">
        <v>1262.90322580645</v>
      </c>
      <c r="P34" s="86">
        <v>1262.90322580645</v>
      </c>
      <c r="Q34" s="86">
        <v>1262.90322580645</v>
      </c>
      <c r="R34" s="86">
        <v>1262.90322580645</v>
      </c>
      <c r="S34" s="86">
        <v>1262.90322580645</v>
      </c>
      <c r="T34" s="86">
        <v>1262.90322580645</v>
      </c>
      <c r="U34" s="86">
        <v>1262.90322580645</v>
      </c>
      <c r="V34" s="86">
        <v>1262.90322580645</v>
      </c>
      <c r="W34" s="86">
        <v>1262.90322580645</v>
      </c>
      <c r="X34" s="86">
        <v>1262.90322580645</v>
      </c>
      <c r="Y34" s="86">
        <v>1262.90322580645</v>
      </c>
      <c r="Z34" s="86">
        <v>1262.90322580645</v>
      </c>
      <c r="AA34" s="86">
        <v>1262.90322580645</v>
      </c>
      <c r="AB34" s="86">
        <v>1262.90322580645</v>
      </c>
      <c r="AC34" s="86">
        <v>1262.90322580645</v>
      </c>
      <c r="AD34" s="86">
        <v>1262.90322580645</v>
      </c>
      <c r="AE34" s="86">
        <v>1262.90322580645</v>
      </c>
      <c r="AF34" s="86">
        <v>1262.90322580645</v>
      </c>
      <c r="AG34" s="86">
        <v>1262.90322580645</v>
      </c>
      <c r="AH34" s="92">
        <f>ROUND(SUM(C34:AG34),2)</f>
        <v>39150</v>
      </c>
      <c r="AI34" s="9"/>
    </row>
    <row r="35" customFormat="1" ht="15" spans="1:35">
      <c r="A35" s="91">
        <v>4</v>
      </c>
      <c r="B35" s="78" t="s">
        <v>26</v>
      </c>
      <c r="C35" s="81">
        <v>29.17</v>
      </c>
      <c r="D35" s="86">
        <v>29.17</v>
      </c>
      <c r="E35" s="86">
        <v>29.17</v>
      </c>
      <c r="F35" s="86">
        <v>29.17</v>
      </c>
      <c r="G35" s="86">
        <v>29.17</v>
      </c>
      <c r="H35" s="86">
        <v>29.17</v>
      </c>
      <c r="I35" s="86">
        <v>29.17</v>
      </c>
      <c r="J35" s="86">
        <v>29.17</v>
      </c>
      <c r="K35" s="86">
        <v>29.17</v>
      </c>
      <c r="L35" s="86">
        <v>29.17</v>
      </c>
      <c r="M35" s="86">
        <v>29.17</v>
      </c>
      <c r="N35" s="86">
        <v>29.17</v>
      </c>
      <c r="O35" s="86">
        <v>29.17</v>
      </c>
      <c r="P35" s="86">
        <v>29.17</v>
      </c>
      <c r="Q35" s="86">
        <v>29.17</v>
      </c>
      <c r="R35" s="86">
        <v>29.17</v>
      </c>
      <c r="S35" s="86">
        <v>29.17</v>
      </c>
      <c r="T35" s="86">
        <v>29.17</v>
      </c>
      <c r="U35" s="86">
        <v>29.17</v>
      </c>
      <c r="V35" s="86">
        <v>29.17</v>
      </c>
      <c r="W35" s="86">
        <v>29.17</v>
      </c>
      <c r="X35" s="86">
        <v>29.17</v>
      </c>
      <c r="Y35" s="86">
        <v>29.17</v>
      </c>
      <c r="Z35" s="86">
        <v>29.17</v>
      </c>
      <c r="AA35" s="86">
        <v>29.17</v>
      </c>
      <c r="AB35" s="86">
        <v>29.17</v>
      </c>
      <c r="AC35" s="86">
        <v>29.17</v>
      </c>
      <c r="AD35" s="86">
        <v>29.17</v>
      </c>
      <c r="AE35" s="86">
        <v>29.17</v>
      </c>
      <c r="AF35" s="86">
        <v>29.17</v>
      </c>
      <c r="AG35" s="86">
        <v>29.17</v>
      </c>
      <c r="AH35" s="87">
        <f t="shared" si="3"/>
        <v>904.27</v>
      </c>
      <c r="AI35" s="9"/>
    </row>
    <row r="36" customFormat="1" ht="15" spans="1:35">
      <c r="A36" s="91">
        <v>5</v>
      </c>
      <c r="B36" s="78" t="s">
        <v>27</v>
      </c>
      <c r="C36" s="81">
        <v>34.17</v>
      </c>
      <c r="D36" s="86">
        <v>34.17</v>
      </c>
      <c r="E36" s="86">
        <v>34.17</v>
      </c>
      <c r="F36" s="86">
        <v>34.17</v>
      </c>
      <c r="G36" s="86">
        <v>34.17</v>
      </c>
      <c r="H36" s="86">
        <v>34.17</v>
      </c>
      <c r="I36" s="86">
        <v>34.17</v>
      </c>
      <c r="J36" s="86">
        <v>34.17</v>
      </c>
      <c r="K36" s="86">
        <v>34.17</v>
      </c>
      <c r="L36" s="86">
        <v>34.17</v>
      </c>
      <c r="M36" s="86">
        <v>34.17</v>
      </c>
      <c r="N36" s="86">
        <v>34.17</v>
      </c>
      <c r="O36" s="86">
        <v>34.17</v>
      </c>
      <c r="P36" s="86">
        <v>34.17</v>
      </c>
      <c r="Q36" s="86">
        <v>34.17</v>
      </c>
      <c r="R36" s="86">
        <v>34.17</v>
      </c>
      <c r="S36" s="86">
        <v>34.17</v>
      </c>
      <c r="T36" s="86">
        <v>34.17</v>
      </c>
      <c r="U36" s="86">
        <v>34.17</v>
      </c>
      <c r="V36" s="86">
        <v>34.17</v>
      </c>
      <c r="W36" s="86">
        <v>34.17</v>
      </c>
      <c r="X36" s="86">
        <v>34.17</v>
      </c>
      <c r="Y36" s="86">
        <v>34.17</v>
      </c>
      <c r="Z36" s="86">
        <v>34.17</v>
      </c>
      <c r="AA36" s="86">
        <v>34.17</v>
      </c>
      <c r="AB36" s="86">
        <v>34.17</v>
      </c>
      <c r="AC36" s="86">
        <v>34.17</v>
      </c>
      <c r="AD36" s="86">
        <v>34.17</v>
      </c>
      <c r="AE36" s="86">
        <v>34.17</v>
      </c>
      <c r="AF36" s="86">
        <v>34.17</v>
      </c>
      <c r="AG36" s="86">
        <v>34.17</v>
      </c>
      <c r="AH36" s="87">
        <f t="shared" si="3"/>
        <v>1059.27</v>
      </c>
      <c r="AI36" s="9"/>
    </row>
    <row r="37" customFormat="1" ht="15" spans="1:35">
      <c r="A37" s="91">
        <v>6</v>
      </c>
      <c r="B37" s="95" t="s">
        <v>40</v>
      </c>
      <c r="C37" s="86"/>
      <c r="D37" s="86"/>
      <c r="E37" s="86"/>
      <c r="F37" s="86"/>
      <c r="G37" s="9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7">
        <f t="shared" si="3"/>
        <v>0</v>
      </c>
      <c r="AI37" s="9"/>
    </row>
    <row r="38" customFormat="1" ht="15" spans="1:35">
      <c r="A38" s="91">
        <v>7</v>
      </c>
      <c r="B38" s="96" t="s">
        <v>41</v>
      </c>
      <c r="C38" s="81">
        <v>620</v>
      </c>
      <c r="D38" s="81">
        <v>560</v>
      </c>
      <c r="E38" s="81">
        <v>580</v>
      </c>
      <c r="F38" s="81">
        <v>520</v>
      </c>
      <c r="G38" s="81">
        <v>540</v>
      </c>
      <c r="H38" s="81">
        <v>560</v>
      </c>
      <c r="I38" s="81">
        <v>500</v>
      </c>
      <c r="J38" s="81">
        <v>580</v>
      </c>
      <c r="K38" s="81">
        <v>540</v>
      </c>
      <c r="L38" s="81">
        <v>420</v>
      </c>
      <c r="M38" s="81">
        <v>520</v>
      </c>
      <c r="N38" s="81">
        <v>560</v>
      </c>
      <c r="O38" s="81">
        <v>520</v>
      </c>
      <c r="P38" s="81">
        <v>480</v>
      </c>
      <c r="Q38" s="81">
        <v>480</v>
      </c>
      <c r="R38" s="81">
        <v>460</v>
      </c>
      <c r="S38" s="81">
        <v>500</v>
      </c>
      <c r="T38" s="81">
        <v>480</v>
      </c>
      <c r="U38" s="81">
        <v>460</v>
      </c>
      <c r="V38" s="81">
        <v>480</v>
      </c>
      <c r="W38" s="81">
        <v>480</v>
      </c>
      <c r="X38" s="81">
        <v>420</v>
      </c>
      <c r="Y38" s="81">
        <v>400</v>
      </c>
      <c r="Z38" s="81">
        <v>380</v>
      </c>
      <c r="AA38" s="81">
        <v>340</v>
      </c>
      <c r="AB38" s="81">
        <v>360</v>
      </c>
      <c r="AC38" s="81">
        <v>300</v>
      </c>
      <c r="AD38" s="81">
        <v>280</v>
      </c>
      <c r="AE38" s="81">
        <v>320</v>
      </c>
      <c r="AF38" s="81">
        <v>320</v>
      </c>
      <c r="AG38" s="81">
        <v>280</v>
      </c>
      <c r="AH38" s="87">
        <f t="shared" si="3"/>
        <v>14240</v>
      </c>
      <c r="AI38" s="9"/>
    </row>
    <row r="39" customFormat="1" ht="15" spans="1:35">
      <c r="A39" s="91">
        <v>8</v>
      </c>
      <c r="B39" s="99" t="s">
        <v>42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7">
        <f t="shared" si="3"/>
        <v>0</v>
      </c>
      <c r="AI39" s="9"/>
    </row>
    <row r="40" customFormat="1" ht="15" spans="1:35">
      <c r="A40" s="91">
        <v>9</v>
      </c>
      <c r="B40" s="99" t="s">
        <v>43</v>
      </c>
      <c r="C40" s="81"/>
      <c r="D40" s="81">
        <v>233004.05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7">
        <f t="shared" si="3"/>
        <v>233004.05</v>
      </c>
      <c r="AI40" s="9"/>
    </row>
    <row r="41" customFormat="1" ht="15" spans="1:35">
      <c r="A41" s="91">
        <v>10</v>
      </c>
      <c r="B41" s="100" t="s">
        <v>44</v>
      </c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7">
        <f t="shared" si="3"/>
        <v>0</v>
      </c>
      <c r="AI41" s="9"/>
    </row>
    <row r="42" customFormat="1" ht="15" spans="1:35">
      <c r="A42" s="91">
        <v>11</v>
      </c>
      <c r="B42" s="95" t="s">
        <v>45</v>
      </c>
      <c r="C42" s="81">
        <v>634</v>
      </c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7">
        <f t="shared" si="3"/>
        <v>634</v>
      </c>
      <c r="AI42" s="9"/>
    </row>
    <row r="43" customFormat="1" ht="13.5" hidden="1" customHeight="1" spans="1:35">
      <c r="A43" s="91">
        <v>13</v>
      </c>
      <c r="B43" s="95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7"/>
      <c r="AI43" s="9"/>
    </row>
    <row r="44" customFormat="1" ht="15" hidden="1" spans="1:35">
      <c r="A44" s="91">
        <v>14</v>
      </c>
      <c r="B44" s="10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7"/>
      <c r="AI44" s="9"/>
    </row>
    <row r="45" s="7" customFormat="1" ht="15.6" spans="1:35">
      <c r="A45" s="102" t="s">
        <v>46</v>
      </c>
      <c r="B45" s="102"/>
      <c r="C45" s="42">
        <f t="shared" ref="C45:AH45" si="4">SUM(C32:C44)</f>
        <v>13947.2632258065</v>
      </c>
      <c r="D45" s="42">
        <f t="shared" si="4"/>
        <v>246257.313225806</v>
      </c>
      <c r="E45" s="42">
        <f t="shared" si="4"/>
        <v>13273.2632258065</v>
      </c>
      <c r="F45" s="42">
        <f t="shared" si="4"/>
        <v>13213.2632258065</v>
      </c>
      <c r="G45" s="42">
        <f t="shared" si="4"/>
        <v>13233.2632258065</v>
      </c>
      <c r="H45" s="42">
        <f t="shared" si="4"/>
        <v>13253.2632258065</v>
      </c>
      <c r="I45" s="42">
        <f t="shared" si="4"/>
        <v>13193.2632258065</v>
      </c>
      <c r="J45" s="42">
        <f t="shared" si="4"/>
        <v>13273.2632258065</v>
      </c>
      <c r="K45" s="42">
        <f t="shared" si="4"/>
        <v>13233.2632258065</v>
      </c>
      <c r="L45" s="42">
        <f t="shared" si="4"/>
        <v>13113.2632258065</v>
      </c>
      <c r="M45" s="42">
        <f t="shared" si="4"/>
        <v>13213.2632258065</v>
      </c>
      <c r="N45" s="42">
        <f t="shared" si="4"/>
        <v>13253.2632258065</v>
      </c>
      <c r="O45" s="42">
        <f t="shared" si="4"/>
        <v>13213.2632258065</v>
      </c>
      <c r="P45" s="42">
        <f t="shared" si="4"/>
        <v>13173.2632258065</v>
      </c>
      <c r="Q45" s="42">
        <f t="shared" si="4"/>
        <v>13173.2632258065</v>
      </c>
      <c r="R45" s="42">
        <f t="shared" si="4"/>
        <v>13153.2632258065</v>
      </c>
      <c r="S45" s="42">
        <f t="shared" si="4"/>
        <v>13193.2632258065</v>
      </c>
      <c r="T45" s="42">
        <f t="shared" si="4"/>
        <v>13173.2632258065</v>
      </c>
      <c r="U45" s="42">
        <f t="shared" si="4"/>
        <v>13153.2632258065</v>
      </c>
      <c r="V45" s="42">
        <f t="shared" si="4"/>
        <v>13173.2632258065</v>
      </c>
      <c r="W45" s="42">
        <f t="shared" si="4"/>
        <v>13173.2632258065</v>
      </c>
      <c r="X45" s="42">
        <f t="shared" si="4"/>
        <v>13113.2632258065</v>
      </c>
      <c r="Y45" s="42">
        <f t="shared" si="4"/>
        <v>13093.2632258065</v>
      </c>
      <c r="Z45" s="42">
        <f t="shared" si="4"/>
        <v>13073.2632258065</v>
      </c>
      <c r="AA45" s="42">
        <f t="shared" si="4"/>
        <v>13033.2632258065</v>
      </c>
      <c r="AB45" s="42">
        <f t="shared" si="4"/>
        <v>13053.2632258065</v>
      </c>
      <c r="AC45" s="42">
        <f t="shared" si="4"/>
        <v>12993.2632258065</v>
      </c>
      <c r="AD45" s="42">
        <f t="shared" si="4"/>
        <v>12973.2632258065</v>
      </c>
      <c r="AE45" s="42">
        <f t="shared" si="4"/>
        <v>13013.2632258065</v>
      </c>
      <c r="AF45" s="42">
        <f t="shared" si="4"/>
        <v>13013.2632258065</v>
      </c>
      <c r="AG45" s="42">
        <f t="shared" si="4"/>
        <v>12973.2632258065</v>
      </c>
      <c r="AH45" s="42">
        <f t="shared" si="4"/>
        <v>641369.21</v>
      </c>
    </row>
    <row r="46" s="7" customFormat="1" ht="15.6" spans="1:35">
      <c r="A46" s="102" t="s">
        <v>47</v>
      </c>
      <c r="B46" s="102"/>
      <c r="C46" s="27">
        <f>ROUND(C31-C45,2)</f>
        <v>-33573.34</v>
      </c>
      <c r="D46" s="27">
        <f t="shared" ref="D46:AG46" si="5">D31-D45</f>
        <v>-262375.243225806</v>
      </c>
      <c r="E46" s="27">
        <f t="shared" si="5"/>
        <v>-29249.4232258065</v>
      </c>
      <c r="F46" s="27">
        <f t="shared" si="5"/>
        <v>-32947.5732258065</v>
      </c>
      <c r="G46" s="27">
        <f t="shared" si="5"/>
        <v>-31989.3232258065</v>
      </c>
      <c r="H46" s="27">
        <f t="shared" si="5"/>
        <v>-27849.5432258065</v>
      </c>
      <c r="I46" s="27">
        <f t="shared" si="5"/>
        <v>-25234.2732258064</v>
      </c>
      <c r="J46" s="27">
        <f t="shared" si="5"/>
        <v>-22864.9832258064</v>
      </c>
      <c r="K46" s="27">
        <f t="shared" si="5"/>
        <v>-21405.9732258065</v>
      </c>
      <c r="L46" s="27">
        <f t="shared" si="5"/>
        <v>-20189.7932258065</v>
      </c>
      <c r="M46" s="27">
        <f t="shared" si="5"/>
        <v>-73407.6732258065</v>
      </c>
      <c r="N46" s="27">
        <f t="shared" si="5"/>
        <v>-17766.8232258065</v>
      </c>
      <c r="O46" s="27">
        <f t="shared" si="5"/>
        <v>-16103.6432258065</v>
      </c>
      <c r="P46" s="27">
        <f t="shared" si="5"/>
        <v>-15411.0232258065</v>
      </c>
      <c r="Q46" s="27">
        <f t="shared" si="5"/>
        <v>-10723.0132258065</v>
      </c>
      <c r="R46" s="27">
        <f t="shared" si="5"/>
        <v>-13091.4432258065</v>
      </c>
      <c r="S46" s="27">
        <f t="shared" si="5"/>
        <v>-16375.6532258065</v>
      </c>
      <c r="T46" s="27">
        <f t="shared" si="5"/>
        <v>-19728.2432258065</v>
      </c>
      <c r="U46" s="27">
        <f t="shared" si="5"/>
        <v>-21268.2232258065</v>
      </c>
      <c r="V46" s="27">
        <f t="shared" si="5"/>
        <v>-12798.1532258065</v>
      </c>
      <c r="W46" s="27">
        <f t="shared" si="5"/>
        <v>-10853.0232258065</v>
      </c>
      <c r="X46" s="27">
        <f t="shared" si="5"/>
        <v>-9248.98322580645</v>
      </c>
      <c r="Y46" s="27">
        <f t="shared" si="5"/>
        <v>-11085.0932258065</v>
      </c>
      <c r="Z46" s="27">
        <f t="shared" si="5"/>
        <v>-13641.0132258065</v>
      </c>
      <c r="AA46" s="27">
        <f t="shared" si="5"/>
        <v>-16862.2132258065</v>
      </c>
      <c r="AB46" s="27">
        <f t="shared" si="5"/>
        <v>-10835.9932258065</v>
      </c>
      <c r="AC46" s="27">
        <f t="shared" si="5"/>
        <v>-8509.21322580645</v>
      </c>
      <c r="AD46" s="27">
        <f t="shared" si="5"/>
        <v>-7068.40322580645</v>
      </c>
      <c r="AE46" s="27">
        <f t="shared" si="5"/>
        <v>-5408.34322580645</v>
      </c>
      <c r="AF46" s="27">
        <f t="shared" si="5"/>
        <v>-4858.49322580645</v>
      </c>
      <c r="AG46" s="27">
        <f t="shared" si="5"/>
        <v>-5968.30322580645</v>
      </c>
      <c r="AH46" s="27">
        <f>ROUND(AH31-AH45,2)</f>
        <v>-828692.44</v>
      </c>
    </row>
    <row r="47" s="9" customFormat="1" ht="144" customHeight="1" spans="1:35">
      <c r="A47" s="103" t="s">
        <v>48</v>
      </c>
      <c r="B47" s="103"/>
      <c r="C47" s="48" t="s">
        <v>80</v>
      </c>
      <c r="D47" s="48"/>
      <c r="E47" s="48"/>
      <c r="F47" s="48"/>
      <c r="G47" s="48"/>
      <c r="H47" s="117"/>
      <c r="I47" s="117"/>
      <c r="J47" s="48"/>
      <c r="K47" s="117"/>
      <c r="L47" s="117"/>
      <c r="M47" s="117"/>
      <c r="N47" s="48"/>
      <c r="O47" s="51"/>
      <c r="P47" s="51"/>
      <c r="Q47" s="51" t="s">
        <v>81</v>
      </c>
      <c r="R47" s="51" t="s">
        <v>81</v>
      </c>
      <c r="S47" s="51" t="s">
        <v>81</v>
      </c>
      <c r="T47" s="51" t="s">
        <v>81</v>
      </c>
      <c r="U47" s="51" t="s">
        <v>81</v>
      </c>
      <c r="V47" s="51" t="s">
        <v>81</v>
      </c>
      <c r="W47" s="51" t="s">
        <v>81</v>
      </c>
      <c r="X47" s="51" t="s">
        <v>82</v>
      </c>
      <c r="Y47" s="118"/>
      <c r="Z47" s="119"/>
      <c r="AA47" s="118"/>
      <c r="AB47" s="119" t="s">
        <v>83</v>
      </c>
      <c r="AC47" s="119"/>
      <c r="AD47" s="119"/>
      <c r="AE47" s="48"/>
      <c r="AF47" s="48"/>
      <c r="AG47" s="114"/>
      <c r="AH47" s="53"/>
    </row>
    <row r="48" customFormat="1" ht="15.6" spans="1:35">
      <c r="A48" s="104" t="s">
        <v>58</v>
      </c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9"/>
    </row>
    <row r="49" customFormat="1" ht="18" customHeight="1" spans="1:35">
      <c r="A49" s="9"/>
      <c r="B49" s="9"/>
      <c r="C49" s="106"/>
      <c r="D49" s="106"/>
      <c r="E49" s="106"/>
      <c r="F49" s="106"/>
      <c r="G49" s="106"/>
      <c r="H49" s="107"/>
      <c r="I49" s="108"/>
      <c r="J49" s="108"/>
      <c r="K49" s="108"/>
      <c r="L49" s="108"/>
      <c r="M49" s="10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customFormat="1" ht="18" customHeight="1" spans="1:35">
      <c r="A50" s="9"/>
      <c r="B50" s="9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13"/>
      <c r="O50" s="113"/>
      <c r="P50" s="113"/>
      <c r="Q50" s="113"/>
      <c r="R50" s="113"/>
      <c r="S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customFormat="1" ht="18" customHeight="1" spans="1:35">
      <c r="A51" s="9"/>
      <c r="B51" s="9"/>
      <c r="C51" s="107"/>
      <c r="D51" s="107"/>
      <c r="E51" s="122"/>
      <c r="K51" s="122"/>
      <c r="L51" s="122"/>
      <c r="Y51" s="109" t="s">
        <v>59</v>
      </c>
      <c r="Z51" s="109"/>
      <c r="AA51" s="109"/>
      <c r="AB51" s="109"/>
      <c r="AC51" s="109"/>
      <c r="AF51" s="9"/>
      <c r="AG51" s="9"/>
      <c r="AH51" s="9"/>
      <c r="AI51" s="9"/>
    </row>
    <row r="52" customFormat="1" ht="18" customHeight="1" spans="1:35">
      <c r="A52" s="9"/>
      <c r="B52" s="9"/>
      <c r="C52" s="107"/>
      <c r="D52" s="107"/>
      <c r="E52" s="107"/>
      <c r="K52" s="107"/>
      <c r="L52" s="107"/>
      <c r="Y52" s="109" t="s">
        <v>60</v>
      </c>
      <c r="Z52" s="109"/>
      <c r="AA52" s="109" t="s">
        <v>61</v>
      </c>
      <c r="AB52" s="109"/>
      <c r="AC52" s="109"/>
      <c r="AF52" s="9"/>
      <c r="AG52" s="9"/>
      <c r="AH52" s="9"/>
      <c r="AI52" s="9"/>
    </row>
    <row r="53" customFormat="1" ht="18" customHeight="1" spans="1:35">
      <c r="A53" s="9"/>
      <c r="B53" s="9"/>
      <c r="C53" s="107"/>
      <c r="D53" s="107"/>
      <c r="E53" s="107"/>
      <c r="K53" s="107"/>
      <c r="L53" s="107"/>
      <c r="Y53" s="109" t="s">
        <v>62</v>
      </c>
      <c r="Z53" s="109"/>
      <c r="AA53" s="110">
        <v>45900</v>
      </c>
      <c r="AB53" s="110"/>
      <c r="AC53" s="110"/>
      <c r="AF53" s="9"/>
      <c r="AG53" s="9"/>
      <c r="AH53" s="9"/>
      <c r="AI53" s="9"/>
    </row>
    <row r="54" customFormat="1" ht="18" customHeight="1" spans="1:35">
      <c r="A54" s="9"/>
      <c r="B54" s="9"/>
      <c r="C54" s="107"/>
      <c r="D54" s="107"/>
      <c r="E54" s="107"/>
      <c r="K54" s="107"/>
      <c r="L54" s="107"/>
      <c r="Y54" s="109" t="s">
        <v>63</v>
      </c>
      <c r="Z54" s="109"/>
      <c r="AA54" s="109">
        <v>23</v>
      </c>
      <c r="AB54" s="109"/>
      <c r="AC54" s="109"/>
      <c r="AF54" s="9"/>
      <c r="AG54" s="9"/>
      <c r="AH54" s="9"/>
      <c r="AI54" s="9"/>
    </row>
    <row r="55" customFormat="1" ht="18" customHeight="1" spans="1:35">
      <c r="A55" s="105"/>
      <c r="B55" s="105"/>
      <c r="C55" s="121"/>
      <c r="D55" s="121"/>
      <c r="E55" s="121"/>
      <c r="K55" s="121"/>
      <c r="L55" s="121"/>
      <c r="Y55" s="109" t="s">
        <v>64</v>
      </c>
      <c r="Z55" s="109"/>
      <c r="AA55" s="109">
        <v>281</v>
      </c>
      <c r="AB55" s="109"/>
      <c r="AC55" s="109"/>
      <c r="AF55" s="105"/>
      <c r="AG55" s="105"/>
      <c r="AH55" s="105"/>
      <c r="AI55" s="9"/>
    </row>
    <row r="56" customFormat="1" ht="18" customHeight="1" spans="1:35">
      <c r="A56" s="9"/>
      <c r="B56" s="9"/>
      <c r="C56" s="107"/>
      <c r="D56" s="107"/>
      <c r="E56" s="107"/>
      <c r="K56" s="107"/>
      <c r="L56" s="107"/>
      <c r="Y56" s="109" t="s">
        <v>65</v>
      </c>
      <c r="Z56" s="109"/>
      <c r="AA56" s="109">
        <v>75</v>
      </c>
      <c r="AB56" s="109"/>
      <c r="AC56" s="109"/>
      <c r="AF56" s="9"/>
      <c r="AG56" s="9"/>
      <c r="AH56" s="9"/>
      <c r="AI56" s="9"/>
    </row>
    <row r="57" customFormat="1" ht="18" customHeight="1" spans="1:35">
      <c r="A57" s="9"/>
      <c r="B57" s="9"/>
      <c r="C57" s="107"/>
      <c r="D57" s="107"/>
      <c r="E57" s="107"/>
      <c r="K57" s="107"/>
      <c r="L57" s="107"/>
      <c r="Y57" s="111" t="s">
        <v>20</v>
      </c>
      <c r="Z57" s="111"/>
      <c r="AA57" s="111">
        <v>379</v>
      </c>
      <c r="AB57" s="111"/>
      <c r="AC57" s="111"/>
      <c r="AF57" s="9"/>
      <c r="AG57" s="9"/>
      <c r="AH57" s="9"/>
      <c r="AI57" s="9"/>
    </row>
    <row r="58" customFormat="1" ht="18" customHeight="1" spans="1:35">
      <c r="A58" s="9"/>
      <c r="B58" s="9"/>
      <c r="C58" s="107"/>
      <c r="D58" s="107"/>
      <c r="E58" s="123"/>
      <c r="K58" s="123"/>
      <c r="L58" s="123"/>
      <c r="Y58" s="109" t="s">
        <v>5</v>
      </c>
      <c r="Z58" s="109"/>
      <c r="AA58" s="109">
        <v>814355</v>
      </c>
      <c r="AB58" s="109"/>
      <c r="AC58" s="109"/>
      <c r="AF58" s="9"/>
      <c r="AG58" s="9"/>
      <c r="AH58" s="9"/>
      <c r="AI58" s="9"/>
    </row>
    <row r="59" customFormat="1" spans="1:35">
      <c r="A59" s="9"/>
      <c r="B59" s="9"/>
      <c r="C59" s="113"/>
      <c r="D59" s="113"/>
      <c r="E59" s="113"/>
      <c r="K59" s="113"/>
      <c r="L59" s="113"/>
      <c r="Y59" s="109" t="s">
        <v>21</v>
      </c>
      <c r="Z59" s="109"/>
      <c r="AA59" s="109">
        <v>4049</v>
      </c>
      <c r="AB59" s="109"/>
      <c r="AC59" s="109"/>
      <c r="AF59" s="9"/>
      <c r="AG59" s="9"/>
      <c r="AH59" s="9"/>
      <c r="AI59" s="9"/>
    </row>
    <row r="60" customFormat="1" spans="1:35">
      <c r="A60" s="9"/>
      <c r="B60" s="9"/>
      <c r="C60" s="113"/>
      <c r="D60" s="113"/>
      <c r="E60" s="113"/>
      <c r="K60" s="113"/>
      <c r="L60" s="113"/>
      <c r="R60" s="9"/>
      <c r="X60" s="9"/>
      <c r="Y60" s="109" t="s">
        <v>23</v>
      </c>
      <c r="Z60" s="109"/>
      <c r="AA60" s="112">
        <v>201.12496912818</v>
      </c>
      <c r="AB60" s="112"/>
      <c r="AC60" s="112"/>
      <c r="AF60" s="9"/>
      <c r="AG60" s="9"/>
      <c r="AH60" s="9"/>
      <c r="AI60" s="9"/>
    </row>
  </sheetData>
  <mergeCells count="30">
    <mergeCell ref="A3:B3"/>
    <mergeCell ref="A11:B11"/>
    <mergeCell ref="A17:B17"/>
    <mergeCell ref="A18:B18"/>
    <mergeCell ref="A29:B29"/>
    <mergeCell ref="A30:B30"/>
    <mergeCell ref="A31:B31"/>
    <mergeCell ref="A45:B45"/>
    <mergeCell ref="A46:B46"/>
    <mergeCell ref="A47:B47"/>
    <mergeCell ref="C49:G49"/>
    <mergeCell ref="Y51:AC51"/>
    <mergeCell ref="Y52:Z52"/>
    <mergeCell ref="AA52:AC52"/>
    <mergeCell ref="Y53:Z53"/>
    <mergeCell ref="AA53:AC53"/>
    <mergeCell ref="Y54:Z54"/>
    <mergeCell ref="AA54:AC54"/>
    <mergeCell ref="Y55:Z55"/>
    <mergeCell ref="AA55:AC55"/>
    <mergeCell ref="Y56:Z56"/>
    <mergeCell ref="AA56:AC56"/>
    <mergeCell ref="Y57:Z57"/>
    <mergeCell ref="AA57:AC57"/>
    <mergeCell ref="Y58:Z58"/>
    <mergeCell ref="AA58:AC58"/>
    <mergeCell ref="Y59:Z59"/>
    <mergeCell ref="AA59:AC59"/>
    <mergeCell ref="Y60:Z60"/>
    <mergeCell ref="AA60:AC6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H37" sqref="H37"/>
    </sheetView>
  </sheetViews>
  <sheetFormatPr defaultColWidth="19.3703703703704" defaultRowHeight="14.4"/>
  <cols>
    <col min="1" max="1" width="9.62962962962963" style="62" customWidth="1"/>
    <col min="2" max="9" width="19.3703703703704" style="62" customWidth="1"/>
    <col min="10" max="10" width="12.3703703703704" style="62" customWidth="1"/>
    <col min="11" max="16384" width="19.3703703703704" style="62" customWidth="1"/>
  </cols>
  <sheetData>
    <row r="1" s="62" customFormat="1" ht="32.4" spans="1:10">
      <c r="A1" s="63" t="s">
        <v>66</v>
      </c>
      <c r="B1" s="64" t="s">
        <v>67</v>
      </c>
      <c r="C1" s="64" t="s">
        <v>68</v>
      </c>
      <c r="D1" s="64" t="s">
        <v>69</v>
      </c>
      <c r="E1" s="65" t="s">
        <v>70</v>
      </c>
      <c r="F1" s="66" t="s">
        <v>71</v>
      </c>
    </row>
    <row r="2" s="62" customFormat="1" ht="15.6" spans="1:10">
      <c r="A2" s="67">
        <v>45870</v>
      </c>
      <c r="B2" s="68">
        <v>265918</v>
      </c>
      <c r="C2" s="68">
        <v>420926</v>
      </c>
      <c r="D2" s="68">
        <v>28237</v>
      </c>
      <c r="E2" s="69">
        <v>64498</v>
      </c>
      <c r="F2" s="68">
        <f t="shared" ref="F2:F32" si="0">SUM(B2:D2)-E2</f>
        <v>650583</v>
      </c>
    </row>
    <row r="3" s="62" customFormat="1" ht="15.6" spans="1:10">
      <c r="A3" s="67">
        <f t="shared" ref="A3:A32" si="1">A2+1</f>
        <v>45871</v>
      </c>
      <c r="B3" s="68">
        <v>268929</v>
      </c>
      <c r="C3" s="68">
        <v>454959</v>
      </c>
      <c r="D3" s="68">
        <v>23151</v>
      </c>
      <c r="E3" s="69">
        <v>70686</v>
      </c>
      <c r="F3" s="68">
        <f t="shared" si="0"/>
        <v>676353</v>
      </c>
    </row>
    <row r="4" s="62" customFormat="1" ht="15.6" spans="1:10">
      <c r="A4" s="67">
        <f t="shared" si="1"/>
        <v>45872</v>
      </c>
      <c r="B4" s="68">
        <v>278901</v>
      </c>
      <c r="C4" s="68">
        <v>439012</v>
      </c>
      <c r="D4" s="68">
        <v>21473</v>
      </c>
      <c r="E4" s="69">
        <v>66878</v>
      </c>
      <c r="F4" s="68">
        <f t="shared" si="0"/>
        <v>672508</v>
      </c>
    </row>
    <row r="5" s="62" customFormat="1" ht="15.6" spans="1:10">
      <c r="A5" s="67">
        <f t="shared" si="1"/>
        <v>45873</v>
      </c>
      <c r="B5" s="68">
        <v>255750</v>
      </c>
      <c r="C5" s="68">
        <v>429140</v>
      </c>
      <c r="D5" s="68">
        <v>24325</v>
      </c>
      <c r="E5" s="69">
        <v>58905</v>
      </c>
      <c r="F5" s="68">
        <f t="shared" si="0"/>
        <v>650310</v>
      </c>
    </row>
    <row r="6" s="62" customFormat="1" ht="15.6" spans="1:10">
      <c r="A6" s="67">
        <f t="shared" si="1"/>
        <v>45874</v>
      </c>
      <c r="B6" s="68">
        <v>263565</v>
      </c>
      <c r="C6" s="68">
        <v>430762</v>
      </c>
      <c r="D6" s="68">
        <v>26767</v>
      </c>
      <c r="E6" s="69">
        <v>55573</v>
      </c>
      <c r="F6" s="68">
        <f t="shared" si="0"/>
        <v>665521</v>
      </c>
    </row>
    <row r="7" s="62" customFormat="1" ht="15.6" spans="1:10">
      <c r="A7" s="67">
        <f t="shared" si="1"/>
        <v>45875</v>
      </c>
      <c r="B7" s="68">
        <v>260161</v>
      </c>
      <c r="C7" s="68">
        <v>442334</v>
      </c>
      <c r="D7" s="68">
        <v>31614</v>
      </c>
      <c r="E7" s="69">
        <v>60928</v>
      </c>
      <c r="F7" s="68">
        <f t="shared" si="0"/>
        <v>673181</v>
      </c>
    </row>
    <row r="8" s="62" customFormat="1" ht="15.6" spans="1:10">
      <c r="A8" s="67">
        <f t="shared" si="1"/>
        <v>45876</v>
      </c>
      <c r="B8" s="68">
        <v>265972</v>
      </c>
      <c r="C8" s="68">
        <v>493373</v>
      </c>
      <c r="D8" s="68">
        <v>27835</v>
      </c>
      <c r="E8" s="69">
        <v>90321</v>
      </c>
      <c r="F8" s="68">
        <f t="shared" si="0"/>
        <v>696859</v>
      </c>
    </row>
    <row r="9" s="62" customFormat="1" ht="15.6" spans="1:10">
      <c r="A9" s="67">
        <f t="shared" si="1"/>
        <v>45877</v>
      </c>
      <c r="B9" s="68">
        <v>270233</v>
      </c>
      <c r="C9" s="68">
        <v>477225</v>
      </c>
      <c r="D9" s="68">
        <v>29268</v>
      </c>
      <c r="E9" s="69">
        <v>57001</v>
      </c>
      <c r="F9" s="68">
        <f t="shared" si="0"/>
        <v>719725</v>
      </c>
      <c r="I9" s="57"/>
      <c r="J9" s="57"/>
    </row>
    <row r="10" s="62" customFormat="1" ht="15.6" spans="1:10">
      <c r="A10" s="67">
        <f t="shared" si="1"/>
        <v>45878</v>
      </c>
      <c r="B10" s="68">
        <v>283386</v>
      </c>
      <c r="C10" s="68">
        <v>480012</v>
      </c>
      <c r="D10" s="68">
        <v>26328</v>
      </c>
      <c r="E10" s="69">
        <v>58310</v>
      </c>
      <c r="F10" s="68">
        <f t="shared" si="0"/>
        <v>731416</v>
      </c>
      <c r="I10" s="57"/>
      <c r="J10" s="57"/>
    </row>
    <row r="11" s="62" customFormat="1" ht="15.6" spans="1:10">
      <c r="A11" s="67">
        <f t="shared" si="1"/>
        <v>45879</v>
      </c>
      <c r="B11" s="68">
        <v>268084</v>
      </c>
      <c r="C11" s="68">
        <v>513384</v>
      </c>
      <c r="D11" s="68">
        <v>21672</v>
      </c>
      <c r="E11" s="69">
        <v>81991</v>
      </c>
      <c r="F11" s="68">
        <f t="shared" si="0"/>
        <v>721149</v>
      </c>
      <c r="I11" s="57"/>
      <c r="J11" s="57"/>
    </row>
    <row r="12" s="62" customFormat="1" ht="15.6" spans="1:10">
      <c r="A12" s="67">
        <f t="shared" si="1"/>
        <v>45880</v>
      </c>
      <c r="B12" s="68">
        <v>245764</v>
      </c>
      <c r="C12" s="68">
        <v>485640</v>
      </c>
      <c r="D12" s="68">
        <v>26098</v>
      </c>
      <c r="E12" s="69">
        <v>59619</v>
      </c>
      <c r="F12" s="68">
        <f t="shared" si="0"/>
        <v>697883</v>
      </c>
      <c r="I12" s="57"/>
      <c r="J12" s="57"/>
    </row>
    <row r="13" s="62" customFormat="1" ht="15.6" spans="1:10">
      <c r="A13" s="67">
        <f t="shared" si="1"/>
        <v>45881</v>
      </c>
      <c r="B13" s="68">
        <v>269576</v>
      </c>
      <c r="C13" s="68">
        <v>507623</v>
      </c>
      <c r="D13" s="68">
        <v>28264</v>
      </c>
      <c r="E13" s="69">
        <v>60690</v>
      </c>
      <c r="F13" s="68">
        <f t="shared" si="0"/>
        <v>744773</v>
      </c>
      <c r="I13" s="57"/>
      <c r="J13" s="57"/>
    </row>
    <row r="14" s="62" customFormat="1" ht="15.6" spans="1:10">
      <c r="A14" s="67">
        <f t="shared" si="1"/>
        <v>45882</v>
      </c>
      <c r="B14" s="68">
        <v>286425</v>
      </c>
      <c r="C14" s="68">
        <v>498912</v>
      </c>
      <c r="D14" s="68">
        <v>28709</v>
      </c>
      <c r="E14" s="69">
        <v>55097</v>
      </c>
      <c r="F14" s="68">
        <f t="shared" si="0"/>
        <v>758949</v>
      </c>
      <c r="I14" s="57"/>
      <c r="J14" s="57"/>
    </row>
    <row r="15" s="62" customFormat="1" ht="15.6" spans="1:10">
      <c r="A15" s="67">
        <f t="shared" si="1"/>
        <v>45883</v>
      </c>
      <c r="B15" s="68">
        <v>272468</v>
      </c>
      <c r="C15" s="68">
        <v>514009</v>
      </c>
      <c r="D15" s="68">
        <v>27299</v>
      </c>
      <c r="E15" s="69">
        <v>62832</v>
      </c>
      <c r="F15" s="68">
        <f t="shared" si="0"/>
        <v>750944</v>
      </c>
      <c r="I15" s="57"/>
      <c r="J15" s="57"/>
    </row>
    <row r="16" s="62" customFormat="1" ht="15.6" spans="1:10">
      <c r="A16" s="67">
        <f t="shared" si="1"/>
        <v>45884</v>
      </c>
      <c r="B16" s="68">
        <v>275739</v>
      </c>
      <c r="C16" s="68">
        <v>537553</v>
      </c>
      <c r="D16" s="68">
        <v>30150</v>
      </c>
      <c r="E16" s="69">
        <v>68425</v>
      </c>
      <c r="F16" s="68">
        <f t="shared" si="0"/>
        <v>775017</v>
      </c>
      <c r="I16" s="57"/>
      <c r="J16" s="57"/>
    </row>
    <row r="17" s="62" customFormat="1" ht="15.6" spans="1:10">
      <c r="A17" s="67">
        <f t="shared" si="1"/>
        <v>45885</v>
      </c>
      <c r="B17" s="68">
        <v>271800</v>
      </c>
      <c r="C17" s="68">
        <v>514036</v>
      </c>
      <c r="D17" s="68">
        <v>22366</v>
      </c>
      <c r="E17" s="69">
        <v>67830</v>
      </c>
      <c r="F17" s="68">
        <f t="shared" si="0"/>
        <v>740372</v>
      </c>
      <c r="I17" s="57"/>
      <c r="J17" s="57"/>
    </row>
    <row r="18" s="62" customFormat="1" ht="15.6" spans="1:10">
      <c r="A18" s="67">
        <f t="shared" si="1"/>
        <v>45886</v>
      </c>
      <c r="B18" s="70">
        <v>276367</v>
      </c>
      <c r="C18" s="70">
        <v>526282</v>
      </c>
      <c r="D18" s="70">
        <v>20160</v>
      </c>
      <c r="E18" s="71">
        <v>89131</v>
      </c>
      <c r="F18" s="68">
        <f t="shared" si="0"/>
        <v>733678</v>
      </c>
      <c r="I18" s="57"/>
      <c r="J18" s="57"/>
    </row>
    <row r="19" s="62" customFormat="1" ht="15.6" spans="1:10">
      <c r="A19" s="67">
        <f t="shared" si="1"/>
        <v>45887</v>
      </c>
      <c r="B19" s="70">
        <v>263796</v>
      </c>
      <c r="C19" s="70">
        <v>516424</v>
      </c>
      <c r="D19" s="68">
        <v>26005</v>
      </c>
      <c r="E19" s="69">
        <v>84847</v>
      </c>
      <c r="F19" s="68">
        <f t="shared" si="0"/>
        <v>721378</v>
      </c>
    </row>
    <row r="20" s="62" customFormat="1" ht="15.6" spans="1:10">
      <c r="A20" s="67">
        <f t="shared" si="1"/>
        <v>45888</v>
      </c>
      <c r="B20" s="68">
        <v>269861</v>
      </c>
      <c r="C20" s="68">
        <v>470630</v>
      </c>
      <c r="D20" s="68">
        <v>27501</v>
      </c>
      <c r="E20" s="69">
        <v>44506</v>
      </c>
      <c r="F20" s="68">
        <f t="shared" si="0"/>
        <v>723486</v>
      </c>
      <c r="H20" s="72"/>
    </row>
    <row r="21" s="62" customFormat="1" ht="15.6" spans="1:10">
      <c r="A21" s="67">
        <f t="shared" si="1"/>
        <v>45889</v>
      </c>
      <c r="B21" s="68">
        <v>298408</v>
      </c>
      <c r="C21" s="68">
        <v>527146</v>
      </c>
      <c r="D21" s="68">
        <v>28407</v>
      </c>
      <c r="E21" s="69">
        <v>79254</v>
      </c>
      <c r="F21" s="68">
        <f t="shared" si="0"/>
        <v>774707</v>
      </c>
    </row>
    <row r="22" s="62" customFormat="1" ht="15.6" spans="1:10">
      <c r="A22" s="67">
        <f t="shared" si="1"/>
        <v>45890</v>
      </c>
      <c r="B22" s="68">
        <v>289063</v>
      </c>
      <c r="C22" s="68">
        <v>505427</v>
      </c>
      <c r="D22" s="68">
        <v>32199</v>
      </c>
      <c r="E22" s="69">
        <v>50218</v>
      </c>
      <c r="F22" s="68">
        <f t="shared" si="0"/>
        <v>776471</v>
      </c>
    </row>
    <row r="23" s="62" customFormat="1" ht="15.6" spans="1:10">
      <c r="A23" s="67">
        <f t="shared" si="1"/>
        <v>45891</v>
      </c>
      <c r="B23" s="68">
        <v>285754</v>
      </c>
      <c r="C23" s="68">
        <v>508702</v>
      </c>
      <c r="D23" s="68">
        <v>30696</v>
      </c>
      <c r="E23" s="69">
        <v>54978</v>
      </c>
      <c r="F23" s="68">
        <f t="shared" si="0"/>
        <v>770174</v>
      </c>
    </row>
    <row r="24" s="62" customFormat="1" ht="15.6" spans="1:10">
      <c r="A24" s="67">
        <f t="shared" si="1"/>
        <v>45892</v>
      </c>
      <c r="B24" s="68">
        <v>314829</v>
      </c>
      <c r="C24" s="68">
        <v>540330</v>
      </c>
      <c r="D24" s="68">
        <v>25166</v>
      </c>
      <c r="E24" s="69">
        <v>74256</v>
      </c>
      <c r="F24" s="68">
        <f t="shared" si="0"/>
        <v>806069</v>
      </c>
    </row>
    <row r="25" s="62" customFormat="1" ht="15.6" spans="1:10">
      <c r="A25" s="67">
        <f t="shared" si="1"/>
        <v>45893</v>
      </c>
      <c r="B25" s="68">
        <v>303196</v>
      </c>
      <c r="C25" s="68">
        <v>536540</v>
      </c>
      <c r="D25" s="68">
        <v>23632</v>
      </c>
      <c r="E25" s="69">
        <v>75446</v>
      </c>
      <c r="F25" s="68">
        <f t="shared" si="0"/>
        <v>787922</v>
      </c>
    </row>
    <row r="26" s="62" customFormat="1" ht="15.6" spans="1:10">
      <c r="A26" s="67">
        <f t="shared" si="1"/>
        <v>45894</v>
      </c>
      <c r="B26" s="68">
        <v>276220</v>
      </c>
      <c r="C26" s="68">
        <v>478793</v>
      </c>
      <c r="D26" s="68">
        <v>26871</v>
      </c>
      <c r="E26" s="69">
        <v>31773</v>
      </c>
      <c r="F26" s="68">
        <f t="shared" si="0"/>
        <v>750111</v>
      </c>
    </row>
    <row r="27" s="62" customFormat="1" ht="15.6" spans="1:10">
      <c r="A27" s="67">
        <f t="shared" si="1"/>
        <v>45895</v>
      </c>
      <c r="B27" s="68">
        <v>290793</v>
      </c>
      <c r="C27" s="68">
        <v>539345</v>
      </c>
      <c r="D27" s="68">
        <v>31068</v>
      </c>
      <c r="E27" s="69">
        <v>57596</v>
      </c>
      <c r="F27" s="68">
        <f t="shared" si="0"/>
        <v>803610</v>
      </c>
    </row>
    <row r="28" s="62" customFormat="1" ht="15.6" spans="1:10">
      <c r="A28" s="67">
        <f t="shared" si="1"/>
        <v>45896</v>
      </c>
      <c r="B28" s="68">
        <v>306405</v>
      </c>
      <c r="C28" s="68">
        <v>522819</v>
      </c>
      <c r="D28" s="68">
        <v>30147</v>
      </c>
      <c r="E28" s="69">
        <v>49980</v>
      </c>
      <c r="F28" s="68">
        <f t="shared" si="0"/>
        <v>809391</v>
      </c>
    </row>
    <row r="29" s="62" customFormat="1" ht="15.6" spans="1:10">
      <c r="A29" s="67">
        <f t="shared" si="1"/>
        <v>45897</v>
      </c>
      <c r="B29" s="68">
        <v>305096</v>
      </c>
      <c r="C29" s="68">
        <v>561519</v>
      </c>
      <c r="D29" s="68">
        <v>28925</v>
      </c>
      <c r="E29" s="69">
        <v>64498</v>
      </c>
      <c r="F29" s="68">
        <f t="shared" si="0"/>
        <v>831042</v>
      </c>
    </row>
    <row r="30" s="62" customFormat="1" ht="15.6" spans="1:10">
      <c r="A30" s="67">
        <f t="shared" si="1"/>
        <v>45898</v>
      </c>
      <c r="B30" s="68">
        <v>303448</v>
      </c>
      <c r="C30" s="68">
        <v>532223</v>
      </c>
      <c r="D30" s="68">
        <v>33329</v>
      </c>
      <c r="E30" s="69">
        <v>39746</v>
      </c>
      <c r="F30" s="68">
        <f t="shared" si="0"/>
        <v>829254</v>
      </c>
    </row>
    <row r="31" s="62" customFormat="1" ht="15.6" spans="1:10">
      <c r="A31" s="67">
        <f t="shared" si="1"/>
        <v>45899</v>
      </c>
      <c r="B31" s="68">
        <v>306363</v>
      </c>
      <c r="C31" s="68">
        <v>583417</v>
      </c>
      <c r="D31" s="68">
        <v>26492</v>
      </c>
      <c r="E31" s="69">
        <v>88536</v>
      </c>
      <c r="F31" s="68">
        <f t="shared" si="0"/>
        <v>827736</v>
      </c>
    </row>
    <row r="32" s="62" customFormat="1" ht="15.6" spans="1:10">
      <c r="A32" s="67">
        <f t="shared" si="1"/>
        <v>45900</v>
      </c>
      <c r="B32" s="68">
        <v>304900</v>
      </c>
      <c r="C32" s="68">
        <v>765662</v>
      </c>
      <c r="D32" s="68">
        <v>22729</v>
      </c>
      <c r="E32" s="69">
        <v>278936</v>
      </c>
      <c r="F32" s="68">
        <f t="shared" si="0"/>
        <v>814355</v>
      </c>
    </row>
    <row r="33" s="62" customFormat="1" ht="15.6" spans="1:6">
      <c r="A33" s="68" t="s">
        <v>71</v>
      </c>
      <c r="B33" s="68">
        <f t="shared" ref="B33:F33" si="2">SUM(B2:B32)</f>
        <v>8697170</v>
      </c>
      <c r="C33" s="68">
        <f t="shared" si="2"/>
        <v>15754159</v>
      </c>
      <c r="D33" s="68">
        <f t="shared" si="2"/>
        <v>836883</v>
      </c>
      <c r="E33" s="69">
        <f t="shared" si="2"/>
        <v>2203285</v>
      </c>
      <c r="F33" s="68">
        <f t="shared" si="2"/>
        <v>23084927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0"/>
  <sheetViews>
    <sheetView workbookViewId="0">
      <selection activeCell="A1" sqref="$A1:$XFD1048576"/>
    </sheetView>
  </sheetViews>
  <sheetFormatPr defaultColWidth="9" defaultRowHeight="14.4"/>
  <cols>
    <col min="1" max="1" width="14.25" style="9" customWidth="1"/>
    <col min="2" max="2" width="18.75" style="9" customWidth="1"/>
    <col min="3" max="3" width="11.6296296296296" style="9" hidden="1" customWidth="1"/>
    <col min="4" max="4" width="12.1296296296296" style="9" hidden="1" customWidth="1"/>
    <col min="5" max="15" width="10.212962962963" style="9" hidden="1" customWidth="1"/>
    <col min="16" max="16" width="10.6296296296296" style="9" hidden="1" customWidth="1"/>
    <col min="17" max="21" width="10.212962962963" style="9" hidden="1" customWidth="1"/>
    <col min="22" max="22" width="12.6296296296296" style="9" customWidth="1"/>
    <col min="23" max="23" width="10.212962962963" style="9" customWidth="1"/>
    <col min="24" max="24" width="11.4814814814815" style="9" customWidth="1"/>
    <col min="25" max="27" width="10.212962962963" style="9" customWidth="1"/>
    <col min="28" max="28" width="11.6296296296296" style="9" customWidth="1"/>
    <col min="29" max="32" width="10.212962962963" style="9" customWidth="1"/>
    <col min="33" max="33" width="10.212962962963" style="9" hidden="1" customWidth="1"/>
    <col min="34" max="34" width="13.8796296296296" style="9" customWidth="1"/>
    <col min="35" max="35" width="12.787037037037" style="9"/>
    <col min="36" max="36" width="12.6296296296296"/>
    <col min="39" max="39" width="12.6296296296296"/>
  </cols>
  <sheetData>
    <row r="1" customFormat="1" ht="17.4" spans="1:35">
      <c r="A1" s="73" t="s">
        <v>84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9"/>
    </row>
    <row r="2" customFormat="1" ht="17.4" spans="1:35">
      <c r="A2" s="74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9"/>
    </row>
    <row r="3" s="7" customFormat="1" ht="15.6" spans="1:35">
      <c r="A3" s="14" t="s">
        <v>1</v>
      </c>
      <c r="B3" s="14"/>
      <c r="C3" s="15">
        <v>45901</v>
      </c>
      <c r="D3" s="15">
        <f t="shared" ref="D3:AG3" si="0">C3+1</f>
        <v>45902</v>
      </c>
      <c r="E3" s="15">
        <f t="shared" si="0"/>
        <v>45903</v>
      </c>
      <c r="F3" s="15">
        <f t="shared" si="0"/>
        <v>45904</v>
      </c>
      <c r="G3" s="15">
        <f t="shared" si="0"/>
        <v>45905</v>
      </c>
      <c r="H3" s="15">
        <f t="shared" si="0"/>
        <v>45906</v>
      </c>
      <c r="I3" s="15">
        <f t="shared" si="0"/>
        <v>45907</v>
      </c>
      <c r="J3" s="15">
        <f t="shared" si="0"/>
        <v>45908</v>
      </c>
      <c r="K3" s="15">
        <f t="shared" si="0"/>
        <v>45909</v>
      </c>
      <c r="L3" s="15">
        <f t="shared" si="0"/>
        <v>45910</v>
      </c>
      <c r="M3" s="15">
        <f t="shared" si="0"/>
        <v>45911</v>
      </c>
      <c r="N3" s="15">
        <f t="shared" si="0"/>
        <v>45912</v>
      </c>
      <c r="O3" s="15">
        <f t="shared" si="0"/>
        <v>45913</v>
      </c>
      <c r="P3" s="15">
        <f t="shared" si="0"/>
        <v>45914</v>
      </c>
      <c r="Q3" s="15">
        <f t="shared" si="0"/>
        <v>45915</v>
      </c>
      <c r="R3" s="15">
        <f t="shared" si="0"/>
        <v>45916</v>
      </c>
      <c r="S3" s="15">
        <f t="shared" si="0"/>
        <v>45917</v>
      </c>
      <c r="T3" s="15">
        <f t="shared" si="0"/>
        <v>45918</v>
      </c>
      <c r="U3" s="15">
        <f t="shared" si="0"/>
        <v>45919</v>
      </c>
      <c r="V3" s="15">
        <f t="shared" si="0"/>
        <v>45920</v>
      </c>
      <c r="W3" s="15">
        <f t="shared" si="0"/>
        <v>45921</v>
      </c>
      <c r="X3" s="15">
        <f t="shared" si="0"/>
        <v>45922</v>
      </c>
      <c r="Y3" s="15">
        <f t="shared" si="0"/>
        <v>45923</v>
      </c>
      <c r="Z3" s="15">
        <f t="shared" si="0"/>
        <v>45924</v>
      </c>
      <c r="AA3" s="15">
        <f t="shared" si="0"/>
        <v>45925</v>
      </c>
      <c r="AB3" s="15">
        <f t="shared" si="0"/>
        <v>45926</v>
      </c>
      <c r="AC3" s="15">
        <f t="shared" si="0"/>
        <v>45927</v>
      </c>
      <c r="AD3" s="15">
        <f t="shared" si="0"/>
        <v>45928</v>
      </c>
      <c r="AE3" s="15">
        <f t="shared" si="0"/>
        <v>45929</v>
      </c>
      <c r="AF3" s="15">
        <f t="shared" si="0"/>
        <v>45930</v>
      </c>
      <c r="AG3" s="15">
        <f t="shared" si="0"/>
        <v>45931</v>
      </c>
      <c r="AH3" s="76" t="s">
        <v>2</v>
      </c>
    </row>
    <row r="4" s="7" customFormat="1" ht="15.6" spans="1:35">
      <c r="A4" s="14"/>
      <c r="B4" s="14"/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  <c r="K4" s="17" t="s">
        <v>3</v>
      </c>
      <c r="L4" s="17" t="s">
        <v>3</v>
      </c>
      <c r="M4" s="17" t="s">
        <v>3</v>
      </c>
      <c r="N4" s="17" t="s">
        <v>3</v>
      </c>
      <c r="O4" s="17" t="s">
        <v>3</v>
      </c>
      <c r="P4" s="17" t="s">
        <v>3</v>
      </c>
      <c r="Q4" s="17" t="s">
        <v>3</v>
      </c>
      <c r="R4" s="17" t="s">
        <v>3</v>
      </c>
      <c r="S4" s="17" t="s">
        <v>3</v>
      </c>
      <c r="T4" s="17" t="s">
        <v>3</v>
      </c>
      <c r="U4" s="17" t="s">
        <v>3</v>
      </c>
      <c r="V4" s="17" t="s">
        <v>3</v>
      </c>
      <c r="W4" s="17" t="s">
        <v>3</v>
      </c>
      <c r="X4" s="17" t="s">
        <v>3</v>
      </c>
      <c r="Y4" s="17" t="s">
        <v>3</v>
      </c>
      <c r="Z4" s="17" t="s">
        <v>3</v>
      </c>
      <c r="AA4" s="17" t="s">
        <v>3</v>
      </c>
      <c r="AB4" s="17" t="s">
        <v>3</v>
      </c>
      <c r="AC4" s="17" t="s">
        <v>3</v>
      </c>
      <c r="AD4" s="17" t="s">
        <v>3</v>
      </c>
      <c r="AE4" s="17" t="s">
        <v>3</v>
      </c>
      <c r="AF4" s="17" t="s">
        <v>3</v>
      </c>
      <c r="AG4" s="17" t="s">
        <v>3</v>
      </c>
      <c r="AH4" s="17" t="s">
        <v>3</v>
      </c>
    </row>
    <row r="5" customFormat="1" spans="1:35">
      <c r="A5" s="77" t="s">
        <v>4</v>
      </c>
      <c r="B5" s="78" t="s">
        <v>5</v>
      </c>
      <c r="C5" s="79">
        <f>SUMIFS('25年9月处理量'!$F:$F,'25年9月处理量'!$A:$A,C3)</f>
        <v>834018</v>
      </c>
      <c r="D5" s="79">
        <f>SUMIFS('25年9月处理量'!$F:$F,'25年9月处理量'!$A:$A,D3)</f>
        <v>873579</v>
      </c>
      <c r="E5" s="79">
        <f>SUMIFS('25年9月处理量'!$F:$F,'25年9月处理量'!$A:$A,E3)</f>
        <v>938726</v>
      </c>
      <c r="F5" s="79">
        <f>SUMIFS('25年9月处理量'!$F:$F,'25年9月处理量'!$A:$A,F3)</f>
        <v>934687</v>
      </c>
      <c r="G5" s="79">
        <f>SUMIFS('25年9月处理量'!$F:$F,'25年9月处理量'!$A:$A,G3)</f>
        <v>976230</v>
      </c>
      <c r="H5" s="79">
        <f>SUMIFS('25年9月处理量'!$F:$F,'25年9月处理量'!$A:$A,H3)</f>
        <v>892603</v>
      </c>
      <c r="I5" s="79">
        <f>SUMIFS('25年9月处理量'!$F:$F,'25年9月处理量'!$A:$A,I3)</f>
        <v>893308</v>
      </c>
      <c r="J5" s="79">
        <f>SUMIFS('25年9月处理量'!$F:$F,'25年9月处理量'!$A:$A,J3)</f>
        <v>897556</v>
      </c>
      <c r="K5" s="79">
        <f>SUMIFS('25年9月处理量'!$F:$F,'25年9月处理量'!$A:$A,K3)</f>
        <v>925925</v>
      </c>
      <c r="L5" s="79">
        <f>SUMIFS('25年9月处理量'!$F:$F,'25年9月处理量'!$A:$A,L3)</f>
        <v>922524</v>
      </c>
      <c r="M5" s="79">
        <f>SUMIFS('25年9月处理量'!$F:$F,'25年9月处理量'!$A:$A,M3)</f>
        <v>951036</v>
      </c>
      <c r="N5" s="79">
        <f>SUMIFS('25年9月处理量'!$F:$F,'25年9月处理量'!$A:$A,N3)</f>
        <v>898907</v>
      </c>
      <c r="O5" s="79">
        <f>SUMIFS('25年9月处理量'!$F:$F,'25年9月处理量'!$A:$A,O3)</f>
        <v>947155</v>
      </c>
      <c r="P5" s="79">
        <f>SUMIFS('25年9月处理量'!$F:$F,'25年9月处理量'!$A:$A,P3)</f>
        <v>868137</v>
      </c>
      <c r="Q5" s="79">
        <f>SUMIFS('25年9月处理量'!$F:$F,'25年9月处理量'!$A:$A,Q3)</f>
        <v>852293</v>
      </c>
      <c r="R5" s="79">
        <f>SUMIFS('25年9月处理量'!$F:$F,'25年9月处理量'!$A:$A,R3)</f>
        <v>866525</v>
      </c>
      <c r="S5" s="79">
        <f>SUMIFS('25年9月处理量'!$F:$F,'25年9月处理量'!$A:$A,S3)</f>
        <v>908862</v>
      </c>
      <c r="T5" s="79">
        <f>SUMIFS('25年9月处理量'!$F:$F,'25年9月处理量'!$A:$A,T3)</f>
        <v>978948</v>
      </c>
      <c r="U5" s="79">
        <f>SUMIFS('25年9月处理量'!$F:$F,'25年9月处理量'!$A:$A,U3)</f>
        <v>909677</v>
      </c>
      <c r="V5" s="79">
        <f>SUMIFS('25年9月处理量'!$F:$F,'25年9月处理量'!$A:$A,V3)</f>
        <v>897537</v>
      </c>
      <c r="W5" s="79">
        <f>SUMIFS('25年9月处理量'!$F:$F,'25年9月处理量'!$A:$A,W3)</f>
        <v>850396</v>
      </c>
      <c r="X5" s="79">
        <f>SUMIFS('25年9月处理量'!$F:$F,'25年9月处理量'!$A:$A,X3)</f>
        <v>874381</v>
      </c>
      <c r="Y5" s="79">
        <f>SUMIFS('25年9月处理量'!$F:$F,'25年9月处理量'!$A:$A,Y3)</f>
        <v>900013</v>
      </c>
      <c r="Z5" s="79">
        <f>SUMIFS('25年9月处理量'!$F:$F,'25年9月处理量'!$A:$A,Z3)</f>
        <v>925427</v>
      </c>
      <c r="AA5" s="79">
        <f>SUMIFS('25年9月处理量'!$F:$F,'25年9月处理量'!$A:$A,AA3)</f>
        <v>893201</v>
      </c>
      <c r="AB5" s="79">
        <f>SUMIFS('25年9月处理量'!$F:$F,'25年9月处理量'!$A:$A,AB3)</f>
        <v>920663</v>
      </c>
      <c r="AC5" s="79">
        <f>SUMIFS('25年9月处理量'!$F:$F,'25年9月处理量'!$A:$A,AC3)</f>
        <v>945075</v>
      </c>
      <c r="AD5" s="79">
        <f>SUMIFS('25年9月处理量'!$F:$F,'25年9月处理量'!$A:$A,AD3)</f>
        <v>923417</v>
      </c>
      <c r="AE5" s="79">
        <f>SUMIFS('25年9月处理量'!$F:$F,'25年9月处理量'!$A:$A,AE3)</f>
        <v>951227</v>
      </c>
      <c r="AF5" s="79">
        <f>SUMIFS('25年9月处理量'!$F:$F,'25年9月处理量'!$A:$A,AF3)</f>
        <v>847673</v>
      </c>
      <c r="AG5" s="79">
        <f>SUMIFS('25年9月处理量'!$F:$F,'25年9月处理量'!$A:$A,AG3)</f>
        <v>0</v>
      </c>
      <c r="AH5" s="87">
        <f t="shared" ref="AH5:AH16" si="1">SUM(C5:AG5)</f>
        <v>27199706</v>
      </c>
      <c r="AI5" s="9"/>
    </row>
    <row r="6" customFormat="1" spans="1:35">
      <c r="A6" s="77" t="s">
        <v>6</v>
      </c>
      <c r="B6" s="78" t="s">
        <v>7</v>
      </c>
      <c r="C6" s="80">
        <v>0.1667</v>
      </c>
      <c r="D6" s="80">
        <v>0.1667</v>
      </c>
      <c r="E6" s="80">
        <v>0.1667</v>
      </c>
      <c r="F6" s="80">
        <v>0.1667</v>
      </c>
      <c r="G6" s="80">
        <v>0.1667</v>
      </c>
      <c r="H6" s="80">
        <v>0.1667</v>
      </c>
      <c r="I6" s="80">
        <v>0.1667</v>
      </c>
      <c r="J6" s="80">
        <v>0.1667</v>
      </c>
      <c r="K6" s="80">
        <v>0.1667</v>
      </c>
      <c r="L6" s="80">
        <v>0.1667</v>
      </c>
      <c r="M6" s="80">
        <v>0.1667</v>
      </c>
      <c r="N6" s="80">
        <v>0.1667</v>
      </c>
      <c r="O6" s="80">
        <v>0.1667</v>
      </c>
      <c r="P6" s="80">
        <v>0.1667</v>
      </c>
      <c r="Q6" s="80">
        <v>0.1667</v>
      </c>
      <c r="R6" s="80">
        <v>0.1667</v>
      </c>
      <c r="S6" s="80">
        <v>0.1667</v>
      </c>
      <c r="T6" s="80">
        <v>0.1667</v>
      </c>
      <c r="U6" s="80">
        <v>0.1667</v>
      </c>
      <c r="V6" s="80">
        <v>0.1667</v>
      </c>
      <c r="W6" s="80">
        <v>0.1667</v>
      </c>
      <c r="X6" s="80">
        <v>0.1667</v>
      </c>
      <c r="Y6" s="80">
        <v>0.1667</v>
      </c>
      <c r="Z6" s="80">
        <v>0.1667</v>
      </c>
      <c r="AA6" s="80">
        <v>0.1667</v>
      </c>
      <c r="AB6" s="80">
        <v>0.1667</v>
      </c>
      <c r="AC6" s="80">
        <v>0.1667</v>
      </c>
      <c r="AD6" s="80">
        <v>0.1667</v>
      </c>
      <c r="AE6" s="80">
        <v>0.1667</v>
      </c>
      <c r="AF6" s="80">
        <v>0.1667</v>
      </c>
      <c r="AG6" s="81"/>
      <c r="AH6" s="87">
        <v>0.1667</v>
      </c>
      <c r="AI6" s="9"/>
    </row>
    <row r="7" customFormat="1" spans="1:35">
      <c r="A7" s="77" t="s">
        <v>8</v>
      </c>
      <c r="B7" s="78" t="s">
        <v>9</v>
      </c>
      <c r="C7" s="81">
        <v>139030.8</v>
      </c>
      <c r="D7" s="81">
        <v>145625.62</v>
      </c>
      <c r="E7" s="81">
        <v>156485.62</v>
      </c>
      <c r="F7" s="81">
        <v>155812.32</v>
      </c>
      <c r="G7" s="81">
        <v>162737.54</v>
      </c>
      <c r="H7" s="81">
        <v>148796.92</v>
      </c>
      <c r="I7" s="81">
        <v>148914.44</v>
      </c>
      <c r="J7" s="81">
        <v>149622.59</v>
      </c>
      <c r="K7" s="81">
        <v>154351.7</v>
      </c>
      <c r="L7" s="81">
        <v>153784.75</v>
      </c>
      <c r="M7" s="81">
        <v>158537.7</v>
      </c>
      <c r="N7" s="81">
        <v>149847.8</v>
      </c>
      <c r="O7" s="81">
        <v>157890.74</v>
      </c>
      <c r="P7" s="81">
        <v>144718.44</v>
      </c>
      <c r="Q7" s="81">
        <v>142077.24</v>
      </c>
      <c r="R7" s="81">
        <v>144449.72</v>
      </c>
      <c r="S7" s="81">
        <v>151507.3</v>
      </c>
      <c r="T7" s="81">
        <v>163190.63</v>
      </c>
      <c r="U7" s="81">
        <v>151643.16</v>
      </c>
      <c r="V7" s="81">
        <v>149619.42</v>
      </c>
      <c r="W7" s="81">
        <v>141761.01</v>
      </c>
      <c r="X7" s="81">
        <v>145759.31</v>
      </c>
      <c r="Y7" s="81">
        <v>150032.17</v>
      </c>
      <c r="Z7" s="81">
        <v>154268.68</v>
      </c>
      <c r="AA7" s="81">
        <v>148896.61</v>
      </c>
      <c r="AB7" s="81">
        <v>153474.52</v>
      </c>
      <c r="AC7" s="81">
        <v>157544</v>
      </c>
      <c r="AD7" s="81">
        <v>153933.61</v>
      </c>
      <c r="AE7" s="81">
        <v>158569.54</v>
      </c>
      <c r="AF7" s="81">
        <v>141307.09</v>
      </c>
      <c r="AG7" s="81"/>
      <c r="AH7" s="87">
        <f t="shared" si="1"/>
        <v>4534190.99</v>
      </c>
      <c r="AI7" s="9"/>
    </row>
    <row r="8" customFormat="1" spans="1:35">
      <c r="A8" s="77" t="s">
        <v>10</v>
      </c>
      <c r="B8" s="78" t="s">
        <v>11</v>
      </c>
      <c r="C8" s="81">
        <v>3000</v>
      </c>
      <c r="D8" s="81">
        <v>3000</v>
      </c>
      <c r="E8" s="81">
        <v>3000</v>
      </c>
      <c r="F8" s="81">
        <v>3000</v>
      </c>
      <c r="G8" s="81">
        <v>3000</v>
      </c>
      <c r="H8" s="81">
        <v>3000</v>
      </c>
      <c r="I8" s="81">
        <v>3000</v>
      </c>
      <c r="J8" s="81">
        <v>3000</v>
      </c>
      <c r="K8" s="81">
        <v>3000</v>
      </c>
      <c r="L8" s="81">
        <v>3000</v>
      </c>
      <c r="M8" s="81">
        <v>3000</v>
      </c>
      <c r="N8" s="81">
        <v>3000</v>
      </c>
      <c r="O8" s="81">
        <v>3000</v>
      </c>
      <c r="P8" s="81">
        <v>3000</v>
      </c>
      <c r="Q8" s="81">
        <v>3000</v>
      </c>
      <c r="R8" s="81">
        <v>3000</v>
      </c>
      <c r="S8" s="81">
        <v>3000</v>
      </c>
      <c r="T8" s="81">
        <v>3000</v>
      </c>
      <c r="U8" s="81">
        <v>3000</v>
      </c>
      <c r="V8" s="81">
        <v>3000</v>
      </c>
      <c r="W8" s="81">
        <v>3000</v>
      </c>
      <c r="X8" s="81">
        <v>3000</v>
      </c>
      <c r="Y8" s="81">
        <v>3000</v>
      </c>
      <c r="Z8" s="81">
        <v>3000</v>
      </c>
      <c r="AA8" s="81">
        <v>3000</v>
      </c>
      <c r="AB8" s="81">
        <v>3000</v>
      </c>
      <c r="AC8" s="81">
        <v>3000</v>
      </c>
      <c r="AD8" s="81">
        <v>3000</v>
      </c>
      <c r="AE8" s="81">
        <v>3000</v>
      </c>
      <c r="AF8" s="81">
        <v>3000</v>
      </c>
      <c r="AG8" s="81"/>
      <c r="AH8" s="87">
        <f t="shared" si="1"/>
        <v>90000</v>
      </c>
      <c r="AI8" s="9"/>
    </row>
    <row r="9" customFormat="1" hidden="1" spans="1:35">
      <c r="A9" s="77" t="s">
        <v>12</v>
      </c>
      <c r="B9" s="78" t="s">
        <v>13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7">
        <f t="shared" si="1"/>
        <v>0</v>
      </c>
      <c r="AI9" s="9"/>
    </row>
    <row r="10" customFormat="1" spans="1:35">
      <c r="A10" s="77" t="s">
        <v>14</v>
      </c>
      <c r="B10" s="78" t="s">
        <v>15</v>
      </c>
      <c r="C10" s="81">
        <v>136030.8</v>
      </c>
      <c r="D10" s="81">
        <v>142625.62</v>
      </c>
      <c r="E10" s="81">
        <v>153485.62</v>
      </c>
      <c r="F10" s="81">
        <v>152812.32</v>
      </c>
      <c r="G10" s="81">
        <v>159737.54</v>
      </c>
      <c r="H10" s="81">
        <v>145796.92</v>
      </c>
      <c r="I10" s="81">
        <v>145914.44</v>
      </c>
      <c r="J10" s="81">
        <v>146622.59</v>
      </c>
      <c r="K10" s="81">
        <v>151351.7</v>
      </c>
      <c r="L10" s="81">
        <v>150784.75</v>
      </c>
      <c r="M10" s="81">
        <v>155537.7</v>
      </c>
      <c r="N10" s="81">
        <v>146847.8</v>
      </c>
      <c r="O10" s="81">
        <v>154890.74</v>
      </c>
      <c r="P10" s="81">
        <v>141718.44</v>
      </c>
      <c r="Q10" s="81">
        <v>139077.24</v>
      </c>
      <c r="R10" s="81">
        <v>141449.72</v>
      </c>
      <c r="S10" s="81">
        <v>148507.3</v>
      </c>
      <c r="T10" s="81">
        <v>160190.63</v>
      </c>
      <c r="U10" s="81">
        <v>148643.16</v>
      </c>
      <c r="V10" s="81">
        <v>146619.42</v>
      </c>
      <c r="W10" s="81">
        <v>138761.01</v>
      </c>
      <c r="X10" s="81">
        <v>142759.31</v>
      </c>
      <c r="Y10" s="81">
        <v>147032.17</v>
      </c>
      <c r="Z10" s="81">
        <v>151268.68</v>
      </c>
      <c r="AA10" s="81">
        <v>145896.61</v>
      </c>
      <c r="AB10" s="81">
        <v>150474.52</v>
      </c>
      <c r="AC10" s="81">
        <v>154544</v>
      </c>
      <c r="AD10" s="81">
        <v>150933.61</v>
      </c>
      <c r="AE10" s="81">
        <v>155569.54</v>
      </c>
      <c r="AF10" s="81">
        <v>138307.09</v>
      </c>
      <c r="AG10" s="81"/>
      <c r="AH10" s="87">
        <f t="shared" si="1"/>
        <v>4444190.99</v>
      </c>
      <c r="AI10" s="9"/>
    </row>
    <row r="11" s="7" customFormat="1" ht="15.6" spans="1:35">
      <c r="A11" s="82" t="s">
        <v>16</v>
      </c>
      <c r="B11" s="82"/>
      <c r="C11" s="27">
        <v>128330.94</v>
      </c>
      <c r="D11" s="27">
        <v>134552.47</v>
      </c>
      <c r="E11" s="27">
        <v>144797.75</v>
      </c>
      <c r="F11" s="27">
        <v>144162.57</v>
      </c>
      <c r="G11" s="27">
        <v>150695.79</v>
      </c>
      <c r="H11" s="27">
        <v>137544.26</v>
      </c>
      <c r="I11" s="27">
        <v>137655.13</v>
      </c>
      <c r="J11" s="27">
        <v>138323.2</v>
      </c>
      <c r="K11" s="27">
        <v>142784.62</v>
      </c>
      <c r="L11" s="27">
        <v>142249.76</v>
      </c>
      <c r="M11" s="27">
        <v>146733.68</v>
      </c>
      <c r="N11" s="27">
        <v>138535.66</v>
      </c>
      <c r="O11" s="27">
        <v>146123.34</v>
      </c>
      <c r="P11" s="27">
        <v>133696.64</v>
      </c>
      <c r="Q11" s="27">
        <v>131204.94</v>
      </c>
      <c r="R11" s="27">
        <v>133443.13</v>
      </c>
      <c r="S11" s="27">
        <v>140101.23</v>
      </c>
      <c r="T11" s="27">
        <v>151123.24</v>
      </c>
      <c r="U11" s="27">
        <v>140229.4</v>
      </c>
      <c r="V11" s="27">
        <v>138320.21</v>
      </c>
      <c r="W11" s="27">
        <v>130906.61</v>
      </c>
      <c r="X11" s="27">
        <v>134678.59</v>
      </c>
      <c r="Y11" s="27">
        <v>138709.59</v>
      </c>
      <c r="Z11" s="27">
        <v>142706.3</v>
      </c>
      <c r="AA11" s="27">
        <v>137638.31</v>
      </c>
      <c r="AB11" s="27">
        <v>141957.09</v>
      </c>
      <c r="AC11" s="27">
        <v>145796.23</v>
      </c>
      <c r="AD11" s="27">
        <v>142390.2</v>
      </c>
      <c r="AE11" s="27">
        <v>146763.72</v>
      </c>
      <c r="AF11" s="27">
        <v>130478.39</v>
      </c>
      <c r="AG11" s="27"/>
      <c r="AH11" s="83">
        <f t="shared" si="1"/>
        <v>4192632.99</v>
      </c>
    </row>
    <row r="12" customFormat="1" ht="15.6" spans="1:35">
      <c r="A12" s="77">
        <v>1</v>
      </c>
      <c r="B12" s="84" t="s">
        <v>17</v>
      </c>
      <c r="C12" s="85">
        <v>22</v>
      </c>
      <c r="D12" s="86">
        <v>20</v>
      </c>
      <c r="E12" s="86">
        <v>21</v>
      </c>
      <c r="F12" s="86">
        <v>21</v>
      </c>
      <c r="G12" s="86">
        <v>22</v>
      </c>
      <c r="H12" s="86">
        <v>21</v>
      </c>
      <c r="I12" s="86">
        <v>22</v>
      </c>
      <c r="J12" s="86">
        <v>20</v>
      </c>
      <c r="K12" s="86">
        <v>22</v>
      </c>
      <c r="L12" s="86">
        <v>21</v>
      </c>
      <c r="M12" s="86">
        <v>21</v>
      </c>
      <c r="N12" s="86">
        <v>22</v>
      </c>
      <c r="O12" s="86">
        <v>22</v>
      </c>
      <c r="P12" s="86">
        <v>24</v>
      </c>
      <c r="Q12" s="86">
        <v>24</v>
      </c>
      <c r="R12" s="86">
        <v>21</v>
      </c>
      <c r="S12" s="86">
        <v>22</v>
      </c>
      <c r="T12" s="86">
        <v>22</v>
      </c>
      <c r="U12" s="86">
        <v>20</v>
      </c>
      <c r="V12" s="86">
        <v>18</v>
      </c>
      <c r="W12" s="86">
        <v>21</v>
      </c>
      <c r="X12" s="86">
        <v>20</v>
      </c>
      <c r="Y12" s="86">
        <v>21</v>
      </c>
      <c r="Z12" s="86">
        <v>20</v>
      </c>
      <c r="AA12" s="86">
        <v>17</v>
      </c>
      <c r="AB12" s="86">
        <v>17</v>
      </c>
      <c r="AC12" s="86">
        <v>20</v>
      </c>
      <c r="AD12" s="86">
        <v>18</v>
      </c>
      <c r="AE12" s="86">
        <v>19</v>
      </c>
      <c r="AF12" s="86">
        <v>21</v>
      </c>
      <c r="AG12" s="86"/>
      <c r="AH12" s="87">
        <f t="shared" si="1"/>
        <v>622</v>
      </c>
      <c r="AI12" s="9"/>
    </row>
    <row r="13" customFormat="1" ht="15.6" spans="1:35">
      <c r="A13" s="77">
        <v>2</v>
      </c>
      <c r="B13" s="84" t="s">
        <v>18</v>
      </c>
      <c r="C13" s="85">
        <v>281</v>
      </c>
      <c r="D13" s="86">
        <v>279</v>
      </c>
      <c r="E13" s="86">
        <v>292</v>
      </c>
      <c r="F13" s="86">
        <v>293</v>
      </c>
      <c r="G13" s="86">
        <v>292</v>
      </c>
      <c r="H13" s="86">
        <v>284</v>
      </c>
      <c r="I13" s="86">
        <v>282</v>
      </c>
      <c r="J13" s="86">
        <v>279</v>
      </c>
      <c r="K13" s="86">
        <v>277</v>
      </c>
      <c r="L13" s="86">
        <v>290</v>
      </c>
      <c r="M13" s="86">
        <v>290</v>
      </c>
      <c r="N13" s="86">
        <v>287</v>
      </c>
      <c r="O13" s="86">
        <v>297</v>
      </c>
      <c r="P13" s="86">
        <v>299</v>
      </c>
      <c r="Q13" s="86">
        <v>276</v>
      </c>
      <c r="R13" s="86">
        <v>275</v>
      </c>
      <c r="S13" s="86">
        <v>268</v>
      </c>
      <c r="T13" s="86">
        <v>281</v>
      </c>
      <c r="U13" s="86">
        <v>295</v>
      </c>
      <c r="V13" s="86">
        <v>298</v>
      </c>
      <c r="W13" s="86">
        <v>301</v>
      </c>
      <c r="X13" s="86">
        <v>295</v>
      </c>
      <c r="Y13" s="86">
        <v>282</v>
      </c>
      <c r="Z13" s="86">
        <v>289</v>
      </c>
      <c r="AA13" s="86">
        <v>287</v>
      </c>
      <c r="AB13" s="86">
        <v>286</v>
      </c>
      <c r="AC13" s="86">
        <v>281</v>
      </c>
      <c r="AD13" s="86">
        <v>287</v>
      </c>
      <c r="AE13" s="86">
        <v>273</v>
      </c>
      <c r="AF13" s="86">
        <v>263</v>
      </c>
      <c r="AG13" s="86"/>
      <c r="AH13" s="87">
        <f t="shared" si="1"/>
        <v>8559</v>
      </c>
      <c r="AI13" s="9"/>
    </row>
    <row r="14" customFormat="1" ht="15.6" spans="1:35">
      <c r="A14" s="77">
        <v>3</v>
      </c>
      <c r="B14" s="84" t="s">
        <v>19</v>
      </c>
      <c r="C14" s="85">
        <v>72</v>
      </c>
      <c r="D14" s="86">
        <v>83</v>
      </c>
      <c r="E14" s="86">
        <v>90</v>
      </c>
      <c r="F14" s="86">
        <v>85</v>
      </c>
      <c r="G14" s="86">
        <v>94</v>
      </c>
      <c r="H14" s="86">
        <v>92</v>
      </c>
      <c r="I14" s="86">
        <v>89</v>
      </c>
      <c r="J14" s="86">
        <v>72</v>
      </c>
      <c r="K14" s="86">
        <v>91</v>
      </c>
      <c r="L14" s="86">
        <v>102</v>
      </c>
      <c r="M14" s="86">
        <v>103</v>
      </c>
      <c r="N14" s="86">
        <v>109</v>
      </c>
      <c r="O14" s="86">
        <v>107</v>
      </c>
      <c r="P14" s="86">
        <v>90</v>
      </c>
      <c r="Q14" s="86">
        <v>89</v>
      </c>
      <c r="R14" s="86">
        <v>96</v>
      </c>
      <c r="S14" s="86">
        <v>115</v>
      </c>
      <c r="T14" s="86">
        <v>126</v>
      </c>
      <c r="U14" s="86">
        <v>104</v>
      </c>
      <c r="V14" s="86">
        <v>99</v>
      </c>
      <c r="W14" s="86">
        <v>82</v>
      </c>
      <c r="X14" s="86">
        <v>84</v>
      </c>
      <c r="Y14" s="86">
        <v>90</v>
      </c>
      <c r="Z14" s="86">
        <v>80</v>
      </c>
      <c r="AA14" s="86">
        <v>102</v>
      </c>
      <c r="AB14" s="86">
        <v>103</v>
      </c>
      <c r="AC14" s="86">
        <v>119</v>
      </c>
      <c r="AD14" s="86">
        <v>114</v>
      </c>
      <c r="AE14" s="86">
        <v>105</v>
      </c>
      <c r="AF14" s="86">
        <v>98</v>
      </c>
      <c r="AG14" s="86"/>
      <c r="AH14" s="87">
        <f t="shared" si="1"/>
        <v>2885</v>
      </c>
      <c r="AI14" s="9"/>
    </row>
    <row r="15" customFormat="1" ht="15.6" spans="1:35">
      <c r="A15" s="77">
        <v>4</v>
      </c>
      <c r="B15" s="84" t="s">
        <v>20</v>
      </c>
      <c r="C15" s="85">
        <v>375</v>
      </c>
      <c r="D15" s="86">
        <v>382</v>
      </c>
      <c r="E15" s="86">
        <v>403</v>
      </c>
      <c r="F15" s="86">
        <v>399</v>
      </c>
      <c r="G15" s="86">
        <v>408</v>
      </c>
      <c r="H15" s="86">
        <v>397</v>
      </c>
      <c r="I15" s="86">
        <v>393</v>
      </c>
      <c r="J15" s="86">
        <v>371</v>
      </c>
      <c r="K15" s="86">
        <v>390</v>
      </c>
      <c r="L15" s="86">
        <v>413</v>
      </c>
      <c r="M15" s="86">
        <v>414</v>
      </c>
      <c r="N15" s="86">
        <v>418</v>
      </c>
      <c r="O15" s="86">
        <v>426</v>
      </c>
      <c r="P15" s="86">
        <v>413</v>
      </c>
      <c r="Q15" s="86">
        <v>389</v>
      </c>
      <c r="R15" s="86">
        <v>392</v>
      </c>
      <c r="S15" s="86">
        <v>405</v>
      </c>
      <c r="T15" s="86">
        <v>429</v>
      </c>
      <c r="U15" s="86">
        <v>419</v>
      </c>
      <c r="V15" s="86">
        <v>415</v>
      </c>
      <c r="W15" s="86">
        <v>404</v>
      </c>
      <c r="X15" s="86">
        <v>399</v>
      </c>
      <c r="Y15" s="86">
        <v>393</v>
      </c>
      <c r="Z15" s="86">
        <v>389</v>
      </c>
      <c r="AA15" s="86">
        <v>406</v>
      </c>
      <c r="AB15" s="86">
        <v>406</v>
      </c>
      <c r="AC15" s="86">
        <v>420</v>
      </c>
      <c r="AD15" s="86">
        <v>419</v>
      </c>
      <c r="AE15" s="86">
        <v>397</v>
      </c>
      <c r="AF15" s="86">
        <v>382</v>
      </c>
      <c r="AG15" s="86"/>
      <c r="AH15" s="87">
        <f t="shared" si="1"/>
        <v>12066</v>
      </c>
      <c r="AI15" s="9"/>
    </row>
    <row r="16" customFormat="1" ht="15.6" spans="1:35">
      <c r="A16" s="77">
        <v>5</v>
      </c>
      <c r="B16" s="84" t="s">
        <v>21</v>
      </c>
      <c r="C16" s="88">
        <v>4039.5</v>
      </c>
      <c r="D16" s="88">
        <v>4148.5</v>
      </c>
      <c r="E16" s="88">
        <v>4381.5</v>
      </c>
      <c r="F16" s="88">
        <v>4322.5</v>
      </c>
      <c r="G16" s="88">
        <v>4408</v>
      </c>
      <c r="H16" s="88">
        <v>4298.5</v>
      </c>
      <c r="I16" s="88">
        <v>4186.5</v>
      </c>
      <c r="J16" s="88">
        <v>3995</v>
      </c>
      <c r="K16" s="88">
        <v>4214.5</v>
      </c>
      <c r="L16" s="88">
        <v>4496.5</v>
      </c>
      <c r="M16" s="88">
        <v>4475.5</v>
      </c>
      <c r="N16" s="88">
        <v>4536</v>
      </c>
      <c r="O16" s="88">
        <v>4574</v>
      </c>
      <c r="P16" s="88">
        <v>4443</v>
      </c>
      <c r="Q16" s="88">
        <v>4181.5</v>
      </c>
      <c r="R16" s="88">
        <v>4251.5</v>
      </c>
      <c r="S16" s="88">
        <v>4393</v>
      </c>
      <c r="T16" s="88">
        <v>4692</v>
      </c>
      <c r="U16" s="88">
        <v>4586.5</v>
      </c>
      <c r="V16" s="88">
        <v>4556</v>
      </c>
      <c r="W16" s="88">
        <v>4365</v>
      </c>
      <c r="X16" s="88">
        <v>4301.5</v>
      </c>
      <c r="Y16" s="88">
        <v>4253.5</v>
      </c>
      <c r="Z16" s="88">
        <v>4241</v>
      </c>
      <c r="AA16" s="88">
        <v>4473.5</v>
      </c>
      <c r="AB16" s="88">
        <v>4466</v>
      </c>
      <c r="AC16" s="88">
        <v>4599</v>
      </c>
      <c r="AD16" s="88">
        <v>4609.5</v>
      </c>
      <c r="AE16" s="88">
        <v>4339.5</v>
      </c>
      <c r="AF16" s="88">
        <v>4102</v>
      </c>
      <c r="AG16" s="88"/>
      <c r="AH16" s="88">
        <f t="shared" si="1"/>
        <v>130930.5</v>
      </c>
      <c r="AI16" s="9"/>
    </row>
    <row r="17" s="7" customFormat="1" ht="15.6" spans="1:35">
      <c r="A17" s="31" t="s">
        <v>22</v>
      </c>
      <c r="B17" s="89"/>
      <c r="C17" s="115">
        <v>2224.048</v>
      </c>
      <c r="D17" s="115">
        <v>2286.85602094241</v>
      </c>
      <c r="E17" s="115">
        <v>2329.34491315136</v>
      </c>
      <c r="F17" s="115">
        <v>2342.57393483709</v>
      </c>
      <c r="G17" s="115">
        <v>2392.72058823529</v>
      </c>
      <c r="H17" s="115">
        <v>2248.37027707809</v>
      </c>
      <c r="I17" s="115">
        <v>2273.04834605598</v>
      </c>
      <c r="J17" s="115">
        <v>2419.2884097035</v>
      </c>
      <c r="K17" s="115">
        <v>2374.16666666667</v>
      </c>
      <c r="L17" s="115">
        <v>2233.71428571429</v>
      </c>
      <c r="M17" s="115">
        <v>2297.1884057971</v>
      </c>
      <c r="N17" s="115">
        <v>2150.495215311</v>
      </c>
      <c r="O17" s="115">
        <v>2223.36854460094</v>
      </c>
      <c r="P17" s="115">
        <v>2102.02663438257</v>
      </c>
      <c r="Q17" s="115">
        <v>2190.98457583548</v>
      </c>
      <c r="R17" s="115">
        <v>2210.52295918367</v>
      </c>
      <c r="S17" s="115">
        <v>2244.1037037037</v>
      </c>
      <c r="T17" s="115">
        <v>2281.93006993007</v>
      </c>
      <c r="U17" s="115">
        <v>2171.06682577566</v>
      </c>
      <c r="V17" s="115">
        <v>2162.73975903614</v>
      </c>
      <c r="W17" s="115">
        <v>2104.94059405941</v>
      </c>
      <c r="X17" s="115">
        <v>2191.43107769424</v>
      </c>
      <c r="Y17" s="115">
        <v>2290.10941475827</v>
      </c>
      <c r="Z17" s="115">
        <v>2378.98971722365</v>
      </c>
      <c r="AA17" s="115">
        <v>2200.00246305419</v>
      </c>
      <c r="AB17" s="115">
        <v>2267.64285714286</v>
      </c>
      <c r="AC17" s="115">
        <v>2250.17857142857</v>
      </c>
      <c r="AD17" s="115">
        <v>2203.85918854415</v>
      </c>
      <c r="AE17" s="115">
        <v>2396.03778337532</v>
      </c>
      <c r="AF17" s="115">
        <v>2219.03926701571</v>
      </c>
      <c r="AG17" s="27"/>
      <c r="AH17" s="115">
        <f>AH5/AH15</f>
        <v>2254.24382562573</v>
      </c>
    </row>
    <row r="18" s="7" customFormat="1" ht="15.6" spans="1:35">
      <c r="A18" s="31" t="s">
        <v>23</v>
      </c>
      <c r="B18" s="89"/>
      <c r="C18" s="116">
        <v>206.465651689566</v>
      </c>
      <c r="D18" s="116">
        <v>210.577076051585</v>
      </c>
      <c r="E18" s="116">
        <v>214.247632089467</v>
      </c>
      <c r="F18" s="116">
        <v>216.237593984962</v>
      </c>
      <c r="G18" s="116">
        <v>221.46778584392</v>
      </c>
      <c r="H18" s="116">
        <v>207.654530650227</v>
      </c>
      <c r="I18" s="116">
        <v>213.378239579601</v>
      </c>
      <c r="J18" s="116">
        <v>224.669837296621</v>
      </c>
      <c r="K18" s="116">
        <v>219.699845770554</v>
      </c>
      <c r="L18" s="116">
        <v>205.16490603803</v>
      </c>
      <c r="M18" s="116">
        <v>212.498268349905</v>
      </c>
      <c r="N18" s="116">
        <v>198.171737213404</v>
      </c>
      <c r="O18" s="116">
        <v>207.073677306515</v>
      </c>
      <c r="P18" s="116">
        <v>195.394328156651</v>
      </c>
      <c r="Q18" s="116">
        <v>203.824704053569</v>
      </c>
      <c r="R18" s="116">
        <v>203.816300129366</v>
      </c>
      <c r="S18" s="116">
        <v>206.888686546779</v>
      </c>
      <c r="T18" s="116">
        <v>208.641943734015</v>
      </c>
      <c r="U18" s="116">
        <v>198.337948326611</v>
      </c>
      <c r="V18" s="116">
        <v>197.001097453907</v>
      </c>
      <c r="W18" s="116">
        <v>194.821534936999</v>
      </c>
      <c r="X18" s="116">
        <v>203.273509240962</v>
      </c>
      <c r="Y18" s="116">
        <v>211.593511226049</v>
      </c>
      <c r="Z18" s="116">
        <v>218.209620372554</v>
      </c>
      <c r="AA18" s="116">
        <v>199.664915614172</v>
      </c>
      <c r="AB18" s="116">
        <v>206.149350649351</v>
      </c>
      <c r="AC18" s="116">
        <v>205.495759947815</v>
      </c>
      <c r="AD18" s="116">
        <v>200.329102939581</v>
      </c>
      <c r="AE18" s="116">
        <v>219.201981795138</v>
      </c>
      <c r="AF18" s="116">
        <v>206.648707947343</v>
      </c>
      <c r="AG18" s="120"/>
      <c r="AH18" s="116">
        <f>AH5/AH16</f>
        <v>207.741557543888</v>
      </c>
    </row>
    <row r="19" customFormat="1" ht="15" spans="1:35">
      <c r="A19" s="91">
        <v>1</v>
      </c>
      <c r="B19" s="78" t="s">
        <v>24</v>
      </c>
      <c r="C19" s="81">
        <v>59222.15</v>
      </c>
      <c r="D19" s="81">
        <v>58876.8</v>
      </c>
      <c r="E19" s="81">
        <v>61695.5</v>
      </c>
      <c r="F19" s="81">
        <v>61657.45</v>
      </c>
      <c r="G19" s="81">
        <v>61397.45</v>
      </c>
      <c r="H19" s="81">
        <v>59729.55</v>
      </c>
      <c r="I19" s="81">
        <v>58279.85</v>
      </c>
      <c r="J19" s="81">
        <v>58377.85</v>
      </c>
      <c r="K19" s="81">
        <v>58372.55</v>
      </c>
      <c r="L19" s="81">
        <v>61216.6</v>
      </c>
      <c r="M19" s="81">
        <v>60661.55</v>
      </c>
      <c r="N19" s="81">
        <v>60524</v>
      </c>
      <c r="O19" s="81">
        <v>61636.8</v>
      </c>
      <c r="P19" s="81">
        <v>62832.85</v>
      </c>
      <c r="Q19" s="81">
        <v>58216.3</v>
      </c>
      <c r="R19" s="81">
        <v>57848.2</v>
      </c>
      <c r="S19" s="81">
        <v>56711</v>
      </c>
      <c r="T19" s="81">
        <v>59259.2</v>
      </c>
      <c r="U19" s="81">
        <v>62211.6</v>
      </c>
      <c r="V19" s="81">
        <v>62707.15</v>
      </c>
      <c r="W19" s="81">
        <v>62834.75</v>
      </c>
      <c r="X19" s="81">
        <v>61272.3</v>
      </c>
      <c r="Y19" s="81">
        <v>59101.85</v>
      </c>
      <c r="Z19" s="81">
        <v>60996.85</v>
      </c>
      <c r="AA19" s="81">
        <v>60589.7</v>
      </c>
      <c r="AB19" s="81">
        <v>60239.1</v>
      </c>
      <c r="AC19" s="81">
        <v>59263.5</v>
      </c>
      <c r="AD19" s="81">
        <v>60577.85</v>
      </c>
      <c r="AE19" s="81">
        <v>57497.6</v>
      </c>
      <c r="AF19" s="81">
        <v>54609.05</v>
      </c>
      <c r="AG19" s="81"/>
      <c r="AH19" s="87">
        <f t="shared" ref="AH19:AH28" si="2">SUM(C19:AG19)</f>
        <v>1798416.95</v>
      </c>
      <c r="AI19" s="9"/>
    </row>
    <row r="20" customFormat="1" ht="15" spans="1:35">
      <c r="A20" s="91">
        <v>2</v>
      </c>
      <c r="B20" s="78" t="s">
        <v>25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92">
        <f t="shared" si="2"/>
        <v>0</v>
      </c>
      <c r="AI20" s="9"/>
    </row>
    <row r="21" customFormat="1" ht="15" spans="1:35">
      <c r="A21" s="91">
        <v>3</v>
      </c>
      <c r="B21" s="78" t="s">
        <v>26</v>
      </c>
      <c r="C21" s="81">
        <v>273.19</v>
      </c>
      <c r="D21" s="81">
        <v>271.25</v>
      </c>
      <c r="E21" s="81">
        <v>283.89</v>
      </c>
      <c r="F21" s="81">
        <v>284.86</v>
      </c>
      <c r="G21" s="81">
        <v>283.89</v>
      </c>
      <c r="H21" s="81">
        <v>276.11</v>
      </c>
      <c r="I21" s="81">
        <v>274.17</v>
      </c>
      <c r="J21" s="81">
        <v>271.25</v>
      </c>
      <c r="K21" s="81">
        <v>269.31</v>
      </c>
      <c r="L21" s="81">
        <v>281.94</v>
      </c>
      <c r="M21" s="81">
        <v>281.94</v>
      </c>
      <c r="N21" s="81">
        <v>279.03</v>
      </c>
      <c r="O21" s="81">
        <v>288.75</v>
      </c>
      <c r="P21" s="81">
        <v>290.69</v>
      </c>
      <c r="Q21" s="81">
        <v>268.33</v>
      </c>
      <c r="R21" s="81">
        <v>267.36</v>
      </c>
      <c r="S21" s="81">
        <v>260.56</v>
      </c>
      <c r="T21" s="81">
        <v>273.19</v>
      </c>
      <c r="U21" s="81">
        <v>286.81</v>
      </c>
      <c r="V21" s="81">
        <v>289.72</v>
      </c>
      <c r="W21" s="81">
        <v>292.64</v>
      </c>
      <c r="X21" s="81">
        <v>286.81</v>
      </c>
      <c r="Y21" s="81">
        <v>274.17</v>
      </c>
      <c r="Z21" s="81">
        <v>280.97</v>
      </c>
      <c r="AA21" s="81">
        <v>279.03</v>
      </c>
      <c r="AB21" s="81">
        <v>278.06</v>
      </c>
      <c r="AC21" s="81">
        <v>273.19</v>
      </c>
      <c r="AD21" s="81">
        <v>279.03</v>
      </c>
      <c r="AE21" s="81">
        <v>265.42</v>
      </c>
      <c r="AF21" s="81">
        <v>255.69</v>
      </c>
      <c r="AG21" s="81"/>
      <c r="AH21" s="87">
        <f t="shared" si="2"/>
        <v>8321.25</v>
      </c>
      <c r="AI21" s="9"/>
    </row>
    <row r="22" customFormat="1" ht="15" spans="1:35">
      <c r="A22" s="91">
        <v>4</v>
      </c>
      <c r="B22" s="78" t="s">
        <v>27</v>
      </c>
      <c r="C22" s="81">
        <v>320.03</v>
      </c>
      <c r="D22" s="81">
        <v>317.75</v>
      </c>
      <c r="E22" s="81">
        <v>332.56</v>
      </c>
      <c r="F22" s="81">
        <v>333.69</v>
      </c>
      <c r="G22" s="81">
        <v>332.56</v>
      </c>
      <c r="H22" s="81">
        <v>323.44</v>
      </c>
      <c r="I22" s="81">
        <v>321.17</v>
      </c>
      <c r="J22" s="81">
        <v>317.75</v>
      </c>
      <c r="K22" s="81">
        <v>315.47</v>
      </c>
      <c r="L22" s="81">
        <v>330.28</v>
      </c>
      <c r="M22" s="81">
        <v>330.28</v>
      </c>
      <c r="N22" s="81">
        <v>326.86</v>
      </c>
      <c r="O22" s="81">
        <v>338.25</v>
      </c>
      <c r="P22" s="81">
        <v>340.53</v>
      </c>
      <c r="Q22" s="81">
        <v>314.33</v>
      </c>
      <c r="R22" s="81">
        <v>313.19</v>
      </c>
      <c r="S22" s="81">
        <v>305.22</v>
      </c>
      <c r="T22" s="81">
        <v>320.03</v>
      </c>
      <c r="U22" s="81">
        <v>335.97</v>
      </c>
      <c r="V22" s="81">
        <v>339.39</v>
      </c>
      <c r="W22" s="81">
        <v>342.81</v>
      </c>
      <c r="X22" s="81">
        <v>335.97</v>
      </c>
      <c r="Y22" s="81">
        <v>321.17</v>
      </c>
      <c r="Z22" s="81">
        <v>329.14</v>
      </c>
      <c r="AA22" s="81">
        <v>326.86</v>
      </c>
      <c r="AB22" s="81">
        <v>325.72</v>
      </c>
      <c r="AC22" s="81">
        <v>320.03</v>
      </c>
      <c r="AD22" s="81">
        <v>326.86</v>
      </c>
      <c r="AE22" s="81">
        <v>310.92</v>
      </c>
      <c r="AF22" s="81">
        <v>299.53</v>
      </c>
      <c r="AG22" s="81"/>
      <c r="AH22" s="87">
        <f t="shared" si="2"/>
        <v>9747.76</v>
      </c>
      <c r="AI22" s="9"/>
    </row>
    <row r="23" customFormat="1" ht="15" spans="1:35">
      <c r="A23" s="91">
        <v>5</v>
      </c>
      <c r="B23" s="78" t="s">
        <v>28</v>
      </c>
      <c r="C23" s="81">
        <v>2448</v>
      </c>
      <c r="D23" s="81">
        <v>2416</v>
      </c>
      <c r="E23" s="81">
        <v>2528</v>
      </c>
      <c r="F23" s="81">
        <v>2536</v>
      </c>
      <c r="G23" s="81">
        <v>2536</v>
      </c>
      <c r="H23" s="81">
        <v>2464</v>
      </c>
      <c r="I23" s="81">
        <v>2456</v>
      </c>
      <c r="J23" s="81">
        <v>2416</v>
      </c>
      <c r="K23" s="81">
        <v>2416</v>
      </c>
      <c r="L23" s="81">
        <v>2512</v>
      </c>
      <c r="M23" s="81">
        <v>2512</v>
      </c>
      <c r="N23" s="81">
        <v>2496</v>
      </c>
      <c r="O23" s="81">
        <v>2576</v>
      </c>
      <c r="P23" s="81">
        <v>2608</v>
      </c>
      <c r="Q23" s="81">
        <v>2424</v>
      </c>
      <c r="R23" s="81">
        <v>2392</v>
      </c>
      <c r="S23" s="81">
        <v>2344</v>
      </c>
      <c r="T23" s="81">
        <v>2448</v>
      </c>
      <c r="U23" s="81">
        <v>2544</v>
      </c>
      <c r="V23" s="81">
        <v>2552</v>
      </c>
      <c r="W23" s="81">
        <v>2600</v>
      </c>
      <c r="X23" s="81">
        <v>2544</v>
      </c>
      <c r="Y23" s="81">
        <v>2448</v>
      </c>
      <c r="Z23" s="81">
        <v>2496</v>
      </c>
      <c r="AA23" s="81">
        <v>2456</v>
      </c>
      <c r="AB23" s="81">
        <v>2448</v>
      </c>
      <c r="AC23" s="81">
        <v>2432</v>
      </c>
      <c r="AD23" s="81">
        <v>2464</v>
      </c>
      <c r="AE23" s="81">
        <v>2360</v>
      </c>
      <c r="AF23" s="81">
        <v>2296</v>
      </c>
      <c r="AG23" s="81"/>
      <c r="AH23" s="92">
        <f t="shared" si="2"/>
        <v>74168</v>
      </c>
      <c r="AI23" s="9"/>
    </row>
    <row r="24" customFormat="1" ht="15" spans="1:35">
      <c r="A24" s="91">
        <v>6</v>
      </c>
      <c r="B24" s="78" t="s">
        <v>29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92">
        <f t="shared" si="2"/>
        <v>0</v>
      </c>
      <c r="AI24" s="9"/>
    </row>
    <row r="25" customFormat="1" ht="15" spans="1:35">
      <c r="A25" s="91">
        <v>7</v>
      </c>
      <c r="B25" s="78" t="s">
        <v>30</v>
      </c>
      <c r="C25" s="81">
        <v>19009.5</v>
      </c>
      <c r="D25" s="81">
        <v>21919</v>
      </c>
      <c r="E25" s="81">
        <v>23724.5</v>
      </c>
      <c r="F25" s="81">
        <v>22413.5</v>
      </c>
      <c r="G25" s="81">
        <v>24782.5</v>
      </c>
      <c r="H25" s="81">
        <v>24253.5</v>
      </c>
      <c r="I25" s="81">
        <v>23425.5</v>
      </c>
      <c r="J25" s="81">
        <v>18975</v>
      </c>
      <c r="K25" s="81">
        <v>23943</v>
      </c>
      <c r="L25" s="81">
        <v>26910</v>
      </c>
      <c r="M25" s="81">
        <v>28945.5</v>
      </c>
      <c r="N25" s="81">
        <v>30521</v>
      </c>
      <c r="O25" s="81">
        <v>28083</v>
      </c>
      <c r="P25" s="81">
        <v>23690</v>
      </c>
      <c r="Q25" s="81">
        <v>23437</v>
      </c>
      <c r="R25" s="81">
        <v>25265.5</v>
      </c>
      <c r="S25" s="81">
        <v>30176</v>
      </c>
      <c r="T25" s="81">
        <v>33016.5</v>
      </c>
      <c r="U25" s="81">
        <v>27289.5</v>
      </c>
      <c r="V25" s="81">
        <v>25898</v>
      </c>
      <c r="W25" s="81">
        <v>21539.5</v>
      </c>
      <c r="X25" s="81">
        <v>22103</v>
      </c>
      <c r="Y25" s="81">
        <v>23667</v>
      </c>
      <c r="Z25" s="81">
        <v>21022</v>
      </c>
      <c r="AA25" s="81">
        <v>26795</v>
      </c>
      <c r="AB25" s="81">
        <v>27059.5</v>
      </c>
      <c r="AC25" s="81">
        <v>31234</v>
      </c>
      <c r="AD25" s="81">
        <v>29911.5</v>
      </c>
      <c r="AE25" s="81">
        <v>27600</v>
      </c>
      <c r="AF25" s="81">
        <v>25760</v>
      </c>
      <c r="AG25" s="81"/>
      <c r="AH25" s="92">
        <f t="shared" si="2"/>
        <v>762369.5</v>
      </c>
      <c r="AI25" s="9"/>
    </row>
    <row r="26" customFormat="1" ht="15" spans="1:35">
      <c r="A26" s="91">
        <v>8</v>
      </c>
      <c r="B26" s="78" t="s">
        <v>31</v>
      </c>
      <c r="C26" s="81">
        <v>7969</v>
      </c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92">
        <f t="shared" si="2"/>
        <v>7969</v>
      </c>
      <c r="AI26" s="9"/>
    </row>
    <row r="27" customFormat="1" ht="15" spans="1:35">
      <c r="A27" s="91">
        <v>9</v>
      </c>
      <c r="B27" s="78" t="s">
        <v>32</v>
      </c>
      <c r="C27" s="81">
        <v>2000</v>
      </c>
      <c r="D27" s="81">
        <v>2000</v>
      </c>
      <c r="E27" s="81">
        <v>2000</v>
      </c>
      <c r="F27" s="81">
        <v>2000</v>
      </c>
      <c r="G27" s="81">
        <v>2000</v>
      </c>
      <c r="H27" s="81">
        <v>2000</v>
      </c>
      <c r="I27" s="81">
        <v>2000</v>
      </c>
      <c r="J27" s="81">
        <v>2000</v>
      </c>
      <c r="K27" s="81">
        <v>2000</v>
      </c>
      <c r="L27" s="81">
        <v>2000</v>
      </c>
      <c r="M27" s="81">
        <v>2000</v>
      </c>
      <c r="N27" s="81">
        <v>2000</v>
      </c>
      <c r="O27" s="81">
        <v>2000</v>
      </c>
      <c r="P27" s="81">
        <v>2000</v>
      </c>
      <c r="Q27" s="81">
        <v>2000</v>
      </c>
      <c r="R27" s="81">
        <v>2000</v>
      </c>
      <c r="S27" s="81">
        <v>2000</v>
      </c>
      <c r="T27" s="81">
        <v>2000</v>
      </c>
      <c r="U27" s="81">
        <v>2000</v>
      </c>
      <c r="V27" s="81">
        <v>2000</v>
      </c>
      <c r="W27" s="81">
        <v>2000</v>
      </c>
      <c r="X27" s="81">
        <v>2000</v>
      </c>
      <c r="Y27" s="81">
        <v>2000</v>
      </c>
      <c r="Z27" s="81">
        <v>2000</v>
      </c>
      <c r="AA27" s="81">
        <v>2000</v>
      </c>
      <c r="AB27" s="81">
        <v>2000</v>
      </c>
      <c r="AC27" s="81">
        <v>2000</v>
      </c>
      <c r="AD27" s="81">
        <v>2000</v>
      </c>
      <c r="AE27" s="81">
        <v>2000</v>
      </c>
      <c r="AF27" s="81">
        <v>2000</v>
      </c>
      <c r="AG27" s="81"/>
      <c r="AH27" s="87">
        <f t="shared" si="2"/>
        <v>60000</v>
      </c>
      <c r="AI27" s="9"/>
    </row>
    <row r="28" customFormat="1" ht="15" spans="1:35">
      <c r="A28" s="91">
        <v>10</v>
      </c>
      <c r="B28" s="78" t="s">
        <v>33</v>
      </c>
      <c r="C28" s="81">
        <v>34694.9026666667</v>
      </c>
      <c r="D28" s="81">
        <v>34694.9026666667</v>
      </c>
      <c r="E28" s="81">
        <v>34694.9026666667</v>
      </c>
      <c r="F28" s="81">
        <v>34694.9026666667</v>
      </c>
      <c r="G28" s="81">
        <v>34694.9026666667</v>
      </c>
      <c r="H28" s="81">
        <v>34694.9026666667</v>
      </c>
      <c r="I28" s="81">
        <v>34694.9026666667</v>
      </c>
      <c r="J28" s="81">
        <v>34694.9026666667</v>
      </c>
      <c r="K28" s="81">
        <v>34694.9026666667</v>
      </c>
      <c r="L28" s="81">
        <v>34694.9026666667</v>
      </c>
      <c r="M28" s="81">
        <v>34694.9026666667</v>
      </c>
      <c r="N28" s="81">
        <v>34694.9026666667</v>
      </c>
      <c r="O28" s="81">
        <v>34694.9026666667</v>
      </c>
      <c r="P28" s="81">
        <v>34694.9026666667</v>
      </c>
      <c r="Q28" s="81">
        <v>34694.9026666667</v>
      </c>
      <c r="R28" s="81">
        <v>34694.9026666667</v>
      </c>
      <c r="S28" s="81">
        <v>34694.9026666667</v>
      </c>
      <c r="T28" s="81">
        <v>34694.9026666667</v>
      </c>
      <c r="U28" s="81">
        <v>34694.9026666667</v>
      </c>
      <c r="V28" s="81">
        <v>34694.9026666667</v>
      </c>
      <c r="W28" s="81">
        <v>34694.9026666667</v>
      </c>
      <c r="X28" s="81">
        <v>34694.9026666667</v>
      </c>
      <c r="Y28" s="81">
        <v>34694.9026666667</v>
      </c>
      <c r="Z28" s="81">
        <v>34694.9026666667</v>
      </c>
      <c r="AA28" s="81">
        <v>34694.9026666667</v>
      </c>
      <c r="AB28" s="81">
        <v>34694.9026666667</v>
      </c>
      <c r="AC28" s="81">
        <v>34694.9026666667</v>
      </c>
      <c r="AD28" s="81">
        <v>34694.9026666667</v>
      </c>
      <c r="AE28" s="81">
        <v>34694.9026666667</v>
      </c>
      <c r="AF28" s="81">
        <v>34694.9026666667</v>
      </c>
      <c r="AG28" s="81"/>
      <c r="AH28" s="87">
        <f t="shared" si="2"/>
        <v>1040847.08</v>
      </c>
    </row>
    <row r="29" s="7" customFormat="1" ht="15.6" spans="1:35">
      <c r="A29" s="93" t="s">
        <v>34</v>
      </c>
      <c r="B29" s="93"/>
      <c r="C29" s="27">
        <v>125936.772666667</v>
      </c>
      <c r="D29" s="27">
        <v>120495.702666667</v>
      </c>
      <c r="E29" s="27">
        <v>125259.352666667</v>
      </c>
      <c r="F29" s="27">
        <v>123920.402666667</v>
      </c>
      <c r="G29" s="27">
        <v>126027.302666667</v>
      </c>
      <c r="H29" s="27">
        <v>123741.502666667</v>
      </c>
      <c r="I29" s="27">
        <v>121451.592666667</v>
      </c>
      <c r="J29" s="27">
        <v>117052.752666667</v>
      </c>
      <c r="K29" s="27">
        <v>122011.232666667</v>
      </c>
      <c r="L29" s="27">
        <v>127945.722666667</v>
      </c>
      <c r="M29" s="27">
        <v>129426.172666667</v>
      </c>
      <c r="N29" s="27">
        <v>130841.792666667</v>
      </c>
      <c r="O29" s="27">
        <v>129617.702666667</v>
      </c>
      <c r="P29" s="27">
        <v>126456.972666667</v>
      </c>
      <c r="Q29" s="27">
        <v>121354.862666667</v>
      </c>
      <c r="R29" s="27">
        <v>122781.152666667</v>
      </c>
      <c r="S29" s="27">
        <v>126491.682666667</v>
      </c>
      <c r="T29" s="27">
        <v>132011.822666667</v>
      </c>
      <c r="U29" s="27">
        <v>129362.782666667</v>
      </c>
      <c r="V29" s="27">
        <v>128481.162666667</v>
      </c>
      <c r="W29" s="27">
        <v>124304.602666667</v>
      </c>
      <c r="X29" s="27">
        <v>123236.982666667</v>
      </c>
      <c r="Y29" s="27">
        <v>122507.092666667</v>
      </c>
      <c r="Z29" s="27">
        <v>121819.862666667</v>
      </c>
      <c r="AA29" s="27">
        <v>127141.492666667</v>
      </c>
      <c r="AB29" s="27">
        <v>127045.282666667</v>
      </c>
      <c r="AC29" s="27">
        <v>130217.622666667</v>
      </c>
      <c r="AD29" s="27">
        <v>130254.142666667</v>
      </c>
      <c r="AE29" s="27">
        <v>124728.842666667</v>
      </c>
      <c r="AF29" s="27">
        <v>119915.172666667</v>
      </c>
      <c r="AG29" s="27"/>
      <c r="AH29" s="27">
        <f>SUM(AH19:AH28)</f>
        <v>3761839.54</v>
      </c>
    </row>
    <row r="30" s="7" customFormat="1" ht="15.6" spans="1:35">
      <c r="A30" s="39" t="s">
        <v>35</v>
      </c>
      <c r="B30" s="39"/>
      <c r="C30" s="27">
        <v>923.98</v>
      </c>
      <c r="D30" s="27">
        <v>968.78</v>
      </c>
      <c r="E30" s="27">
        <v>1042.54</v>
      </c>
      <c r="F30" s="27">
        <v>1037.97</v>
      </c>
      <c r="G30" s="27">
        <v>1085.01</v>
      </c>
      <c r="H30" s="27">
        <v>990.32</v>
      </c>
      <c r="I30" s="27">
        <v>991.12</v>
      </c>
      <c r="J30" s="27">
        <v>995.93</v>
      </c>
      <c r="K30" s="27">
        <v>1028.05</v>
      </c>
      <c r="L30" s="27">
        <v>1024.2</v>
      </c>
      <c r="M30" s="27">
        <v>1056.48</v>
      </c>
      <c r="N30" s="27">
        <v>997.46</v>
      </c>
      <c r="O30" s="27">
        <v>1052.09</v>
      </c>
      <c r="P30" s="27">
        <v>962.62</v>
      </c>
      <c r="Q30" s="27">
        <v>944.68</v>
      </c>
      <c r="R30" s="27">
        <v>960.79</v>
      </c>
      <c r="S30" s="27">
        <v>1008.73</v>
      </c>
      <c r="T30" s="27">
        <v>1088.09</v>
      </c>
      <c r="U30" s="27">
        <v>1009.65</v>
      </c>
      <c r="V30" s="27">
        <v>995.91</v>
      </c>
      <c r="W30" s="27">
        <v>942.53</v>
      </c>
      <c r="X30" s="27">
        <v>969.69</v>
      </c>
      <c r="Y30" s="27">
        <v>998.71</v>
      </c>
      <c r="Z30" s="27">
        <v>1027.49</v>
      </c>
      <c r="AA30" s="27">
        <v>991</v>
      </c>
      <c r="AB30" s="27">
        <v>1022.09</v>
      </c>
      <c r="AC30" s="27">
        <v>1049.73</v>
      </c>
      <c r="AD30" s="27">
        <v>1025.21</v>
      </c>
      <c r="AE30" s="27">
        <v>1056.7</v>
      </c>
      <c r="AF30" s="27">
        <v>939.44</v>
      </c>
      <c r="AG30" s="27"/>
      <c r="AH30" s="27">
        <f t="shared" ref="AH30:AH33" si="3">SUM(C30:AG30)</f>
        <v>30186.99</v>
      </c>
    </row>
    <row r="31" s="7" customFormat="1" spans="1:35">
      <c r="A31" s="94" t="s">
        <v>36</v>
      </c>
      <c r="B31" s="94"/>
      <c r="C31" s="27">
        <v>1470.19</v>
      </c>
      <c r="D31" s="27">
        <v>13087.99</v>
      </c>
      <c r="E31" s="27">
        <v>18495.86</v>
      </c>
      <c r="F31" s="27">
        <v>19204.2</v>
      </c>
      <c r="G31" s="27">
        <v>23583.48</v>
      </c>
      <c r="H31" s="27">
        <v>12812.44</v>
      </c>
      <c r="I31" s="27">
        <v>15212.42</v>
      </c>
      <c r="J31" s="27">
        <v>20274.52</v>
      </c>
      <c r="K31" s="27">
        <v>19745.34</v>
      </c>
      <c r="L31" s="27">
        <v>13279.84</v>
      </c>
      <c r="M31" s="27">
        <v>16251.03</v>
      </c>
      <c r="N31" s="27">
        <v>6696.41</v>
      </c>
      <c r="O31" s="27">
        <v>15453.55</v>
      </c>
      <c r="P31" s="27">
        <v>6277.05</v>
      </c>
      <c r="Q31" s="27">
        <v>8905.4</v>
      </c>
      <c r="R31" s="27">
        <v>9701.19</v>
      </c>
      <c r="S31" s="27">
        <v>12600.82</v>
      </c>
      <c r="T31" s="27">
        <v>18023.33</v>
      </c>
      <c r="U31" s="27">
        <v>9856.97</v>
      </c>
      <c r="V31" s="27">
        <v>8843.14</v>
      </c>
      <c r="W31" s="27">
        <v>5659.48</v>
      </c>
      <c r="X31" s="27">
        <v>10471.92</v>
      </c>
      <c r="Y31" s="27">
        <v>15203.79</v>
      </c>
      <c r="Z31" s="27">
        <v>19858.95</v>
      </c>
      <c r="AA31" s="27">
        <v>9505.82</v>
      </c>
      <c r="AB31" s="27">
        <v>13889.72</v>
      </c>
      <c r="AC31" s="27">
        <v>14528.88</v>
      </c>
      <c r="AD31" s="27">
        <v>11110.85</v>
      </c>
      <c r="AE31" s="27">
        <v>20978.18</v>
      </c>
      <c r="AF31" s="27">
        <v>9623.78</v>
      </c>
      <c r="AG31" s="27"/>
      <c r="AH31" s="27">
        <f>AH11-AH29-AH30</f>
        <v>400606.459999998</v>
      </c>
    </row>
    <row r="32" customFormat="1" ht="15" spans="1:35">
      <c r="A32" s="91">
        <v>1</v>
      </c>
      <c r="B32" s="95" t="s">
        <v>37</v>
      </c>
      <c r="C32" s="86">
        <v>11312.58</v>
      </c>
      <c r="D32" s="86">
        <v>11312.58</v>
      </c>
      <c r="E32" s="86">
        <v>11312.58</v>
      </c>
      <c r="F32" s="86">
        <v>11312.58</v>
      </c>
      <c r="G32" s="86">
        <v>11312.58</v>
      </c>
      <c r="H32" s="86">
        <v>11312.58</v>
      </c>
      <c r="I32" s="86">
        <v>11312.58</v>
      </c>
      <c r="J32" s="86">
        <v>11312.58</v>
      </c>
      <c r="K32" s="86">
        <v>11312.58</v>
      </c>
      <c r="L32" s="86">
        <v>11312.58</v>
      </c>
      <c r="M32" s="86">
        <v>11312.58</v>
      </c>
      <c r="N32" s="86">
        <v>11312.58</v>
      </c>
      <c r="O32" s="86">
        <v>11312.58</v>
      </c>
      <c r="P32" s="86">
        <v>11312.58</v>
      </c>
      <c r="Q32" s="86">
        <v>11312.58</v>
      </c>
      <c r="R32" s="86">
        <v>11312.58</v>
      </c>
      <c r="S32" s="86">
        <v>11312.58</v>
      </c>
      <c r="T32" s="86">
        <v>11312.58</v>
      </c>
      <c r="U32" s="86">
        <v>11312.58</v>
      </c>
      <c r="V32" s="86">
        <v>11312.58</v>
      </c>
      <c r="W32" s="86">
        <v>11312.58</v>
      </c>
      <c r="X32" s="86">
        <v>11312.58</v>
      </c>
      <c r="Y32" s="86">
        <v>11312.58</v>
      </c>
      <c r="Z32" s="86">
        <v>11312.58</v>
      </c>
      <c r="AA32" s="86">
        <v>11312.58</v>
      </c>
      <c r="AB32" s="86">
        <v>11312.58</v>
      </c>
      <c r="AC32" s="86">
        <v>11312.58</v>
      </c>
      <c r="AD32" s="86">
        <v>11312.58</v>
      </c>
      <c r="AE32" s="86">
        <v>11312.58</v>
      </c>
      <c r="AF32" s="86">
        <v>11312.58</v>
      </c>
      <c r="AG32" s="86"/>
      <c r="AH32" s="87">
        <f t="shared" si="3"/>
        <v>339377.4</v>
      </c>
      <c r="AI32" s="9"/>
    </row>
    <row r="33" customFormat="1" ht="15" spans="1:35">
      <c r="A33" s="91">
        <v>2</v>
      </c>
      <c r="B33" s="95" t="s">
        <v>38</v>
      </c>
      <c r="C33" s="86">
        <v>703.33</v>
      </c>
      <c r="D33" s="86">
        <v>703.33</v>
      </c>
      <c r="E33" s="86">
        <v>703.33</v>
      </c>
      <c r="F33" s="86">
        <v>703.33</v>
      </c>
      <c r="G33" s="86">
        <v>703.33</v>
      </c>
      <c r="H33" s="86">
        <v>703.33</v>
      </c>
      <c r="I33" s="86">
        <v>703.33</v>
      </c>
      <c r="J33" s="86">
        <v>703.33</v>
      </c>
      <c r="K33" s="86">
        <v>703.33</v>
      </c>
      <c r="L33" s="86">
        <v>703.33</v>
      </c>
      <c r="M33" s="86">
        <v>703.33</v>
      </c>
      <c r="N33" s="86">
        <v>703.33</v>
      </c>
      <c r="O33" s="86">
        <v>703.33</v>
      </c>
      <c r="P33" s="86">
        <v>703.33</v>
      </c>
      <c r="Q33" s="86">
        <v>703.33</v>
      </c>
      <c r="R33" s="86">
        <v>703.33</v>
      </c>
      <c r="S33" s="86">
        <v>703.33</v>
      </c>
      <c r="T33" s="86">
        <v>703.33</v>
      </c>
      <c r="U33" s="86">
        <v>703.33</v>
      </c>
      <c r="V33" s="86">
        <v>703.33</v>
      </c>
      <c r="W33" s="86">
        <v>703.33</v>
      </c>
      <c r="X33" s="86">
        <v>703.33</v>
      </c>
      <c r="Y33" s="86">
        <v>703.33</v>
      </c>
      <c r="Z33" s="86">
        <v>703.33</v>
      </c>
      <c r="AA33" s="86">
        <v>703.33</v>
      </c>
      <c r="AB33" s="86">
        <v>703.33</v>
      </c>
      <c r="AC33" s="86">
        <v>703.33</v>
      </c>
      <c r="AD33" s="86">
        <v>703.33</v>
      </c>
      <c r="AE33" s="86">
        <v>703.33</v>
      </c>
      <c r="AF33" s="86">
        <v>703.33</v>
      </c>
      <c r="AG33" s="86"/>
      <c r="AH33" s="92">
        <f t="shared" si="3"/>
        <v>21099.9</v>
      </c>
      <c r="AI33" s="9"/>
    </row>
    <row r="34" customFormat="1" ht="15" spans="1:35">
      <c r="A34" s="91">
        <v>3</v>
      </c>
      <c r="B34" s="95" t="s">
        <v>39</v>
      </c>
      <c r="C34" s="86">
        <v>1350</v>
      </c>
      <c r="D34" s="86">
        <v>1350</v>
      </c>
      <c r="E34" s="86">
        <v>1350</v>
      </c>
      <c r="F34" s="86">
        <v>1350</v>
      </c>
      <c r="G34" s="86">
        <v>1350</v>
      </c>
      <c r="H34" s="86">
        <v>1350</v>
      </c>
      <c r="I34" s="86">
        <v>1350</v>
      </c>
      <c r="J34" s="86">
        <v>1350</v>
      </c>
      <c r="K34" s="86">
        <v>1350</v>
      </c>
      <c r="L34" s="86">
        <v>1350</v>
      </c>
      <c r="M34" s="86">
        <v>1350</v>
      </c>
      <c r="N34" s="86">
        <v>1350</v>
      </c>
      <c r="O34" s="86">
        <v>1350</v>
      </c>
      <c r="P34" s="86">
        <v>1350</v>
      </c>
      <c r="Q34" s="86">
        <v>1350</v>
      </c>
      <c r="R34" s="86">
        <v>1350</v>
      </c>
      <c r="S34" s="86">
        <v>1350</v>
      </c>
      <c r="T34" s="86">
        <v>1350</v>
      </c>
      <c r="U34" s="86">
        <v>1350</v>
      </c>
      <c r="V34" s="86">
        <v>1350</v>
      </c>
      <c r="W34" s="86">
        <v>1350</v>
      </c>
      <c r="X34" s="86">
        <v>1350</v>
      </c>
      <c r="Y34" s="86">
        <v>1350</v>
      </c>
      <c r="Z34" s="86">
        <v>1350</v>
      </c>
      <c r="AA34" s="86">
        <v>1350</v>
      </c>
      <c r="AB34" s="86">
        <v>1350</v>
      </c>
      <c r="AC34" s="86">
        <v>1350</v>
      </c>
      <c r="AD34" s="86">
        <v>1350</v>
      </c>
      <c r="AE34" s="86">
        <v>1350</v>
      </c>
      <c r="AF34" s="86">
        <v>1350</v>
      </c>
      <c r="AG34" s="86"/>
      <c r="AH34" s="92">
        <f>ROUND(SUM(C34:AG34),2)</f>
        <v>40500</v>
      </c>
      <c r="AI34" s="9"/>
    </row>
    <row r="35" customFormat="1" ht="15" spans="1:35">
      <c r="A35" s="91">
        <v>4</v>
      </c>
      <c r="B35" s="78" t="s">
        <v>26</v>
      </c>
      <c r="C35" s="81">
        <v>29.17</v>
      </c>
      <c r="D35" s="86">
        <v>29.17</v>
      </c>
      <c r="E35" s="86">
        <v>29.17</v>
      </c>
      <c r="F35" s="86">
        <v>29.17</v>
      </c>
      <c r="G35" s="86">
        <v>29.17</v>
      </c>
      <c r="H35" s="86">
        <v>29.17</v>
      </c>
      <c r="I35" s="86">
        <v>29.17</v>
      </c>
      <c r="J35" s="86">
        <v>29.17</v>
      </c>
      <c r="K35" s="86">
        <v>29.17</v>
      </c>
      <c r="L35" s="86">
        <v>29.17</v>
      </c>
      <c r="M35" s="86">
        <v>29.17</v>
      </c>
      <c r="N35" s="86">
        <v>29.17</v>
      </c>
      <c r="O35" s="86">
        <v>29.17</v>
      </c>
      <c r="P35" s="86">
        <v>29.17</v>
      </c>
      <c r="Q35" s="86">
        <v>29.17</v>
      </c>
      <c r="R35" s="86">
        <v>29.17</v>
      </c>
      <c r="S35" s="86">
        <v>29.17</v>
      </c>
      <c r="T35" s="86">
        <v>29.17</v>
      </c>
      <c r="U35" s="86">
        <v>29.17</v>
      </c>
      <c r="V35" s="86">
        <v>29.17</v>
      </c>
      <c r="W35" s="86">
        <v>29.17</v>
      </c>
      <c r="X35" s="86">
        <v>29.17</v>
      </c>
      <c r="Y35" s="86">
        <v>29.17</v>
      </c>
      <c r="Z35" s="86">
        <v>29.17</v>
      </c>
      <c r="AA35" s="86">
        <v>29.17</v>
      </c>
      <c r="AB35" s="86">
        <v>29.17</v>
      </c>
      <c r="AC35" s="86">
        <v>29.17</v>
      </c>
      <c r="AD35" s="86">
        <v>29.17</v>
      </c>
      <c r="AE35" s="86">
        <v>29.17</v>
      </c>
      <c r="AF35" s="86">
        <v>29.17</v>
      </c>
      <c r="AG35" s="86"/>
      <c r="AH35" s="87">
        <f t="shared" ref="AH35:AH42" si="4">SUM(C35:AG35)</f>
        <v>875.1</v>
      </c>
      <c r="AI35" s="9"/>
    </row>
    <row r="36" customFormat="1" ht="15" spans="1:35">
      <c r="A36" s="91">
        <v>5</v>
      </c>
      <c r="B36" s="78" t="s">
        <v>27</v>
      </c>
      <c r="C36" s="81">
        <v>34.17</v>
      </c>
      <c r="D36" s="86">
        <v>34.17</v>
      </c>
      <c r="E36" s="86">
        <v>34.17</v>
      </c>
      <c r="F36" s="86">
        <v>34.17</v>
      </c>
      <c r="G36" s="86">
        <v>34.17</v>
      </c>
      <c r="H36" s="86">
        <v>34.17</v>
      </c>
      <c r="I36" s="86">
        <v>34.17</v>
      </c>
      <c r="J36" s="86">
        <v>34.17</v>
      </c>
      <c r="K36" s="86">
        <v>34.17</v>
      </c>
      <c r="L36" s="86">
        <v>34.17</v>
      </c>
      <c r="M36" s="86">
        <v>34.17</v>
      </c>
      <c r="N36" s="86">
        <v>34.17</v>
      </c>
      <c r="O36" s="86">
        <v>34.17</v>
      </c>
      <c r="P36" s="86">
        <v>34.17</v>
      </c>
      <c r="Q36" s="86">
        <v>34.17</v>
      </c>
      <c r="R36" s="86">
        <v>34.17</v>
      </c>
      <c r="S36" s="86">
        <v>34.17</v>
      </c>
      <c r="T36" s="86">
        <v>34.17</v>
      </c>
      <c r="U36" s="86">
        <v>34.17</v>
      </c>
      <c r="V36" s="86">
        <v>34.17</v>
      </c>
      <c r="W36" s="86">
        <v>34.17</v>
      </c>
      <c r="X36" s="86">
        <v>34.17</v>
      </c>
      <c r="Y36" s="86">
        <v>34.17</v>
      </c>
      <c r="Z36" s="86">
        <v>34.17</v>
      </c>
      <c r="AA36" s="86">
        <v>34.17</v>
      </c>
      <c r="AB36" s="86">
        <v>34.17</v>
      </c>
      <c r="AC36" s="86">
        <v>34.17</v>
      </c>
      <c r="AD36" s="86">
        <v>34.17</v>
      </c>
      <c r="AE36" s="86">
        <v>34.17</v>
      </c>
      <c r="AF36" s="86">
        <v>34.17</v>
      </c>
      <c r="AG36" s="86"/>
      <c r="AH36" s="87">
        <f t="shared" si="4"/>
        <v>1025.1</v>
      </c>
      <c r="AI36" s="9"/>
    </row>
    <row r="37" customFormat="1" ht="15" spans="1:35">
      <c r="A37" s="91">
        <v>6</v>
      </c>
      <c r="B37" s="95" t="s">
        <v>40</v>
      </c>
      <c r="C37" s="86"/>
      <c r="D37" s="86"/>
      <c r="E37" s="86"/>
      <c r="F37" s="86"/>
      <c r="G37" s="9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>
        <v>866.81</v>
      </c>
      <c r="W37" s="86">
        <v>866.81</v>
      </c>
      <c r="X37" s="86">
        <v>866.81</v>
      </c>
      <c r="Y37" s="86">
        <v>866.81</v>
      </c>
      <c r="Z37" s="86">
        <v>866.81</v>
      </c>
      <c r="AA37" s="86">
        <v>866.81</v>
      </c>
      <c r="AB37" s="86">
        <v>866.81</v>
      </c>
      <c r="AC37" s="86">
        <v>866.81</v>
      </c>
      <c r="AD37" s="86">
        <v>866.81</v>
      </c>
      <c r="AE37" s="86">
        <v>866.81</v>
      </c>
      <c r="AF37" s="86"/>
      <c r="AG37" s="86"/>
      <c r="AH37" s="87">
        <f t="shared" si="4"/>
        <v>8668.1</v>
      </c>
      <c r="AI37" s="9"/>
    </row>
    <row r="38" customFormat="1" ht="15" spans="1:35">
      <c r="A38" s="91">
        <v>7</v>
      </c>
      <c r="B38" s="96" t="s">
        <v>41</v>
      </c>
      <c r="C38" s="81">
        <v>220</v>
      </c>
      <c r="D38" s="81">
        <v>220</v>
      </c>
      <c r="E38" s="81">
        <v>200</v>
      </c>
      <c r="F38" s="81">
        <v>200</v>
      </c>
      <c r="G38" s="81">
        <v>160</v>
      </c>
      <c r="H38" s="81">
        <v>160</v>
      </c>
      <c r="I38" s="81">
        <v>180</v>
      </c>
      <c r="J38" s="81">
        <v>160</v>
      </c>
      <c r="K38" s="81">
        <v>180</v>
      </c>
      <c r="L38" s="81">
        <v>180</v>
      </c>
      <c r="M38" s="81">
        <v>160</v>
      </c>
      <c r="N38" s="81">
        <v>120</v>
      </c>
      <c r="O38" s="81">
        <v>300</v>
      </c>
      <c r="P38" s="81">
        <v>300</v>
      </c>
      <c r="Q38" s="81">
        <v>180</v>
      </c>
      <c r="R38" s="81">
        <v>200</v>
      </c>
      <c r="S38" s="81">
        <v>220</v>
      </c>
      <c r="T38" s="81">
        <v>200</v>
      </c>
      <c r="U38" s="81">
        <v>260</v>
      </c>
      <c r="V38" s="81">
        <v>260</v>
      </c>
      <c r="W38" s="81">
        <v>220</v>
      </c>
      <c r="X38" s="81">
        <v>220</v>
      </c>
      <c r="Y38" s="81">
        <v>220</v>
      </c>
      <c r="Z38" s="81">
        <v>200</v>
      </c>
      <c r="AA38" s="81">
        <v>200</v>
      </c>
      <c r="AB38" s="81">
        <v>300</v>
      </c>
      <c r="AC38" s="81">
        <v>280</v>
      </c>
      <c r="AD38" s="81">
        <v>280</v>
      </c>
      <c r="AE38" s="81">
        <v>260</v>
      </c>
      <c r="AF38" s="81">
        <v>200</v>
      </c>
      <c r="AG38" s="81"/>
      <c r="AH38" s="87">
        <f t="shared" si="4"/>
        <v>6440</v>
      </c>
      <c r="AI38" s="9"/>
    </row>
    <row r="39" customFormat="1" ht="15" spans="1:35">
      <c r="A39" s="91">
        <v>8</v>
      </c>
      <c r="B39" s="99" t="s">
        <v>42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7">
        <f t="shared" si="4"/>
        <v>0</v>
      </c>
      <c r="AI39" s="9"/>
    </row>
    <row r="40" customFormat="1" ht="15" spans="1:35">
      <c r="A40" s="91">
        <v>9</v>
      </c>
      <c r="B40" s="99" t="s">
        <v>43</v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7">
        <f t="shared" si="4"/>
        <v>0</v>
      </c>
      <c r="AI40" s="9"/>
    </row>
    <row r="41" customFormat="1" ht="15" spans="1:35">
      <c r="A41" s="91">
        <v>10</v>
      </c>
      <c r="B41" s="100" t="s">
        <v>44</v>
      </c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>
        <v>600</v>
      </c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7">
        <f t="shared" si="4"/>
        <v>600</v>
      </c>
      <c r="AI41" s="9"/>
    </row>
    <row r="42" customFormat="1" ht="15" spans="1:35">
      <c r="A42" s="91">
        <v>11</v>
      </c>
      <c r="B42" s="95" t="s">
        <v>45</v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7">
        <f t="shared" si="4"/>
        <v>0</v>
      </c>
      <c r="AI42" s="9"/>
    </row>
    <row r="43" customFormat="1" ht="13.5" hidden="1" customHeight="1" spans="1:35">
      <c r="A43" s="91">
        <v>13</v>
      </c>
      <c r="B43" s="95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7"/>
      <c r="AI43" s="9"/>
    </row>
    <row r="44" customFormat="1" ht="15" hidden="1" spans="1:35">
      <c r="A44" s="91">
        <v>14</v>
      </c>
      <c r="B44" s="10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7"/>
      <c r="AI44" s="9"/>
    </row>
    <row r="45" s="7" customFormat="1" ht="15.6" spans="1:35">
      <c r="A45" s="102" t="s">
        <v>46</v>
      </c>
      <c r="B45" s="102"/>
      <c r="C45" s="42">
        <f t="shared" ref="C45:AH45" si="5">SUM(C32:C44)</f>
        <v>13649.25</v>
      </c>
      <c r="D45" s="42">
        <f t="shared" si="5"/>
        <v>13649.25</v>
      </c>
      <c r="E45" s="42">
        <f t="shared" si="5"/>
        <v>13629.25</v>
      </c>
      <c r="F45" s="42">
        <f t="shared" si="5"/>
        <v>13629.25</v>
      </c>
      <c r="G45" s="42">
        <f t="shared" si="5"/>
        <v>13589.25</v>
      </c>
      <c r="H45" s="42">
        <f t="shared" si="5"/>
        <v>13589.25</v>
      </c>
      <c r="I45" s="42">
        <f t="shared" si="5"/>
        <v>13609.25</v>
      </c>
      <c r="J45" s="42">
        <f t="shared" si="5"/>
        <v>13589.25</v>
      </c>
      <c r="K45" s="42">
        <f t="shared" si="5"/>
        <v>13609.25</v>
      </c>
      <c r="L45" s="42">
        <f t="shared" si="5"/>
        <v>13609.25</v>
      </c>
      <c r="M45" s="42">
        <f t="shared" si="5"/>
        <v>13589.25</v>
      </c>
      <c r="N45" s="42">
        <f t="shared" si="5"/>
        <v>13549.25</v>
      </c>
      <c r="O45" s="42">
        <f t="shared" si="5"/>
        <v>13729.25</v>
      </c>
      <c r="P45" s="42">
        <f t="shared" si="5"/>
        <v>13729.25</v>
      </c>
      <c r="Q45" s="42">
        <f t="shared" si="5"/>
        <v>13609.25</v>
      </c>
      <c r="R45" s="42">
        <f t="shared" si="5"/>
        <v>13629.25</v>
      </c>
      <c r="S45" s="42">
        <f t="shared" si="5"/>
        <v>13649.25</v>
      </c>
      <c r="T45" s="42">
        <f t="shared" si="5"/>
        <v>14229.25</v>
      </c>
      <c r="U45" s="42">
        <f t="shared" si="5"/>
        <v>13689.25</v>
      </c>
      <c r="V45" s="42">
        <f t="shared" si="5"/>
        <v>14556.06</v>
      </c>
      <c r="W45" s="42">
        <f t="shared" si="5"/>
        <v>14516.06</v>
      </c>
      <c r="X45" s="42">
        <f t="shared" si="5"/>
        <v>14516.06</v>
      </c>
      <c r="Y45" s="42">
        <f t="shared" si="5"/>
        <v>14516.06</v>
      </c>
      <c r="Z45" s="42">
        <f t="shared" si="5"/>
        <v>14496.06</v>
      </c>
      <c r="AA45" s="42">
        <f t="shared" si="5"/>
        <v>14496.06</v>
      </c>
      <c r="AB45" s="42">
        <f t="shared" si="5"/>
        <v>14596.06</v>
      </c>
      <c r="AC45" s="42">
        <f t="shared" si="5"/>
        <v>14576.06</v>
      </c>
      <c r="AD45" s="42">
        <f t="shared" si="5"/>
        <v>14576.06</v>
      </c>
      <c r="AE45" s="42">
        <f t="shared" si="5"/>
        <v>14556.06</v>
      </c>
      <c r="AF45" s="42">
        <f t="shared" si="5"/>
        <v>13629.25</v>
      </c>
      <c r="AG45" s="42">
        <f t="shared" si="5"/>
        <v>0</v>
      </c>
      <c r="AH45" s="42">
        <f t="shared" si="5"/>
        <v>418585.6</v>
      </c>
    </row>
    <row r="46" s="7" customFormat="1" ht="15.6" spans="1:35">
      <c r="A46" s="102" t="s">
        <v>47</v>
      </c>
      <c r="B46" s="102"/>
      <c r="C46" s="27">
        <f>ROUND(C31-C45,2)</f>
        <v>-12179.06</v>
      </c>
      <c r="D46" s="27">
        <f t="shared" ref="D46:AG46" si="6">D31-D45</f>
        <v>-561.26</v>
      </c>
      <c r="E46" s="27">
        <f t="shared" si="6"/>
        <v>4866.61</v>
      </c>
      <c r="F46" s="27">
        <f t="shared" si="6"/>
        <v>5574.95</v>
      </c>
      <c r="G46" s="27">
        <f t="shared" si="6"/>
        <v>9994.23</v>
      </c>
      <c r="H46" s="27">
        <f t="shared" si="6"/>
        <v>-776.809999999999</v>
      </c>
      <c r="I46" s="27">
        <f t="shared" si="6"/>
        <v>1603.17</v>
      </c>
      <c r="J46" s="27">
        <f t="shared" si="6"/>
        <v>6685.27</v>
      </c>
      <c r="K46" s="27">
        <f t="shared" si="6"/>
        <v>6136.09</v>
      </c>
      <c r="L46" s="27">
        <f t="shared" si="6"/>
        <v>-329.41</v>
      </c>
      <c r="M46" s="27">
        <f t="shared" si="6"/>
        <v>2661.78</v>
      </c>
      <c r="N46" s="27">
        <f t="shared" si="6"/>
        <v>-6852.84</v>
      </c>
      <c r="O46" s="27">
        <f t="shared" si="6"/>
        <v>1724.3</v>
      </c>
      <c r="P46" s="27">
        <f t="shared" si="6"/>
        <v>-7452.2</v>
      </c>
      <c r="Q46" s="27">
        <f t="shared" si="6"/>
        <v>-4703.85</v>
      </c>
      <c r="R46" s="27">
        <f t="shared" si="6"/>
        <v>-3928.06</v>
      </c>
      <c r="S46" s="27">
        <f t="shared" si="6"/>
        <v>-1048.43</v>
      </c>
      <c r="T46" s="27">
        <f t="shared" si="6"/>
        <v>3794.08</v>
      </c>
      <c r="U46" s="27">
        <f t="shared" si="6"/>
        <v>-3832.28</v>
      </c>
      <c r="V46" s="27">
        <f t="shared" si="6"/>
        <v>-5712.92</v>
      </c>
      <c r="W46" s="27">
        <f t="shared" si="6"/>
        <v>-8856.58</v>
      </c>
      <c r="X46" s="27">
        <f t="shared" si="6"/>
        <v>-4044.14</v>
      </c>
      <c r="Y46" s="27">
        <f t="shared" si="6"/>
        <v>687.730000000001</v>
      </c>
      <c r="Z46" s="27">
        <f t="shared" si="6"/>
        <v>5362.89</v>
      </c>
      <c r="AA46" s="27">
        <f t="shared" si="6"/>
        <v>-4990.24</v>
      </c>
      <c r="AB46" s="27">
        <f t="shared" si="6"/>
        <v>-706.34</v>
      </c>
      <c r="AC46" s="27">
        <f t="shared" si="6"/>
        <v>-47.1800000000003</v>
      </c>
      <c r="AD46" s="27">
        <f t="shared" si="6"/>
        <v>-3465.21</v>
      </c>
      <c r="AE46" s="27">
        <f t="shared" si="6"/>
        <v>6422.12</v>
      </c>
      <c r="AF46" s="27">
        <f t="shared" si="6"/>
        <v>-4005.47</v>
      </c>
      <c r="AG46" s="27">
        <f t="shared" si="6"/>
        <v>0</v>
      </c>
      <c r="AH46" s="27">
        <f>ROUND(AH31-AH45,2)</f>
        <v>-17979.14</v>
      </c>
    </row>
    <row r="47" s="9" customFormat="1" ht="352" customHeight="1" spans="1:35">
      <c r="A47" s="103" t="s">
        <v>48</v>
      </c>
      <c r="B47" s="103"/>
      <c r="C47" s="48"/>
      <c r="D47" s="48" t="s">
        <v>85</v>
      </c>
      <c r="E47" s="48"/>
      <c r="F47" s="48"/>
      <c r="G47" s="48"/>
      <c r="H47" s="48" t="s">
        <v>86</v>
      </c>
      <c r="I47" s="117"/>
      <c r="J47" s="48"/>
      <c r="K47" s="48" t="s">
        <v>87</v>
      </c>
      <c r="L47" s="48" t="s">
        <v>88</v>
      </c>
      <c r="M47" s="48" t="s">
        <v>89</v>
      </c>
      <c r="N47" s="48" t="s">
        <v>90</v>
      </c>
      <c r="O47" s="51" t="s">
        <v>91</v>
      </c>
      <c r="P47" s="51" t="s">
        <v>92</v>
      </c>
      <c r="Q47" s="51" t="s">
        <v>93</v>
      </c>
      <c r="R47" s="51" t="s">
        <v>94</v>
      </c>
      <c r="S47" s="51" t="s">
        <v>95</v>
      </c>
      <c r="T47" s="51" t="s">
        <v>96</v>
      </c>
      <c r="U47" s="51" t="s">
        <v>97</v>
      </c>
      <c r="V47" s="51" t="s">
        <v>98</v>
      </c>
      <c r="W47" s="51" t="s">
        <v>99</v>
      </c>
      <c r="X47" s="51" t="s">
        <v>100</v>
      </c>
      <c r="Y47" s="118"/>
      <c r="Z47" s="119"/>
      <c r="AA47" s="51" t="s">
        <v>101</v>
      </c>
      <c r="AB47" s="48" t="s">
        <v>102</v>
      </c>
      <c r="AC47" s="48" t="s">
        <v>103</v>
      </c>
      <c r="AD47" s="48" t="s">
        <v>104</v>
      </c>
      <c r="AE47" s="48"/>
      <c r="AF47" s="48" t="s">
        <v>105</v>
      </c>
      <c r="AG47" s="114"/>
      <c r="AH47" s="53"/>
    </row>
    <row r="48" customFormat="1" ht="15.6" spans="1:35">
      <c r="A48" s="104" t="s">
        <v>58</v>
      </c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9"/>
    </row>
    <row r="49" customFormat="1" ht="18" customHeight="1" spans="1:35">
      <c r="A49" s="9"/>
      <c r="B49" s="9"/>
      <c r="C49" s="106"/>
      <c r="D49" s="106"/>
      <c r="E49" s="106"/>
      <c r="F49" s="106"/>
      <c r="G49" s="106"/>
      <c r="H49" s="107"/>
      <c r="I49" s="108"/>
      <c r="J49" s="108"/>
      <c r="K49" s="108"/>
      <c r="L49" s="108"/>
      <c r="M49" s="10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customFormat="1" ht="18" customHeight="1" spans="1:35">
      <c r="A50" s="9"/>
      <c r="B50" s="9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13"/>
      <c r="O50" s="113"/>
      <c r="P50" s="113"/>
      <c r="Q50" s="113"/>
      <c r="R50" s="113"/>
      <c r="S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customFormat="1" ht="18" customHeight="1" spans="1:35">
      <c r="A51" s="9"/>
      <c r="B51" s="9"/>
      <c r="C51" s="107"/>
      <c r="X51" s="109" t="s">
        <v>59</v>
      </c>
      <c r="Y51" s="109"/>
      <c r="Z51" s="109"/>
      <c r="AA51" s="109"/>
      <c r="AB51" s="109"/>
      <c r="AF51" s="9"/>
      <c r="AG51" s="9"/>
      <c r="AH51" s="9"/>
      <c r="AI51" s="9"/>
    </row>
    <row r="52" customFormat="1" ht="18" customHeight="1" spans="1:35">
      <c r="A52" s="9"/>
      <c r="B52" s="9"/>
      <c r="C52" s="107"/>
      <c r="X52" s="109" t="s">
        <v>60</v>
      </c>
      <c r="Y52" s="109"/>
      <c r="Z52" s="109" t="s">
        <v>61</v>
      </c>
      <c r="AA52" s="109"/>
      <c r="AB52" s="109"/>
      <c r="AF52" s="9"/>
      <c r="AG52" s="9"/>
      <c r="AH52" s="9"/>
      <c r="AI52" s="9"/>
    </row>
    <row r="53" customFormat="1" ht="18" customHeight="1" spans="1:35">
      <c r="A53" s="9"/>
      <c r="B53" s="9"/>
      <c r="C53" s="107"/>
      <c r="X53" s="109" t="s">
        <v>62</v>
      </c>
      <c r="Y53" s="109"/>
      <c r="Z53" s="110">
        <v>45930</v>
      </c>
      <c r="AA53" s="110"/>
      <c r="AB53" s="110"/>
      <c r="AF53" s="9"/>
      <c r="AG53" s="9"/>
      <c r="AH53" s="9"/>
      <c r="AI53" s="9"/>
    </row>
    <row r="54" customFormat="1" ht="18" customHeight="1" spans="1:35">
      <c r="A54" s="9"/>
      <c r="B54" s="9"/>
      <c r="C54" s="107"/>
      <c r="X54" s="109" t="s">
        <v>63</v>
      </c>
      <c r="Y54" s="109"/>
      <c r="Z54" s="109">
        <v>21</v>
      </c>
      <c r="AA54" s="109"/>
      <c r="AB54" s="109"/>
      <c r="AF54" s="9"/>
      <c r="AG54" s="9"/>
      <c r="AH54" s="9"/>
      <c r="AI54" s="9"/>
    </row>
    <row r="55" customFormat="1" ht="18" customHeight="1" spans="1:35">
      <c r="A55" s="105"/>
      <c r="B55" s="105"/>
      <c r="C55" s="121"/>
      <c r="X55" s="109" t="s">
        <v>64</v>
      </c>
      <c r="Y55" s="109"/>
      <c r="Z55" s="109">
        <v>263</v>
      </c>
      <c r="AA55" s="109"/>
      <c r="AB55" s="109"/>
      <c r="AF55" s="105"/>
      <c r="AG55" s="105"/>
      <c r="AH55" s="105"/>
      <c r="AI55" s="9"/>
    </row>
    <row r="56" customFormat="1" ht="18" customHeight="1" spans="1:35">
      <c r="A56" s="9"/>
      <c r="B56" s="9"/>
      <c r="C56" s="107"/>
      <c r="X56" s="109" t="s">
        <v>65</v>
      </c>
      <c r="Y56" s="109"/>
      <c r="Z56" s="109">
        <v>98</v>
      </c>
      <c r="AA56" s="109"/>
      <c r="AB56" s="109"/>
      <c r="AF56" s="9"/>
      <c r="AG56" s="9"/>
      <c r="AH56" s="9"/>
      <c r="AI56" s="9"/>
    </row>
    <row r="57" customFormat="1" ht="18" customHeight="1" spans="1:35">
      <c r="A57" s="9"/>
      <c r="B57" s="9"/>
      <c r="C57" s="107"/>
      <c r="X57" s="111" t="s">
        <v>20</v>
      </c>
      <c r="Y57" s="111"/>
      <c r="Z57" s="111">
        <v>382</v>
      </c>
      <c r="AA57" s="111"/>
      <c r="AB57" s="111"/>
      <c r="AF57" s="9"/>
      <c r="AG57" s="9"/>
      <c r="AH57" s="9"/>
      <c r="AI57" s="9"/>
    </row>
    <row r="58" customFormat="1" ht="18" customHeight="1" spans="1:35">
      <c r="A58" s="9"/>
      <c r="B58" s="9"/>
      <c r="C58" s="107"/>
      <c r="X58" s="109" t="s">
        <v>5</v>
      </c>
      <c r="Y58" s="109"/>
      <c r="Z58" s="109">
        <v>847673</v>
      </c>
      <c r="AA58" s="109"/>
      <c r="AB58" s="109"/>
      <c r="AF58" s="9"/>
      <c r="AG58" s="9"/>
      <c r="AH58" s="9"/>
      <c r="AI58" s="9"/>
    </row>
    <row r="59" customFormat="1" spans="1:35">
      <c r="A59" s="9"/>
      <c r="B59" s="9"/>
      <c r="C59" s="113"/>
      <c r="X59" s="109" t="s">
        <v>21</v>
      </c>
      <c r="Y59" s="109"/>
      <c r="Z59" s="109">
        <v>4102</v>
      </c>
      <c r="AA59" s="109"/>
      <c r="AB59" s="109"/>
      <c r="AF59" s="9"/>
      <c r="AG59" s="9"/>
      <c r="AH59" s="9"/>
      <c r="AI59" s="9"/>
    </row>
    <row r="60" customFormat="1" spans="1:35">
      <c r="A60" s="9"/>
      <c r="B60" s="9"/>
      <c r="C60" s="113"/>
      <c r="X60" s="109" t="s">
        <v>23</v>
      </c>
      <c r="Y60" s="109"/>
      <c r="Z60" s="112">
        <v>206.648707947343</v>
      </c>
      <c r="AA60" s="112"/>
      <c r="AB60" s="112"/>
      <c r="AF60" s="9"/>
      <c r="AG60" s="9"/>
      <c r="AH60" s="9"/>
      <c r="AI60" s="9"/>
    </row>
  </sheetData>
  <mergeCells count="30">
    <mergeCell ref="A3:B3"/>
    <mergeCell ref="A11:B11"/>
    <mergeCell ref="A17:B17"/>
    <mergeCell ref="A18:B18"/>
    <mergeCell ref="A29:B29"/>
    <mergeCell ref="A30:B30"/>
    <mergeCell ref="A31:B31"/>
    <mergeCell ref="A45:B45"/>
    <mergeCell ref="A46:B46"/>
    <mergeCell ref="A47:B47"/>
    <mergeCell ref="C49:G49"/>
    <mergeCell ref="X51:AB51"/>
    <mergeCell ref="X52:Y52"/>
    <mergeCell ref="Z52:AB52"/>
    <mergeCell ref="X53:Y53"/>
    <mergeCell ref="Z53:AB53"/>
    <mergeCell ref="X54:Y54"/>
    <mergeCell ref="Z54:AB54"/>
    <mergeCell ref="X55:Y55"/>
    <mergeCell ref="Z55:AB55"/>
    <mergeCell ref="X56:Y56"/>
    <mergeCell ref="Z56:AB56"/>
    <mergeCell ref="X57:Y57"/>
    <mergeCell ref="Z57:AB57"/>
    <mergeCell ref="X58:Y58"/>
    <mergeCell ref="Z58:AB58"/>
    <mergeCell ref="X59:Y59"/>
    <mergeCell ref="Z59:AB59"/>
    <mergeCell ref="X60:Y60"/>
    <mergeCell ref="Z60:AB6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A1" sqref="$A1:$XFD1048576"/>
    </sheetView>
  </sheetViews>
  <sheetFormatPr defaultColWidth="19.3703703703704" defaultRowHeight="14.4"/>
  <cols>
    <col min="1" max="1" width="9.62962962962963" style="62" customWidth="1"/>
    <col min="2" max="9" width="19.3703703703704" style="62" customWidth="1"/>
    <col min="10" max="10" width="12.3703703703704" style="62" customWidth="1"/>
    <col min="11" max="16384" width="19.3703703703704" style="62" customWidth="1"/>
  </cols>
  <sheetData>
    <row r="1" s="62" customFormat="1" ht="32.4" spans="1:10">
      <c r="A1" s="63" t="s">
        <v>66</v>
      </c>
      <c r="B1" s="64" t="s">
        <v>67</v>
      </c>
      <c r="C1" s="64" t="s">
        <v>68</v>
      </c>
      <c r="D1" s="64" t="s">
        <v>69</v>
      </c>
      <c r="E1" s="65" t="s">
        <v>70</v>
      </c>
      <c r="F1" s="66" t="s">
        <v>71</v>
      </c>
    </row>
    <row r="2" s="62" customFormat="1" ht="15.6" spans="1:10">
      <c r="A2" s="67">
        <v>45901</v>
      </c>
      <c r="B2" s="68">
        <v>303379</v>
      </c>
      <c r="C2" s="68">
        <v>592305</v>
      </c>
      <c r="D2" s="68">
        <v>29012</v>
      </c>
      <c r="E2" s="69">
        <v>90678</v>
      </c>
      <c r="F2" s="68">
        <f t="shared" ref="F2:F32" si="0">SUM(B2:D2)-E2</f>
        <v>834018</v>
      </c>
    </row>
    <row r="3" s="62" customFormat="1" ht="15.6" spans="1:10">
      <c r="A3" s="67">
        <f t="shared" ref="A3:A32" si="1">A2+1</f>
        <v>45902</v>
      </c>
      <c r="B3" s="68">
        <v>306925</v>
      </c>
      <c r="C3" s="68">
        <v>599373</v>
      </c>
      <c r="D3" s="68">
        <v>29756</v>
      </c>
      <c r="E3" s="69">
        <v>62475</v>
      </c>
      <c r="F3" s="68">
        <f t="shared" si="0"/>
        <v>873579</v>
      </c>
    </row>
    <row r="4" s="62" customFormat="1" ht="15.6" spans="1:10">
      <c r="A4" s="67">
        <f t="shared" si="1"/>
        <v>45903</v>
      </c>
      <c r="B4" s="68">
        <v>357068</v>
      </c>
      <c r="C4" s="68">
        <v>595197</v>
      </c>
      <c r="D4" s="68">
        <v>33109</v>
      </c>
      <c r="E4" s="69">
        <v>46648</v>
      </c>
      <c r="F4" s="68">
        <f t="shared" si="0"/>
        <v>938726</v>
      </c>
    </row>
    <row r="5" s="62" customFormat="1" ht="15.6" spans="1:10">
      <c r="A5" s="67">
        <f t="shared" si="1"/>
        <v>45904</v>
      </c>
      <c r="B5" s="68">
        <v>336117</v>
      </c>
      <c r="C5" s="68">
        <v>645107</v>
      </c>
      <c r="D5" s="68">
        <v>32836</v>
      </c>
      <c r="E5" s="69">
        <v>79373</v>
      </c>
      <c r="F5" s="68">
        <f t="shared" si="0"/>
        <v>934687</v>
      </c>
    </row>
    <row r="6" s="62" customFormat="1" ht="15.6" spans="1:10">
      <c r="A6" s="67">
        <f t="shared" si="1"/>
        <v>45905</v>
      </c>
      <c r="B6" s="68">
        <v>354411</v>
      </c>
      <c r="C6" s="68">
        <v>665887</v>
      </c>
      <c r="D6" s="68">
        <v>35067</v>
      </c>
      <c r="E6" s="69">
        <v>79135</v>
      </c>
      <c r="F6" s="68">
        <f t="shared" si="0"/>
        <v>976230</v>
      </c>
    </row>
    <row r="7" s="62" customFormat="1" ht="15.6" spans="1:10">
      <c r="A7" s="67">
        <f t="shared" si="1"/>
        <v>45906</v>
      </c>
      <c r="B7" s="68">
        <v>339598</v>
      </c>
      <c r="C7" s="68">
        <v>736005</v>
      </c>
      <c r="D7" s="68">
        <v>30962</v>
      </c>
      <c r="E7" s="69">
        <v>213962</v>
      </c>
      <c r="F7" s="68">
        <f t="shared" si="0"/>
        <v>892603</v>
      </c>
    </row>
    <row r="8" s="62" customFormat="1" ht="15.6" spans="1:10">
      <c r="A8" s="67">
        <f t="shared" si="1"/>
        <v>45907</v>
      </c>
      <c r="B8" s="68">
        <v>351820</v>
      </c>
      <c r="C8" s="68">
        <v>667493</v>
      </c>
      <c r="D8" s="68">
        <v>24173</v>
      </c>
      <c r="E8" s="69">
        <v>150178</v>
      </c>
      <c r="F8" s="68">
        <f t="shared" si="0"/>
        <v>893308</v>
      </c>
    </row>
    <row r="9" s="62" customFormat="1" ht="15.6" spans="1:10">
      <c r="A9" s="67">
        <f t="shared" si="1"/>
        <v>45908</v>
      </c>
      <c r="B9" s="68">
        <v>338404</v>
      </c>
      <c r="C9" s="68">
        <v>606158</v>
      </c>
      <c r="D9" s="68">
        <v>30582</v>
      </c>
      <c r="E9" s="69">
        <v>77588</v>
      </c>
      <c r="F9" s="68">
        <f t="shared" si="0"/>
        <v>897556</v>
      </c>
      <c r="I9" s="57"/>
      <c r="J9" s="57"/>
    </row>
    <row r="10" s="62" customFormat="1" ht="15.6" spans="1:10">
      <c r="A10" s="67">
        <f t="shared" si="1"/>
        <v>45909</v>
      </c>
      <c r="B10" s="68">
        <v>344034</v>
      </c>
      <c r="C10" s="68">
        <v>607086</v>
      </c>
      <c r="D10" s="68">
        <v>31925</v>
      </c>
      <c r="E10" s="69">
        <v>57120</v>
      </c>
      <c r="F10" s="68">
        <f t="shared" si="0"/>
        <v>925925</v>
      </c>
      <c r="I10" s="57"/>
      <c r="J10" s="57"/>
    </row>
    <row r="11" s="62" customFormat="1" ht="15.6" spans="1:10">
      <c r="A11" s="67">
        <f t="shared" si="1"/>
        <v>45910</v>
      </c>
      <c r="B11" s="68">
        <v>336404</v>
      </c>
      <c r="C11" s="68">
        <v>613018</v>
      </c>
      <c r="D11" s="68">
        <v>32364</v>
      </c>
      <c r="E11" s="69">
        <v>59262</v>
      </c>
      <c r="F11" s="68">
        <f t="shared" si="0"/>
        <v>922524</v>
      </c>
      <c r="I11" s="57"/>
      <c r="J11" s="57"/>
    </row>
    <row r="12" s="62" customFormat="1" ht="15.6" spans="1:10">
      <c r="A12" s="67">
        <f t="shared" si="1"/>
        <v>45911</v>
      </c>
      <c r="B12" s="68">
        <v>356131</v>
      </c>
      <c r="C12" s="68">
        <v>657894</v>
      </c>
      <c r="D12" s="68">
        <v>31378</v>
      </c>
      <c r="E12" s="69">
        <v>94367</v>
      </c>
      <c r="F12" s="68">
        <f t="shared" si="0"/>
        <v>951036</v>
      </c>
      <c r="I12" s="57"/>
      <c r="J12" s="57"/>
    </row>
    <row r="13" s="62" customFormat="1" ht="15.6" spans="1:10">
      <c r="A13" s="67">
        <f t="shared" si="1"/>
        <v>45912</v>
      </c>
      <c r="B13" s="68">
        <v>344645</v>
      </c>
      <c r="C13" s="68">
        <v>604997</v>
      </c>
      <c r="D13" s="68">
        <v>31256</v>
      </c>
      <c r="E13" s="69">
        <v>81991</v>
      </c>
      <c r="F13" s="68">
        <f t="shared" si="0"/>
        <v>898907</v>
      </c>
      <c r="I13" s="57"/>
      <c r="J13" s="57"/>
    </row>
    <row r="14" s="62" customFormat="1" ht="15.6" spans="1:10">
      <c r="A14" s="67">
        <f t="shared" si="1"/>
        <v>45913</v>
      </c>
      <c r="B14" s="68">
        <v>351896</v>
      </c>
      <c r="C14" s="68">
        <v>770738</v>
      </c>
      <c r="D14" s="68">
        <v>28368</v>
      </c>
      <c r="E14" s="69">
        <v>203847</v>
      </c>
      <c r="F14" s="68">
        <f t="shared" si="0"/>
        <v>947155</v>
      </c>
      <c r="I14" s="57"/>
      <c r="J14" s="57"/>
    </row>
    <row r="15" s="62" customFormat="1" ht="15.6" spans="1:10">
      <c r="A15" s="67">
        <f t="shared" si="1"/>
        <v>45914</v>
      </c>
      <c r="B15" s="68">
        <v>329955</v>
      </c>
      <c r="C15" s="68">
        <v>655614</v>
      </c>
      <c r="D15" s="68">
        <v>24059</v>
      </c>
      <c r="E15" s="69">
        <v>141491</v>
      </c>
      <c r="F15" s="68">
        <f t="shared" si="0"/>
        <v>868137</v>
      </c>
      <c r="I15" s="57"/>
      <c r="J15" s="57"/>
    </row>
    <row r="16" s="62" customFormat="1" ht="15.6" spans="1:10">
      <c r="A16" s="67">
        <f t="shared" si="1"/>
        <v>45915</v>
      </c>
      <c r="B16" s="68">
        <v>329244</v>
      </c>
      <c r="C16" s="68">
        <v>561985</v>
      </c>
      <c r="D16" s="68">
        <v>29965</v>
      </c>
      <c r="E16" s="69">
        <v>68901</v>
      </c>
      <c r="F16" s="68">
        <f t="shared" si="0"/>
        <v>852293</v>
      </c>
      <c r="I16" s="57"/>
      <c r="J16" s="57"/>
    </row>
    <row r="17" s="62" customFormat="1" ht="15.6" spans="1:10">
      <c r="A17" s="67">
        <f t="shared" si="1"/>
        <v>45916</v>
      </c>
      <c r="B17" s="68">
        <v>321772</v>
      </c>
      <c r="C17" s="68">
        <v>569766</v>
      </c>
      <c r="D17" s="68">
        <v>33535</v>
      </c>
      <c r="E17" s="69">
        <v>58548</v>
      </c>
      <c r="F17" s="68">
        <f t="shared" si="0"/>
        <v>866525</v>
      </c>
      <c r="I17" s="57"/>
      <c r="J17" s="57"/>
    </row>
    <row r="18" s="62" customFormat="1" ht="15.6" spans="1:10">
      <c r="A18" s="67">
        <f t="shared" si="1"/>
        <v>45917</v>
      </c>
      <c r="B18" s="70">
        <v>340855</v>
      </c>
      <c r="C18" s="70">
        <v>590553</v>
      </c>
      <c r="D18" s="70">
        <v>32432</v>
      </c>
      <c r="E18" s="71">
        <v>54978</v>
      </c>
      <c r="F18" s="68">
        <f t="shared" si="0"/>
        <v>908862</v>
      </c>
      <c r="I18" s="57"/>
      <c r="J18" s="57"/>
    </row>
    <row r="19" s="62" customFormat="1" ht="15.6" spans="1:10">
      <c r="A19" s="67">
        <f t="shared" si="1"/>
        <v>45918</v>
      </c>
      <c r="B19" s="70">
        <v>373154</v>
      </c>
      <c r="C19" s="70">
        <v>611040</v>
      </c>
      <c r="D19" s="68">
        <v>33905</v>
      </c>
      <c r="E19" s="69">
        <v>39151</v>
      </c>
      <c r="F19" s="68">
        <f t="shared" si="0"/>
        <v>978948</v>
      </c>
    </row>
    <row r="20" s="62" customFormat="1" ht="15.6" spans="1:10">
      <c r="A20" s="67">
        <f t="shared" si="1"/>
        <v>45919</v>
      </c>
      <c r="B20" s="68">
        <v>352164</v>
      </c>
      <c r="C20" s="68">
        <v>594334</v>
      </c>
      <c r="D20" s="68">
        <v>33627</v>
      </c>
      <c r="E20" s="69">
        <v>70448</v>
      </c>
      <c r="F20" s="68">
        <f t="shared" si="0"/>
        <v>909677</v>
      </c>
      <c r="H20" s="72"/>
    </row>
    <row r="21" s="62" customFormat="1" ht="15.6" spans="1:10">
      <c r="A21" s="67">
        <f t="shared" si="1"/>
        <v>45920</v>
      </c>
      <c r="B21" s="68">
        <v>346533</v>
      </c>
      <c r="C21" s="68">
        <v>744810</v>
      </c>
      <c r="D21" s="68">
        <v>27534</v>
      </c>
      <c r="E21" s="69">
        <v>221340</v>
      </c>
      <c r="F21" s="68">
        <f t="shared" si="0"/>
        <v>897537</v>
      </c>
    </row>
    <row r="22" s="62" customFormat="1" ht="15.6" spans="1:10">
      <c r="A22" s="67">
        <f t="shared" si="1"/>
        <v>45921</v>
      </c>
      <c r="B22" s="68">
        <v>346148</v>
      </c>
      <c r="C22" s="68">
        <v>619472</v>
      </c>
      <c r="D22" s="68">
        <v>25791</v>
      </c>
      <c r="E22" s="69">
        <v>141015</v>
      </c>
      <c r="F22" s="68">
        <f t="shared" si="0"/>
        <v>850396</v>
      </c>
    </row>
    <row r="23" s="62" customFormat="1" ht="15.6" spans="1:10">
      <c r="A23" s="67">
        <f t="shared" si="1"/>
        <v>45922</v>
      </c>
      <c r="B23" s="68">
        <v>343370</v>
      </c>
      <c r="C23" s="68">
        <v>590772</v>
      </c>
      <c r="D23" s="68">
        <v>32940</v>
      </c>
      <c r="E23" s="69">
        <v>92701</v>
      </c>
      <c r="F23" s="68">
        <f t="shared" si="0"/>
        <v>874381</v>
      </c>
    </row>
    <row r="24" s="62" customFormat="1" ht="15.6" spans="1:10">
      <c r="A24" s="67">
        <f t="shared" si="1"/>
        <v>45923</v>
      </c>
      <c r="B24" s="68">
        <v>355103</v>
      </c>
      <c r="C24" s="68">
        <v>570266</v>
      </c>
      <c r="D24" s="68">
        <v>36048</v>
      </c>
      <c r="E24" s="69">
        <v>61404</v>
      </c>
      <c r="F24" s="68">
        <f t="shared" si="0"/>
        <v>900013</v>
      </c>
    </row>
    <row r="25" s="62" customFormat="1" ht="15.6" spans="1:10">
      <c r="A25" s="67">
        <f t="shared" si="1"/>
        <v>45924</v>
      </c>
      <c r="B25" s="68">
        <v>366517</v>
      </c>
      <c r="C25" s="68">
        <v>601030</v>
      </c>
      <c r="D25" s="68">
        <v>34635</v>
      </c>
      <c r="E25" s="69">
        <v>76755</v>
      </c>
      <c r="F25" s="68">
        <f t="shared" si="0"/>
        <v>925427</v>
      </c>
    </row>
    <row r="26" s="62" customFormat="1" ht="15.6" spans="1:10">
      <c r="A26" s="67">
        <f t="shared" si="1"/>
        <v>45925</v>
      </c>
      <c r="B26" s="68">
        <v>378367</v>
      </c>
      <c r="C26" s="68">
        <v>561757</v>
      </c>
      <c r="D26" s="68">
        <v>31974</v>
      </c>
      <c r="E26" s="69">
        <v>78897</v>
      </c>
      <c r="F26" s="68">
        <f t="shared" si="0"/>
        <v>893201</v>
      </c>
    </row>
    <row r="27" s="62" customFormat="1" ht="15.6" spans="1:10">
      <c r="A27" s="67">
        <f t="shared" si="1"/>
        <v>45926</v>
      </c>
      <c r="B27" s="68">
        <v>368645</v>
      </c>
      <c r="C27" s="68">
        <v>593449</v>
      </c>
      <c r="D27" s="68">
        <v>35205</v>
      </c>
      <c r="E27" s="69">
        <v>76636</v>
      </c>
      <c r="F27" s="68">
        <f t="shared" si="0"/>
        <v>920663</v>
      </c>
    </row>
    <row r="28" s="62" customFormat="1" ht="15.6" spans="1:10">
      <c r="A28" s="67">
        <f t="shared" si="1"/>
        <v>45927</v>
      </c>
      <c r="B28" s="68">
        <v>389002</v>
      </c>
      <c r="C28" s="68">
        <v>771610</v>
      </c>
      <c r="D28" s="68">
        <v>29135</v>
      </c>
      <c r="E28" s="69">
        <v>244672</v>
      </c>
      <c r="F28" s="68">
        <f t="shared" si="0"/>
        <v>945075</v>
      </c>
    </row>
    <row r="29" s="62" customFormat="1" ht="15.6" spans="1:10">
      <c r="A29" s="67">
        <f t="shared" si="1"/>
        <v>45928</v>
      </c>
      <c r="B29" s="68">
        <v>376426</v>
      </c>
      <c r="C29" s="68">
        <v>665271</v>
      </c>
      <c r="D29" s="68">
        <v>28090</v>
      </c>
      <c r="E29" s="69">
        <v>146370</v>
      </c>
      <c r="F29" s="68">
        <f t="shared" si="0"/>
        <v>923417</v>
      </c>
    </row>
    <row r="30" s="62" customFormat="1" ht="15.6" spans="1:10">
      <c r="A30" s="67">
        <f t="shared" si="1"/>
        <v>45929</v>
      </c>
      <c r="B30" s="68">
        <v>375592</v>
      </c>
      <c r="C30" s="68">
        <v>621923</v>
      </c>
      <c r="D30" s="68">
        <v>32252</v>
      </c>
      <c r="E30" s="69">
        <v>78540</v>
      </c>
      <c r="F30" s="68">
        <f t="shared" si="0"/>
        <v>951227</v>
      </c>
    </row>
    <row r="31" s="62" customFormat="1" ht="15.6" spans="1:10">
      <c r="A31" s="67">
        <f t="shared" si="1"/>
        <v>45930</v>
      </c>
      <c r="B31" s="68">
        <v>354583</v>
      </c>
      <c r="C31" s="68">
        <v>536350</v>
      </c>
      <c r="D31" s="68">
        <v>31829</v>
      </c>
      <c r="E31" s="69">
        <v>75089</v>
      </c>
      <c r="F31" s="68">
        <f t="shared" si="0"/>
        <v>847673</v>
      </c>
    </row>
    <row r="32" s="62" customFormat="1" ht="15.6" hidden="1" spans="1:10">
      <c r="A32" s="67">
        <f t="shared" si="1"/>
        <v>45931</v>
      </c>
      <c r="B32" s="68"/>
      <c r="C32" s="68"/>
      <c r="D32" s="68"/>
      <c r="E32" s="69"/>
      <c r="F32" s="68">
        <f t="shared" si="0"/>
        <v>0</v>
      </c>
    </row>
    <row r="33" s="62" customFormat="1" ht="15.6" spans="1:6">
      <c r="A33" s="68" t="s">
        <v>71</v>
      </c>
      <c r="B33" s="68">
        <f t="shared" ref="B33:F33" si="2">SUM(B2:B32)</f>
        <v>10468262</v>
      </c>
      <c r="C33" s="68">
        <f t="shared" si="2"/>
        <v>18821260</v>
      </c>
      <c r="D33" s="68">
        <f t="shared" si="2"/>
        <v>933744</v>
      </c>
      <c r="E33" s="69">
        <f t="shared" si="2"/>
        <v>3023560</v>
      </c>
      <c r="F33" s="68">
        <f t="shared" si="2"/>
        <v>27199706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0"/>
  <sheetViews>
    <sheetView topLeftCell="B18" workbookViewId="0">
      <selection activeCell="B1" sqref="$A1:$XFD1048576"/>
    </sheetView>
  </sheetViews>
  <sheetFormatPr defaultColWidth="9" defaultRowHeight="14.4"/>
  <cols>
    <col min="1" max="1" width="14.25" style="9" customWidth="1"/>
    <col min="2" max="2" width="18.75" style="9" customWidth="1"/>
    <col min="3" max="3" width="11.6296296296296" style="9" hidden="1" customWidth="1"/>
    <col min="4" max="4" width="12.1296296296296" style="9" hidden="1" customWidth="1"/>
    <col min="5" max="15" width="10.212962962963" style="9" hidden="1" customWidth="1"/>
    <col min="16" max="16" width="10.6296296296296" style="9" hidden="1" customWidth="1"/>
    <col min="17" max="21" width="10.212962962963" style="9" hidden="1" customWidth="1"/>
    <col min="22" max="22" width="11.6296296296296" style="9" hidden="1" customWidth="1"/>
    <col min="23" max="23" width="10.212962962963" style="9" hidden="1" customWidth="1"/>
    <col min="24" max="24" width="11.4814814814815" style="9" hidden="1" customWidth="1"/>
    <col min="25" max="27" width="10.212962962963" style="9" customWidth="1"/>
    <col min="28" max="28" width="11.6296296296296" style="9" customWidth="1"/>
    <col min="29" max="33" width="10.212962962963" style="9" customWidth="1"/>
    <col min="34" max="34" width="13.8796296296296" style="9" customWidth="1"/>
    <col min="35" max="35" width="12.787037037037" style="9"/>
    <col min="36" max="36" width="12.6296296296296"/>
    <col min="39" max="39" width="12.6296296296296"/>
  </cols>
  <sheetData>
    <row r="1" customFormat="1" ht="17.4" spans="1:35">
      <c r="A1" s="73" t="s">
        <v>106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9"/>
    </row>
    <row r="2" customFormat="1" ht="17.4" spans="1:35">
      <c r="A2" s="74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9"/>
    </row>
    <row r="3" s="7" customFormat="1" ht="15.6" spans="1:35">
      <c r="A3" s="14" t="s">
        <v>1</v>
      </c>
      <c r="B3" s="14"/>
      <c r="C3" s="15">
        <v>45931</v>
      </c>
      <c r="D3" s="15">
        <f t="shared" ref="D3:AG3" si="0">C3+1</f>
        <v>45932</v>
      </c>
      <c r="E3" s="15">
        <f t="shared" si="0"/>
        <v>45933</v>
      </c>
      <c r="F3" s="15">
        <f t="shared" si="0"/>
        <v>45934</v>
      </c>
      <c r="G3" s="15">
        <f t="shared" si="0"/>
        <v>45935</v>
      </c>
      <c r="H3" s="15">
        <f t="shared" si="0"/>
        <v>45936</v>
      </c>
      <c r="I3" s="15">
        <f t="shared" si="0"/>
        <v>45937</v>
      </c>
      <c r="J3" s="15">
        <f t="shared" si="0"/>
        <v>45938</v>
      </c>
      <c r="K3" s="15">
        <f t="shared" si="0"/>
        <v>45939</v>
      </c>
      <c r="L3" s="15">
        <f t="shared" si="0"/>
        <v>45940</v>
      </c>
      <c r="M3" s="15">
        <f t="shared" si="0"/>
        <v>45941</v>
      </c>
      <c r="N3" s="15">
        <f t="shared" si="0"/>
        <v>45942</v>
      </c>
      <c r="O3" s="15">
        <f t="shared" si="0"/>
        <v>45943</v>
      </c>
      <c r="P3" s="15">
        <f t="shared" si="0"/>
        <v>45944</v>
      </c>
      <c r="Q3" s="15">
        <f t="shared" si="0"/>
        <v>45945</v>
      </c>
      <c r="R3" s="15">
        <f t="shared" si="0"/>
        <v>45946</v>
      </c>
      <c r="S3" s="15">
        <f t="shared" si="0"/>
        <v>45947</v>
      </c>
      <c r="T3" s="15">
        <f t="shared" si="0"/>
        <v>45948</v>
      </c>
      <c r="U3" s="15">
        <f t="shared" si="0"/>
        <v>45949</v>
      </c>
      <c r="V3" s="15">
        <f t="shared" si="0"/>
        <v>45950</v>
      </c>
      <c r="W3" s="15">
        <f t="shared" si="0"/>
        <v>45951</v>
      </c>
      <c r="X3" s="15">
        <f t="shared" si="0"/>
        <v>45952</v>
      </c>
      <c r="Y3" s="15">
        <f t="shared" si="0"/>
        <v>45953</v>
      </c>
      <c r="Z3" s="15">
        <f t="shared" si="0"/>
        <v>45954</v>
      </c>
      <c r="AA3" s="15">
        <f t="shared" si="0"/>
        <v>45955</v>
      </c>
      <c r="AB3" s="15">
        <f t="shared" si="0"/>
        <v>45956</v>
      </c>
      <c r="AC3" s="15">
        <f t="shared" si="0"/>
        <v>45957</v>
      </c>
      <c r="AD3" s="15">
        <f t="shared" si="0"/>
        <v>45958</v>
      </c>
      <c r="AE3" s="15">
        <f t="shared" si="0"/>
        <v>45959</v>
      </c>
      <c r="AF3" s="15">
        <f t="shared" si="0"/>
        <v>45960</v>
      </c>
      <c r="AG3" s="15">
        <f t="shared" si="0"/>
        <v>45961</v>
      </c>
      <c r="AH3" s="76" t="s">
        <v>2</v>
      </c>
    </row>
    <row r="4" s="7" customFormat="1" ht="15.6" spans="1:35">
      <c r="A4" s="14"/>
      <c r="B4" s="14"/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  <c r="K4" s="17" t="s">
        <v>3</v>
      </c>
      <c r="L4" s="17" t="s">
        <v>3</v>
      </c>
      <c r="M4" s="17" t="s">
        <v>3</v>
      </c>
      <c r="N4" s="17" t="s">
        <v>3</v>
      </c>
      <c r="O4" s="17" t="s">
        <v>3</v>
      </c>
      <c r="P4" s="17" t="s">
        <v>3</v>
      </c>
      <c r="Q4" s="17" t="s">
        <v>3</v>
      </c>
      <c r="R4" s="17" t="s">
        <v>3</v>
      </c>
      <c r="S4" s="17" t="s">
        <v>3</v>
      </c>
      <c r="T4" s="17" t="s">
        <v>3</v>
      </c>
      <c r="U4" s="17" t="s">
        <v>3</v>
      </c>
      <c r="V4" s="17" t="s">
        <v>3</v>
      </c>
      <c r="W4" s="17" t="s">
        <v>3</v>
      </c>
      <c r="X4" s="17" t="s">
        <v>3</v>
      </c>
      <c r="Y4" s="17" t="s">
        <v>3</v>
      </c>
      <c r="Z4" s="17" t="s">
        <v>3</v>
      </c>
      <c r="AA4" s="17" t="s">
        <v>3</v>
      </c>
      <c r="AB4" s="17" t="s">
        <v>3</v>
      </c>
      <c r="AC4" s="17" t="s">
        <v>3</v>
      </c>
      <c r="AD4" s="17" t="s">
        <v>3</v>
      </c>
      <c r="AE4" s="17" t="s">
        <v>3</v>
      </c>
      <c r="AF4" s="17" t="s">
        <v>3</v>
      </c>
      <c r="AG4" s="17" t="s">
        <v>3</v>
      </c>
      <c r="AH4" s="17" t="s">
        <v>3</v>
      </c>
    </row>
    <row r="5" customFormat="1" spans="1:35">
      <c r="A5" s="77" t="s">
        <v>4</v>
      </c>
      <c r="B5" s="78" t="s">
        <v>5</v>
      </c>
      <c r="C5" s="79">
        <f>SUMIFS('25年10月处理量'!$F:$F,'25年10月处理量'!$A:$A,C3)</f>
        <v>772285</v>
      </c>
      <c r="D5" s="79">
        <f>SUMIFS('25年10月处理量'!$F:$F,'25年10月处理量'!$A:$A,D3)</f>
        <v>734868</v>
      </c>
      <c r="E5" s="79">
        <f>SUMIFS('25年10月处理量'!$F:$F,'25年10月处理量'!$A:$A,E3)</f>
        <v>687613</v>
      </c>
      <c r="F5" s="79">
        <f>SUMIFS('25年10月处理量'!$F:$F,'25年10月处理量'!$A:$A,F3)</f>
        <v>691253</v>
      </c>
      <c r="G5" s="79">
        <f>SUMIFS('25年10月处理量'!$F:$F,'25年10月处理量'!$A:$A,G3)</f>
        <v>674798</v>
      </c>
      <c r="H5" s="79">
        <f>SUMIFS('25年10月处理量'!$F:$F,'25年10月处理量'!$A:$A,H3)</f>
        <v>661851</v>
      </c>
      <c r="I5" s="79">
        <f>SUMIFS('25年10月处理量'!$F:$F,'25年10月处理量'!$A:$A,I3)</f>
        <v>623862</v>
      </c>
      <c r="J5" s="79">
        <f>SUMIFS('25年10月处理量'!$F:$F,'25年10月处理量'!$A:$A,J3)</f>
        <v>715598</v>
      </c>
      <c r="K5" s="79">
        <f>SUMIFS('25年10月处理量'!$F:$F,'25年10月处理量'!$A:$A,K3)</f>
        <v>785837</v>
      </c>
      <c r="L5" s="79">
        <f>SUMIFS('25年10月处理量'!$F:$F,'25年10月处理量'!$A:$A,L3)</f>
        <v>854029</v>
      </c>
      <c r="M5" s="79">
        <f>SUMIFS('25年10月处理量'!$F:$F,'25年10月处理量'!$A:$A,M3)</f>
        <v>908448</v>
      </c>
      <c r="N5" s="79">
        <f>SUMIFS('25年10月处理量'!$F:$F,'25年10月处理量'!$A:$A,N3)</f>
        <v>895508</v>
      </c>
      <c r="O5" s="79">
        <f>SUMIFS('25年10月处理量'!$F:$F,'25年10月处理量'!$A:$A,O3)</f>
        <v>908385</v>
      </c>
      <c r="P5" s="79">
        <f>SUMIFS('25年10月处理量'!$F:$F,'25年10月处理量'!$A:$A,P3)</f>
        <v>895052</v>
      </c>
      <c r="Q5" s="79">
        <f>SUMIFS('25年10月处理量'!$F:$F,'25年10月处理量'!$A:$A,Q3)</f>
        <v>947561</v>
      </c>
      <c r="R5" s="79">
        <f>SUMIFS('25年10月处理量'!$F:$F,'25年10月处理量'!$A:$A,R3)</f>
        <v>916920</v>
      </c>
      <c r="S5" s="79">
        <f>SUMIFS('25年10月处理量'!$F:$F,'25年10月处理量'!$A:$A,S3)</f>
        <v>920112</v>
      </c>
      <c r="T5" s="79">
        <f>SUMIFS('25年10月处理量'!$F:$F,'25年10月处理量'!$A:$A,T3)</f>
        <v>917963</v>
      </c>
      <c r="U5" s="79">
        <f>SUMIFS('25年10月处理量'!$F:$F,'25年10月处理量'!$A:$A,U3)</f>
        <v>856645</v>
      </c>
      <c r="V5" s="79">
        <f>SUMIFS('25年10月处理量'!$F:$F,'25年10月处理量'!$A:$A,V3)</f>
        <v>846816</v>
      </c>
      <c r="W5" s="79">
        <f>SUMIFS('25年10月处理量'!$F:$F,'25年10月处理量'!$A:$A,W3)</f>
        <v>959545</v>
      </c>
      <c r="X5" s="79">
        <f>SUMIFS('25年10月处理量'!$F:$F,'25年10月处理量'!$A:$A,X3)</f>
        <v>1011800</v>
      </c>
      <c r="Y5" s="79">
        <f>SUMIFS('25年10月处理量'!$F:$F,'25年10月处理量'!$A:$A,Y3)</f>
        <v>1085518</v>
      </c>
      <c r="Z5" s="79">
        <f>SUMIFS('25年10月处理量'!$F:$F,'25年10月处理量'!$A:$A,Z3)</f>
        <v>1062009</v>
      </c>
      <c r="AA5" s="79">
        <f>SUMIFS('25年10月处理量'!$F:$F,'25年10月处理量'!$A:$A,AA3)</f>
        <v>1051187</v>
      </c>
      <c r="AB5" s="79">
        <f>SUMIFS('25年10月处理量'!$F:$F,'25年10月处理量'!$A:$A,AB3)</f>
        <v>955087</v>
      </c>
      <c r="AC5" s="79">
        <f>SUMIFS('25年10月处理量'!$F:$F,'25年10月处理量'!$A:$A,AC3)</f>
        <v>948637</v>
      </c>
      <c r="AD5" s="79">
        <f>SUMIFS('25年10月处理量'!$F:$F,'25年10月处理量'!$A:$A,AD3)</f>
        <v>974023</v>
      </c>
      <c r="AE5" s="79">
        <f>SUMIFS('25年10月处理量'!$F:$F,'25年10月处理量'!$A:$A,AE3)</f>
        <v>1032174</v>
      </c>
      <c r="AF5" s="79">
        <f>SUMIFS('25年10月处理量'!$F:$F,'25年10月处理量'!$A:$A,AF3)</f>
        <v>1010278</v>
      </c>
      <c r="AG5" s="79">
        <f>SUMIFS('25年10月处理量'!$F:$F,'25年10月处理量'!$A:$A,AG3)</f>
        <v>973133</v>
      </c>
      <c r="AH5" s="79">
        <f t="shared" ref="AH5:AH16" si="1">SUM(C5:AG5)</f>
        <v>27278795</v>
      </c>
      <c r="AI5" s="9"/>
    </row>
    <row r="6" customFormat="1" spans="1:35">
      <c r="A6" s="77" t="s">
        <v>6</v>
      </c>
      <c r="B6" s="78" t="s">
        <v>7</v>
      </c>
      <c r="C6" s="80">
        <v>0.1667</v>
      </c>
      <c r="D6" s="80">
        <v>0.1667</v>
      </c>
      <c r="E6" s="80">
        <v>0.1667</v>
      </c>
      <c r="F6" s="80">
        <v>0.1667</v>
      </c>
      <c r="G6" s="80">
        <v>0.1667</v>
      </c>
      <c r="H6" s="80">
        <v>0.1667</v>
      </c>
      <c r="I6" s="80">
        <v>0.1667</v>
      </c>
      <c r="J6" s="80">
        <v>0.1667</v>
      </c>
      <c r="K6" s="80">
        <v>0.1667</v>
      </c>
      <c r="L6" s="80">
        <v>0.1667</v>
      </c>
      <c r="M6" s="80">
        <v>0.1667</v>
      </c>
      <c r="N6" s="80">
        <v>0.1667</v>
      </c>
      <c r="O6" s="80">
        <v>0.1667</v>
      </c>
      <c r="P6" s="80">
        <v>0.1667</v>
      </c>
      <c r="Q6" s="80">
        <v>0.1667</v>
      </c>
      <c r="R6" s="80">
        <v>0.1667</v>
      </c>
      <c r="S6" s="80">
        <v>0.1667</v>
      </c>
      <c r="T6" s="80">
        <v>0.1667</v>
      </c>
      <c r="U6" s="80">
        <v>0.1667</v>
      </c>
      <c r="V6" s="80">
        <v>0.1667</v>
      </c>
      <c r="W6" s="80">
        <v>0.1667</v>
      </c>
      <c r="X6" s="80">
        <v>0.1667</v>
      </c>
      <c r="Y6" s="80">
        <v>0.1667</v>
      </c>
      <c r="Z6" s="80">
        <v>0.1667</v>
      </c>
      <c r="AA6" s="80">
        <v>0.1667</v>
      </c>
      <c r="AB6" s="80">
        <v>0.1667</v>
      </c>
      <c r="AC6" s="80">
        <v>0.1667</v>
      </c>
      <c r="AD6" s="80">
        <v>0.1667</v>
      </c>
      <c r="AE6" s="80">
        <v>0.1667</v>
      </c>
      <c r="AF6" s="80">
        <v>0.1667</v>
      </c>
      <c r="AG6" s="81">
        <v>0.1667</v>
      </c>
      <c r="AH6" s="80">
        <v>0.1667</v>
      </c>
      <c r="AI6" s="9"/>
    </row>
    <row r="7" customFormat="1" spans="1:35">
      <c r="A7" s="77" t="s">
        <v>8</v>
      </c>
      <c r="B7" s="78" t="s">
        <v>9</v>
      </c>
      <c r="C7" s="81">
        <v>128739.91</v>
      </c>
      <c r="D7" s="81">
        <v>122502.5</v>
      </c>
      <c r="E7" s="81">
        <v>114625.09</v>
      </c>
      <c r="F7" s="81">
        <v>115231.88</v>
      </c>
      <c r="G7" s="81">
        <v>112488.83</v>
      </c>
      <c r="H7" s="81">
        <v>110330.56</v>
      </c>
      <c r="I7" s="81">
        <v>103997.8</v>
      </c>
      <c r="J7" s="81">
        <v>119290.19</v>
      </c>
      <c r="K7" s="81">
        <v>130999.03</v>
      </c>
      <c r="L7" s="81">
        <v>142366.63</v>
      </c>
      <c r="M7" s="81">
        <v>151438.28</v>
      </c>
      <c r="N7" s="81">
        <v>149281.18</v>
      </c>
      <c r="O7" s="81">
        <v>151427.78</v>
      </c>
      <c r="P7" s="81">
        <v>149205.17</v>
      </c>
      <c r="Q7" s="81">
        <v>157958.42</v>
      </c>
      <c r="R7" s="81">
        <v>152850.56</v>
      </c>
      <c r="S7" s="81">
        <v>153382.67</v>
      </c>
      <c r="T7" s="81">
        <v>153024.43</v>
      </c>
      <c r="U7" s="81">
        <v>142802.72</v>
      </c>
      <c r="V7" s="81">
        <v>141164.23</v>
      </c>
      <c r="W7" s="81">
        <v>159956.15</v>
      </c>
      <c r="X7" s="81">
        <v>168667.06</v>
      </c>
      <c r="Y7" s="81">
        <v>180955.85</v>
      </c>
      <c r="Z7" s="81">
        <v>177036.9</v>
      </c>
      <c r="AA7" s="81">
        <v>175232.87</v>
      </c>
      <c r="AB7" s="81">
        <v>159213</v>
      </c>
      <c r="AC7" s="81">
        <v>158137.79</v>
      </c>
      <c r="AD7" s="81">
        <v>162369.63</v>
      </c>
      <c r="AE7" s="81">
        <v>172063.41</v>
      </c>
      <c r="AF7" s="81">
        <v>168413.34</v>
      </c>
      <c r="AG7" s="81">
        <v>162221.27</v>
      </c>
      <c r="AH7" s="81">
        <f t="shared" si="1"/>
        <v>4547375.13</v>
      </c>
      <c r="AI7" s="9"/>
    </row>
    <row r="8" customFormat="1" spans="1:35">
      <c r="A8" s="77" t="s">
        <v>10</v>
      </c>
      <c r="B8" s="78" t="s">
        <v>11</v>
      </c>
      <c r="C8" s="81">
        <v>3000</v>
      </c>
      <c r="D8" s="81">
        <v>3000</v>
      </c>
      <c r="E8" s="81">
        <v>3000</v>
      </c>
      <c r="F8" s="81">
        <v>3000</v>
      </c>
      <c r="G8" s="81">
        <v>3000</v>
      </c>
      <c r="H8" s="81">
        <v>3000</v>
      </c>
      <c r="I8" s="81">
        <v>3000</v>
      </c>
      <c r="J8" s="81">
        <v>3000</v>
      </c>
      <c r="K8" s="81">
        <v>3000</v>
      </c>
      <c r="L8" s="81">
        <v>3000</v>
      </c>
      <c r="M8" s="81">
        <v>3000</v>
      </c>
      <c r="N8" s="81">
        <v>3000</v>
      </c>
      <c r="O8" s="81">
        <v>3000</v>
      </c>
      <c r="P8" s="81">
        <v>3000</v>
      </c>
      <c r="Q8" s="81">
        <v>3000</v>
      </c>
      <c r="R8" s="81">
        <v>3000</v>
      </c>
      <c r="S8" s="81">
        <v>3000</v>
      </c>
      <c r="T8" s="81">
        <v>3000</v>
      </c>
      <c r="U8" s="81">
        <v>3000</v>
      </c>
      <c r="V8" s="81">
        <v>3000</v>
      </c>
      <c r="W8" s="81">
        <v>3000</v>
      </c>
      <c r="X8" s="81">
        <v>3000</v>
      </c>
      <c r="Y8" s="81">
        <v>3000</v>
      </c>
      <c r="Z8" s="81">
        <v>3000</v>
      </c>
      <c r="AA8" s="81">
        <v>3000</v>
      </c>
      <c r="AB8" s="81">
        <v>3000</v>
      </c>
      <c r="AC8" s="81">
        <v>3000</v>
      </c>
      <c r="AD8" s="81">
        <v>3000</v>
      </c>
      <c r="AE8" s="81">
        <v>3000</v>
      </c>
      <c r="AF8" s="81">
        <v>3000</v>
      </c>
      <c r="AG8" s="81">
        <v>3000</v>
      </c>
      <c r="AH8" s="81">
        <f t="shared" si="1"/>
        <v>93000</v>
      </c>
      <c r="AI8" s="9"/>
    </row>
    <row r="9" customFormat="1" hidden="1" spans="1:35">
      <c r="A9" s="77" t="s">
        <v>12</v>
      </c>
      <c r="B9" s="78" t="s">
        <v>13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>
        <f t="shared" si="1"/>
        <v>0</v>
      </c>
      <c r="AI9" s="9"/>
    </row>
    <row r="10" customFormat="1" spans="1:35">
      <c r="A10" s="77" t="s">
        <v>14</v>
      </c>
      <c r="B10" s="78" t="s">
        <v>15</v>
      </c>
      <c r="C10" s="81">
        <v>125739.91</v>
      </c>
      <c r="D10" s="81">
        <v>119502.5</v>
      </c>
      <c r="E10" s="81">
        <v>111625.09</v>
      </c>
      <c r="F10" s="81">
        <v>112231.88</v>
      </c>
      <c r="G10" s="81">
        <v>109488.83</v>
      </c>
      <c r="H10" s="81">
        <v>107330.56</v>
      </c>
      <c r="I10" s="81">
        <v>100997.8</v>
      </c>
      <c r="J10" s="81">
        <v>116290.19</v>
      </c>
      <c r="K10" s="81">
        <v>127999.03</v>
      </c>
      <c r="L10" s="81">
        <v>139366.63</v>
      </c>
      <c r="M10" s="81">
        <v>148438.28</v>
      </c>
      <c r="N10" s="81">
        <v>146281.18</v>
      </c>
      <c r="O10" s="81">
        <v>148427.78</v>
      </c>
      <c r="P10" s="81">
        <v>146205.17</v>
      </c>
      <c r="Q10" s="81">
        <v>154958.42</v>
      </c>
      <c r="R10" s="81">
        <v>149850.56</v>
      </c>
      <c r="S10" s="81">
        <v>150382.67</v>
      </c>
      <c r="T10" s="81">
        <v>150024.43</v>
      </c>
      <c r="U10" s="81">
        <v>139802.72</v>
      </c>
      <c r="V10" s="81">
        <v>138164.23</v>
      </c>
      <c r="W10" s="81">
        <v>156956.15</v>
      </c>
      <c r="X10" s="81">
        <v>165667.06</v>
      </c>
      <c r="Y10" s="81">
        <v>177955.85</v>
      </c>
      <c r="Z10" s="81">
        <v>174036.9</v>
      </c>
      <c r="AA10" s="81">
        <v>172232.87</v>
      </c>
      <c r="AB10" s="81">
        <v>156213</v>
      </c>
      <c r="AC10" s="81">
        <v>155137.79</v>
      </c>
      <c r="AD10" s="81">
        <v>159369.63</v>
      </c>
      <c r="AE10" s="81">
        <v>169063.41</v>
      </c>
      <c r="AF10" s="81">
        <v>165413.34</v>
      </c>
      <c r="AG10" s="81">
        <v>159221.27</v>
      </c>
      <c r="AH10" s="81">
        <f t="shared" si="1"/>
        <v>4454375.13</v>
      </c>
      <c r="AI10" s="9"/>
    </row>
    <row r="11" s="7" customFormat="1" ht="15.6" spans="1:35">
      <c r="A11" s="82" t="s">
        <v>16</v>
      </c>
      <c r="B11" s="82"/>
      <c r="C11" s="27">
        <v>118622.56</v>
      </c>
      <c r="D11" s="27">
        <v>112738.21</v>
      </c>
      <c r="E11" s="27">
        <v>105306.69</v>
      </c>
      <c r="F11" s="27">
        <v>105879.13</v>
      </c>
      <c r="G11" s="27">
        <v>103291.35</v>
      </c>
      <c r="H11" s="27">
        <v>101255.25</v>
      </c>
      <c r="I11" s="27">
        <v>95280.94</v>
      </c>
      <c r="J11" s="27">
        <v>109707.73</v>
      </c>
      <c r="K11" s="27">
        <v>120753.8</v>
      </c>
      <c r="L11" s="27">
        <v>131477.95</v>
      </c>
      <c r="M11" s="27">
        <v>140036.11</v>
      </c>
      <c r="N11" s="27">
        <v>138001.11</v>
      </c>
      <c r="O11" s="27">
        <v>140026.21</v>
      </c>
      <c r="P11" s="27">
        <v>137929.41</v>
      </c>
      <c r="Q11" s="27">
        <v>146187.19</v>
      </c>
      <c r="R11" s="27">
        <v>141368.45</v>
      </c>
      <c r="S11" s="27">
        <v>141870.44</v>
      </c>
      <c r="T11" s="27">
        <v>141532.48</v>
      </c>
      <c r="U11" s="27">
        <v>131889.36</v>
      </c>
      <c r="V11" s="27">
        <v>130343.61</v>
      </c>
      <c r="W11" s="27">
        <v>148071.84</v>
      </c>
      <c r="X11" s="27">
        <v>156289.68</v>
      </c>
      <c r="Y11" s="27">
        <v>167882.88</v>
      </c>
      <c r="Z11" s="27">
        <v>164185.75</v>
      </c>
      <c r="AA11" s="27">
        <v>162483.84</v>
      </c>
      <c r="AB11" s="27">
        <v>147370.75</v>
      </c>
      <c r="AC11" s="27">
        <v>146356.41</v>
      </c>
      <c r="AD11" s="27">
        <v>150348.71</v>
      </c>
      <c r="AE11" s="27">
        <v>159493.78</v>
      </c>
      <c r="AF11" s="27">
        <v>156050.32</v>
      </c>
      <c r="AG11" s="27">
        <v>150208.75</v>
      </c>
      <c r="AH11" s="83">
        <f t="shared" si="1"/>
        <v>4202240.69</v>
      </c>
    </row>
    <row r="12" customFormat="1" ht="15.6" spans="1:35">
      <c r="A12" s="77">
        <v>1</v>
      </c>
      <c r="B12" s="84" t="s">
        <v>17</v>
      </c>
      <c r="C12" s="85">
        <v>22</v>
      </c>
      <c r="D12" s="86">
        <v>22</v>
      </c>
      <c r="E12" s="86">
        <v>23</v>
      </c>
      <c r="F12" s="86">
        <v>23</v>
      </c>
      <c r="G12" s="86">
        <v>17</v>
      </c>
      <c r="H12" s="86">
        <v>18</v>
      </c>
      <c r="I12" s="86">
        <v>19</v>
      </c>
      <c r="J12" s="86">
        <v>21</v>
      </c>
      <c r="K12" s="86">
        <v>20</v>
      </c>
      <c r="L12" s="86">
        <v>22</v>
      </c>
      <c r="M12" s="86">
        <v>23</v>
      </c>
      <c r="N12" s="86">
        <v>21</v>
      </c>
      <c r="O12" s="86">
        <v>18</v>
      </c>
      <c r="P12" s="86">
        <v>22</v>
      </c>
      <c r="Q12" s="86">
        <v>22</v>
      </c>
      <c r="R12" s="86">
        <v>23</v>
      </c>
      <c r="S12" s="86">
        <v>22</v>
      </c>
      <c r="T12" s="86">
        <v>24</v>
      </c>
      <c r="U12" s="86">
        <v>25</v>
      </c>
      <c r="V12" s="86">
        <v>25</v>
      </c>
      <c r="W12" s="86">
        <v>24</v>
      </c>
      <c r="X12" s="86">
        <v>24</v>
      </c>
      <c r="Y12" s="86">
        <v>24</v>
      </c>
      <c r="Z12" s="86">
        <v>22</v>
      </c>
      <c r="AA12" s="86">
        <v>23</v>
      </c>
      <c r="AB12" s="86">
        <v>22</v>
      </c>
      <c r="AC12" s="86">
        <v>22</v>
      </c>
      <c r="AD12" s="86">
        <v>23</v>
      </c>
      <c r="AE12" s="86">
        <v>24</v>
      </c>
      <c r="AF12" s="86">
        <v>24</v>
      </c>
      <c r="AG12" s="86">
        <v>23</v>
      </c>
      <c r="AH12" s="87">
        <f t="shared" si="1"/>
        <v>687</v>
      </c>
      <c r="AI12" s="9"/>
    </row>
    <row r="13" customFormat="1" ht="15.6" spans="1:35">
      <c r="A13" s="77">
        <v>2</v>
      </c>
      <c r="B13" s="84" t="s">
        <v>18</v>
      </c>
      <c r="C13" s="85">
        <v>265</v>
      </c>
      <c r="D13" s="86">
        <v>253</v>
      </c>
      <c r="E13" s="86">
        <v>261</v>
      </c>
      <c r="F13" s="86">
        <v>266</v>
      </c>
      <c r="G13" s="86">
        <v>262</v>
      </c>
      <c r="H13" s="86">
        <v>246</v>
      </c>
      <c r="I13" s="86">
        <v>251</v>
      </c>
      <c r="J13" s="86">
        <v>268</v>
      </c>
      <c r="K13" s="86">
        <v>272</v>
      </c>
      <c r="L13" s="86">
        <v>273</v>
      </c>
      <c r="M13" s="86">
        <v>292</v>
      </c>
      <c r="N13" s="86">
        <v>283</v>
      </c>
      <c r="O13" s="86">
        <v>286</v>
      </c>
      <c r="P13" s="86">
        <v>285</v>
      </c>
      <c r="Q13" s="86">
        <v>283</v>
      </c>
      <c r="R13" s="86">
        <v>276</v>
      </c>
      <c r="S13" s="86">
        <v>294</v>
      </c>
      <c r="T13" s="86">
        <v>283</v>
      </c>
      <c r="U13" s="86">
        <v>295</v>
      </c>
      <c r="V13" s="86">
        <v>294</v>
      </c>
      <c r="W13" s="86">
        <v>292</v>
      </c>
      <c r="X13" s="86">
        <v>298</v>
      </c>
      <c r="Y13" s="86">
        <v>314</v>
      </c>
      <c r="Z13" s="86">
        <v>303</v>
      </c>
      <c r="AA13" s="86">
        <v>301</v>
      </c>
      <c r="AB13" s="86">
        <v>301</v>
      </c>
      <c r="AC13" s="86">
        <v>299</v>
      </c>
      <c r="AD13" s="86">
        <v>304</v>
      </c>
      <c r="AE13" s="86">
        <v>300</v>
      </c>
      <c r="AF13" s="86">
        <v>287</v>
      </c>
      <c r="AG13" s="86">
        <v>284</v>
      </c>
      <c r="AH13" s="87">
        <f t="shared" si="1"/>
        <v>8771</v>
      </c>
      <c r="AI13" s="9"/>
    </row>
    <row r="14" customFormat="1" ht="15.6" spans="1:35">
      <c r="A14" s="77">
        <v>3</v>
      </c>
      <c r="B14" s="84" t="s">
        <v>19</v>
      </c>
      <c r="C14" s="85">
        <v>92</v>
      </c>
      <c r="D14" s="86">
        <v>73</v>
      </c>
      <c r="E14" s="86">
        <v>69</v>
      </c>
      <c r="F14" s="86">
        <v>67</v>
      </c>
      <c r="G14" s="86">
        <v>63</v>
      </c>
      <c r="H14" s="86">
        <v>64</v>
      </c>
      <c r="I14" s="86">
        <v>60</v>
      </c>
      <c r="J14" s="86">
        <v>57</v>
      </c>
      <c r="K14" s="86">
        <v>78</v>
      </c>
      <c r="L14" s="86">
        <v>88</v>
      </c>
      <c r="M14" s="86">
        <v>79</v>
      </c>
      <c r="N14" s="86">
        <v>85</v>
      </c>
      <c r="O14" s="86">
        <v>86</v>
      </c>
      <c r="P14" s="86">
        <v>84</v>
      </c>
      <c r="Q14" s="86">
        <v>90</v>
      </c>
      <c r="R14" s="86">
        <v>96</v>
      </c>
      <c r="S14" s="86">
        <v>94</v>
      </c>
      <c r="T14" s="86">
        <v>92</v>
      </c>
      <c r="U14" s="86">
        <v>81</v>
      </c>
      <c r="V14" s="86">
        <v>81</v>
      </c>
      <c r="W14" s="86">
        <v>87</v>
      </c>
      <c r="X14" s="86">
        <v>90</v>
      </c>
      <c r="Y14" s="86">
        <v>101</v>
      </c>
      <c r="Z14" s="86">
        <v>108</v>
      </c>
      <c r="AA14" s="86">
        <v>106</v>
      </c>
      <c r="AB14" s="86">
        <v>84</v>
      </c>
      <c r="AC14" s="86">
        <v>83</v>
      </c>
      <c r="AD14" s="86">
        <v>75</v>
      </c>
      <c r="AE14" s="86">
        <v>86</v>
      </c>
      <c r="AF14" s="86">
        <v>90</v>
      </c>
      <c r="AG14" s="86">
        <v>83</v>
      </c>
      <c r="AH14" s="87">
        <f t="shared" si="1"/>
        <v>2572</v>
      </c>
      <c r="AI14" s="9"/>
    </row>
    <row r="15" customFormat="1" ht="15.6" spans="1:35">
      <c r="A15" s="77">
        <v>4</v>
      </c>
      <c r="B15" s="84" t="s">
        <v>20</v>
      </c>
      <c r="C15" s="85">
        <v>379</v>
      </c>
      <c r="D15" s="86">
        <v>348</v>
      </c>
      <c r="E15" s="86">
        <v>353</v>
      </c>
      <c r="F15" s="86">
        <v>356</v>
      </c>
      <c r="G15" s="86">
        <v>342</v>
      </c>
      <c r="H15" s="86">
        <v>328</v>
      </c>
      <c r="I15" s="86">
        <v>330</v>
      </c>
      <c r="J15" s="86">
        <v>346</v>
      </c>
      <c r="K15" s="86">
        <v>370</v>
      </c>
      <c r="L15" s="86">
        <v>383</v>
      </c>
      <c r="M15" s="86">
        <v>394</v>
      </c>
      <c r="N15" s="86">
        <v>389</v>
      </c>
      <c r="O15" s="86">
        <v>390</v>
      </c>
      <c r="P15" s="86">
        <v>391</v>
      </c>
      <c r="Q15" s="86">
        <v>395</v>
      </c>
      <c r="R15" s="86">
        <v>395</v>
      </c>
      <c r="S15" s="86">
        <v>410</v>
      </c>
      <c r="T15" s="86">
        <v>399</v>
      </c>
      <c r="U15" s="86">
        <v>401</v>
      </c>
      <c r="V15" s="86">
        <v>400</v>
      </c>
      <c r="W15" s="86">
        <v>403</v>
      </c>
      <c r="X15" s="86">
        <v>412</v>
      </c>
      <c r="Y15" s="86">
        <v>439</v>
      </c>
      <c r="Z15" s="86">
        <v>433</v>
      </c>
      <c r="AA15" s="86">
        <v>430</v>
      </c>
      <c r="AB15" s="86">
        <v>407</v>
      </c>
      <c r="AC15" s="86">
        <v>404</v>
      </c>
      <c r="AD15" s="86">
        <v>402</v>
      </c>
      <c r="AE15" s="86">
        <v>410</v>
      </c>
      <c r="AF15" s="86">
        <v>401</v>
      </c>
      <c r="AG15" s="86">
        <v>390</v>
      </c>
      <c r="AH15" s="87">
        <f t="shared" si="1"/>
        <v>12030</v>
      </c>
      <c r="AI15" s="9"/>
    </row>
    <row r="16" customFormat="1" ht="15.6" spans="1:35">
      <c r="A16" s="77">
        <v>5</v>
      </c>
      <c r="B16" s="84" t="s">
        <v>21</v>
      </c>
      <c r="C16" s="88">
        <v>4101.5</v>
      </c>
      <c r="D16" s="88">
        <v>3671</v>
      </c>
      <c r="E16" s="88">
        <v>3653</v>
      </c>
      <c r="F16" s="88">
        <v>3680</v>
      </c>
      <c r="G16" s="88">
        <v>3509</v>
      </c>
      <c r="H16" s="88">
        <v>3407</v>
      </c>
      <c r="I16" s="88">
        <v>3376.5</v>
      </c>
      <c r="J16" s="88">
        <v>3520</v>
      </c>
      <c r="K16" s="88">
        <v>3926</v>
      </c>
      <c r="L16" s="88">
        <v>4044</v>
      </c>
      <c r="M16" s="88">
        <v>4158.5</v>
      </c>
      <c r="N16" s="88">
        <v>4155</v>
      </c>
      <c r="O16" s="88">
        <v>4135</v>
      </c>
      <c r="P16" s="88">
        <v>4036.5</v>
      </c>
      <c r="Q16" s="88">
        <v>4185.5</v>
      </c>
      <c r="R16" s="88">
        <v>4096.5</v>
      </c>
      <c r="S16" s="88">
        <v>4271</v>
      </c>
      <c r="T16" s="88">
        <v>4093.5</v>
      </c>
      <c r="U16" s="88">
        <v>4093.5</v>
      </c>
      <c r="V16" s="88">
        <v>4103.5</v>
      </c>
      <c r="W16" s="88">
        <v>4331</v>
      </c>
      <c r="X16" s="88">
        <v>4453.5</v>
      </c>
      <c r="Y16" s="88">
        <v>4757.5</v>
      </c>
      <c r="Z16" s="88">
        <v>4707</v>
      </c>
      <c r="AA16" s="88">
        <v>4571.5</v>
      </c>
      <c r="AB16" s="88">
        <v>4297</v>
      </c>
      <c r="AC16" s="88">
        <v>4215.5</v>
      </c>
      <c r="AD16" s="88">
        <v>4241</v>
      </c>
      <c r="AE16" s="88">
        <v>4432.5</v>
      </c>
      <c r="AF16" s="88">
        <v>4316</v>
      </c>
      <c r="AG16" s="88">
        <v>4189</v>
      </c>
      <c r="AH16" s="88">
        <f t="shared" si="1"/>
        <v>126728</v>
      </c>
      <c r="AI16" s="9"/>
    </row>
    <row r="17" s="7" customFormat="1" ht="15.6" spans="1:35">
      <c r="A17" s="31" t="s">
        <v>22</v>
      </c>
      <c r="B17" s="89"/>
      <c r="C17" s="115">
        <v>2037.69129287599</v>
      </c>
      <c r="D17" s="115">
        <v>2111.68965517241</v>
      </c>
      <c r="E17" s="115">
        <v>1947.91218130312</v>
      </c>
      <c r="F17" s="115">
        <v>1941.72191011236</v>
      </c>
      <c r="G17" s="115">
        <v>1973.09356725146</v>
      </c>
      <c r="H17" s="115">
        <v>2017.83841463415</v>
      </c>
      <c r="I17" s="115">
        <v>1890.49090909091</v>
      </c>
      <c r="J17" s="115">
        <v>2068.20231213873</v>
      </c>
      <c r="K17" s="115">
        <v>2123.88378378378</v>
      </c>
      <c r="L17" s="115">
        <v>2229.8407310705</v>
      </c>
      <c r="M17" s="115">
        <v>2305.70558375635</v>
      </c>
      <c r="N17" s="115">
        <v>2302.07712082262</v>
      </c>
      <c r="O17" s="115">
        <v>2329.19230769231</v>
      </c>
      <c r="P17" s="115">
        <v>2289.13554987212</v>
      </c>
      <c r="Q17" s="115">
        <v>2398.88860759494</v>
      </c>
      <c r="R17" s="115">
        <v>2321.3164556962</v>
      </c>
      <c r="S17" s="115">
        <v>2244.1756097561</v>
      </c>
      <c r="T17" s="115">
        <v>2300.65914786967</v>
      </c>
      <c r="U17" s="115">
        <v>2136.27182044888</v>
      </c>
      <c r="V17" s="115">
        <v>2117.04</v>
      </c>
      <c r="W17" s="115">
        <v>2381.00496277916</v>
      </c>
      <c r="X17" s="115">
        <v>2455.82524271845</v>
      </c>
      <c r="Y17" s="115">
        <v>2472.70615034169</v>
      </c>
      <c r="Z17" s="115">
        <v>2452.6766743649</v>
      </c>
      <c r="AA17" s="115">
        <v>2444.62093023256</v>
      </c>
      <c r="AB17" s="115">
        <v>2346.65110565111</v>
      </c>
      <c r="AC17" s="115">
        <v>2348.11138613861</v>
      </c>
      <c r="AD17" s="115">
        <v>2422.94278606965</v>
      </c>
      <c r="AE17" s="115">
        <v>2517.49756097561</v>
      </c>
      <c r="AF17" s="115">
        <v>2519.39650872818</v>
      </c>
      <c r="AG17" s="27">
        <v>2495.21282051282</v>
      </c>
      <c r="AH17" s="115">
        <f>AH5/AH15</f>
        <v>2267.56400665004</v>
      </c>
    </row>
    <row r="18" s="7" customFormat="1" ht="15.6" spans="1:35">
      <c r="A18" s="31" t="s">
        <v>23</v>
      </c>
      <c r="B18" s="89"/>
      <c r="C18" s="116">
        <v>188.293307326588</v>
      </c>
      <c r="D18" s="116">
        <v>200.181966766549</v>
      </c>
      <c r="E18" s="116">
        <v>188.232411716397</v>
      </c>
      <c r="F18" s="116">
        <v>187.840489130435</v>
      </c>
      <c r="G18" s="116">
        <v>192.304930179538</v>
      </c>
      <c r="H18" s="116">
        <v>194.262107425888</v>
      </c>
      <c r="I18" s="116">
        <v>184.765881830298</v>
      </c>
      <c r="J18" s="116">
        <v>203.294886363636</v>
      </c>
      <c r="K18" s="116">
        <v>200.162251655629</v>
      </c>
      <c r="L18" s="116">
        <v>211.184223541048</v>
      </c>
      <c r="M18" s="116">
        <v>218.455693158591</v>
      </c>
      <c r="N18" s="116">
        <v>215.525391095066</v>
      </c>
      <c r="O18" s="116">
        <v>219.681983071342</v>
      </c>
      <c r="P18" s="116">
        <v>221.739625913539</v>
      </c>
      <c r="Q18" s="116">
        <v>226.391351093059</v>
      </c>
      <c r="R18" s="116">
        <v>223.830098864885</v>
      </c>
      <c r="S18" s="116">
        <v>215.43245141653</v>
      </c>
      <c r="T18" s="116">
        <v>224.248931232442</v>
      </c>
      <c r="U18" s="116">
        <v>209.269573714425</v>
      </c>
      <c r="V18" s="116">
        <v>206.364323138784</v>
      </c>
      <c r="W18" s="116">
        <v>221.552759178019</v>
      </c>
      <c r="X18" s="116">
        <v>227.192096104188</v>
      </c>
      <c r="Y18" s="116">
        <v>228.169837099317</v>
      </c>
      <c r="Z18" s="116">
        <v>225.623326959847</v>
      </c>
      <c r="AA18" s="116">
        <v>229.943563381822</v>
      </c>
      <c r="AB18" s="116">
        <v>222.268326739586</v>
      </c>
      <c r="AC18" s="116">
        <v>225.035464357727</v>
      </c>
      <c r="AD18" s="116">
        <v>229.668238622966</v>
      </c>
      <c r="AE18" s="116">
        <v>232.864974619289</v>
      </c>
      <c r="AF18" s="116">
        <v>234.077386468953</v>
      </c>
      <c r="AG18" s="116">
        <v>232.306755788971</v>
      </c>
      <c r="AH18" s="116">
        <f>AH5/AH16</f>
        <v>215.254679313175</v>
      </c>
    </row>
    <row r="19" customFormat="1" ht="15" spans="1:35">
      <c r="A19" s="91">
        <v>1</v>
      </c>
      <c r="B19" s="78" t="s">
        <v>24</v>
      </c>
      <c r="C19" s="81">
        <v>55881.8</v>
      </c>
      <c r="D19" s="81">
        <v>51967.6</v>
      </c>
      <c r="E19" s="81">
        <v>52576.2</v>
      </c>
      <c r="F19" s="81">
        <v>53426.15</v>
      </c>
      <c r="G19" s="81">
        <v>51150.55</v>
      </c>
      <c r="H19" s="81">
        <v>49100.65</v>
      </c>
      <c r="I19" s="81">
        <v>49357.35</v>
      </c>
      <c r="J19" s="81">
        <v>52642.55</v>
      </c>
      <c r="K19" s="81">
        <v>55543.55</v>
      </c>
      <c r="L19" s="81">
        <v>55699</v>
      </c>
      <c r="M19" s="81">
        <v>59622.95</v>
      </c>
      <c r="N19" s="81">
        <v>58284.45</v>
      </c>
      <c r="O19" s="81">
        <v>57799.25</v>
      </c>
      <c r="P19" s="81">
        <v>56445.5</v>
      </c>
      <c r="Q19" s="81">
        <v>59334.2</v>
      </c>
      <c r="R19" s="81">
        <v>55678.35</v>
      </c>
      <c r="S19" s="81">
        <v>58726.4</v>
      </c>
      <c r="T19" s="81">
        <v>56837.8</v>
      </c>
      <c r="U19" s="81">
        <v>58682.1</v>
      </c>
      <c r="V19" s="81">
        <v>58411.15</v>
      </c>
      <c r="W19" s="81">
        <v>62462.95</v>
      </c>
      <c r="X19" s="81">
        <v>64352.9</v>
      </c>
      <c r="Y19" s="81">
        <v>66960.85</v>
      </c>
      <c r="Z19" s="81">
        <v>64553.25</v>
      </c>
      <c r="AA19" s="81">
        <v>62509.85</v>
      </c>
      <c r="AB19" s="81">
        <v>61844.15</v>
      </c>
      <c r="AC19" s="81">
        <v>60710.2</v>
      </c>
      <c r="AD19" s="81">
        <v>63040.7</v>
      </c>
      <c r="AE19" s="81">
        <v>64212.8</v>
      </c>
      <c r="AF19" s="81">
        <v>61237.55</v>
      </c>
      <c r="AG19" s="81">
        <v>60438.05</v>
      </c>
      <c r="AH19" s="87">
        <f t="shared" ref="AH19:AH28" si="2">SUM(C19:AG19)</f>
        <v>1799490.8</v>
      </c>
      <c r="AI19" s="9"/>
    </row>
    <row r="20" customFormat="1" ht="15" spans="1:35">
      <c r="A20" s="91">
        <v>2</v>
      </c>
      <c r="B20" s="78" t="s">
        <v>25</v>
      </c>
      <c r="C20" s="81"/>
      <c r="D20" s="81">
        <v>26100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92">
        <f t="shared" si="2"/>
        <v>26100</v>
      </c>
      <c r="AI20" s="9"/>
    </row>
    <row r="21" customFormat="1" ht="15" spans="1:35">
      <c r="A21" s="91">
        <v>3</v>
      </c>
      <c r="B21" s="78" t="s">
        <v>26</v>
      </c>
      <c r="C21" s="81">
        <v>257.64</v>
      </c>
      <c r="D21" s="81">
        <v>245.97</v>
      </c>
      <c r="E21" s="81">
        <v>253.75</v>
      </c>
      <c r="F21" s="81">
        <v>258.61</v>
      </c>
      <c r="G21" s="81">
        <v>254.72</v>
      </c>
      <c r="H21" s="81">
        <v>239.17</v>
      </c>
      <c r="I21" s="81">
        <v>244.03</v>
      </c>
      <c r="J21" s="81">
        <v>260.56</v>
      </c>
      <c r="K21" s="81">
        <v>264.44</v>
      </c>
      <c r="L21" s="81">
        <v>265.42</v>
      </c>
      <c r="M21" s="81">
        <v>283.89</v>
      </c>
      <c r="N21" s="81">
        <v>275.14</v>
      </c>
      <c r="O21" s="81">
        <v>278.06</v>
      </c>
      <c r="P21" s="81">
        <v>277.08</v>
      </c>
      <c r="Q21" s="81">
        <v>275.14</v>
      </c>
      <c r="R21" s="81">
        <v>268.33</v>
      </c>
      <c r="S21" s="81">
        <v>285.83</v>
      </c>
      <c r="T21" s="81">
        <v>275.14</v>
      </c>
      <c r="U21" s="81">
        <v>286.81</v>
      </c>
      <c r="V21" s="81">
        <v>285.83</v>
      </c>
      <c r="W21" s="81">
        <v>283.89</v>
      </c>
      <c r="X21" s="81">
        <v>289.72</v>
      </c>
      <c r="Y21" s="81">
        <v>305.28</v>
      </c>
      <c r="Z21" s="81">
        <v>294.58</v>
      </c>
      <c r="AA21" s="81">
        <v>292.64</v>
      </c>
      <c r="AB21" s="81">
        <v>292.64</v>
      </c>
      <c r="AC21" s="81">
        <v>290.69</v>
      </c>
      <c r="AD21" s="81">
        <v>295.56</v>
      </c>
      <c r="AE21" s="81">
        <v>291.67</v>
      </c>
      <c r="AF21" s="81">
        <v>279.03</v>
      </c>
      <c r="AG21" s="81">
        <v>276.11</v>
      </c>
      <c r="AH21" s="87">
        <f t="shared" si="2"/>
        <v>8527.37</v>
      </c>
      <c r="AI21" s="9"/>
    </row>
    <row r="22" customFormat="1" ht="15" spans="1:35">
      <c r="A22" s="91">
        <v>4</v>
      </c>
      <c r="B22" s="78" t="s">
        <v>27</v>
      </c>
      <c r="C22" s="81">
        <v>301.81</v>
      </c>
      <c r="D22" s="81">
        <v>288.14</v>
      </c>
      <c r="E22" s="81">
        <v>297.25</v>
      </c>
      <c r="F22" s="81">
        <v>302.94</v>
      </c>
      <c r="G22" s="81">
        <v>298.39</v>
      </c>
      <c r="H22" s="81">
        <v>280.17</v>
      </c>
      <c r="I22" s="81">
        <v>285.86</v>
      </c>
      <c r="J22" s="81">
        <v>305.22</v>
      </c>
      <c r="K22" s="81">
        <v>309.78</v>
      </c>
      <c r="L22" s="81">
        <v>310.92</v>
      </c>
      <c r="M22" s="81">
        <v>332.56</v>
      </c>
      <c r="N22" s="81">
        <v>322.31</v>
      </c>
      <c r="O22" s="81">
        <v>325.72</v>
      </c>
      <c r="P22" s="81">
        <v>324.58</v>
      </c>
      <c r="Q22" s="81">
        <v>322.31</v>
      </c>
      <c r="R22" s="81">
        <v>314.33</v>
      </c>
      <c r="S22" s="81">
        <v>334.83</v>
      </c>
      <c r="T22" s="81">
        <v>322.31</v>
      </c>
      <c r="U22" s="81">
        <v>335.97</v>
      </c>
      <c r="V22" s="81">
        <v>334.83</v>
      </c>
      <c r="W22" s="81">
        <v>332.56</v>
      </c>
      <c r="X22" s="81">
        <v>339.39</v>
      </c>
      <c r="Y22" s="81">
        <v>357.61</v>
      </c>
      <c r="Z22" s="81">
        <v>345.08</v>
      </c>
      <c r="AA22" s="81">
        <v>342.81</v>
      </c>
      <c r="AB22" s="81">
        <v>342.81</v>
      </c>
      <c r="AC22" s="81">
        <v>340.53</v>
      </c>
      <c r="AD22" s="81">
        <v>346.22</v>
      </c>
      <c r="AE22" s="81">
        <v>341.67</v>
      </c>
      <c r="AF22" s="81">
        <v>326.86</v>
      </c>
      <c r="AG22" s="81">
        <v>323.44</v>
      </c>
      <c r="AH22" s="87">
        <f t="shared" si="2"/>
        <v>9989.21</v>
      </c>
      <c r="AI22" s="9"/>
    </row>
    <row r="23" customFormat="1" ht="15" spans="1:35">
      <c r="A23" s="91">
        <v>5</v>
      </c>
      <c r="B23" s="78" t="s">
        <v>28</v>
      </c>
      <c r="C23" s="81">
        <v>2320</v>
      </c>
      <c r="D23" s="81">
        <v>2224</v>
      </c>
      <c r="E23" s="81">
        <v>2296</v>
      </c>
      <c r="F23" s="81">
        <v>2336</v>
      </c>
      <c r="G23" s="81">
        <v>2256</v>
      </c>
      <c r="H23" s="81">
        <v>2136</v>
      </c>
      <c r="I23" s="81">
        <v>2184</v>
      </c>
      <c r="J23" s="81">
        <v>2336</v>
      </c>
      <c r="K23" s="81">
        <v>2360</v>
      </c>
      <c r="L23" s="81">
        <v>2384</v>
      </c>
      <c r="M23" s="81">
        <v>2544</v>
      </c>
      <c r="N23" s="81">
        <v>2456</v>
      </c>
      <c r="O23" s="81">
        <v>2456</v>
      </c>
      <c r="P23" s="81">
        <v>2480</v>
      </c>
      <c r="Q23" s="81">
        <v>2464</v>
      </c>
      <c r="R23" s="81">
        <v>2416</v>
      </c>
      <c r="S23" s="81">
        <v>2552</v>
      </c>
      <c r="T23" s="81">
        <v>2480</v>
      </c>
      <c r="U23" s="81">
        <v>2584</v>
      </c>
      <c r="V23" s="81">
        <v>2576</v>
      </c>
      <c r="W23" s="81">
        <v>2552</v>
      </c>
      <c r="X23" s="81">
        <v>2600</v>
      </c>
      <c r="Y23" s="81">
        <v>2728</v>
      </c>
      <c r="Z23" s="81">
        <v>2624</v>
      </c>
      <c r="AA23" s="81">
        <v>2616</v>
      </c>
      <c r="AB23" s="81">
        <v>2608</v>
      </c>
      <c r="AC23" s="81">
        <v>2592</v>
      </c>
      <c r="AD23" s="81">
        <v>2640</v>
      </c>
      <c r="AE23" s="81">
        <v>2616</v>
      </c>
      <c r="AF23" s="81">
        <v>2512</v>
      </c>
      <c r="AG23" s="81">
        <v>2480</v>
      </c>
      <c r="AH23" s="92">
        <f t="shared" si="2"/>
        <v>76408</v>
      </c>
      <c r="AI23" s="9"/>
    </row>
    <row r="24" customFormat="1" ht="15" spans="1:35">
      <c r="A24" s="91">
        <v>6</v>
      </c>
      <c r="B24" s="78" t="s">
        <v>29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92">
        <f t="shared" si="2"/>
        <v>0</v>
      </c>
      <c r="AI24" s="9"/>
    </row>
    <row r="25" customFormat="1" ht="15" spans="1:35">
      <c r="A25" s="91">
        <v>7</v>
      </c>
      <c r="B25" s="78" t="s">
        <v>30</v>
      </c>
      <c r="C25" s="81">
        <v>24196</v>
      </c>
      <c r="D25" s="81">
        <v>19308.5</v>
      </c>
      <c r="E25" s="81">
        <v>18250.5</v>
      </c>
      <c r="F25" s="81">
        <v>17721.5</v>
      </c>
      <c r="G25" s="81">
        <v>16663.5</v>
      </c>
      <c r="H25" s="81">
        <v>16928</v>
      </c>
      <c r="I25" s="81">
        <v>15870</v>
      </c>
      <c r="J25" s="81">
        <v>15076.5</v>
      </c>
      <c r="K25" s="81">
        <v>20631</v>
      </c>
      <c r="L25" s="81">
        <v>23218.5</v>
      </c>
      <c r="M25" s="81">
        <v>20838</v>
      </c>
      <c r="N25" s="81">
        <v>22390.5</v>
      </c>
      <c r="O25" s="81">
        <v>22666.5</v>
      </c>
      <c r="P25" s="81">
        <v>22149</v>
      </c>
      <c r="Q25" s="81">
        <v>23724.5</v>
      </c>
      <c r="R25" s="81">
        <v>25300</v>
      </c>
      <c r="S25" s="81">
        <v>24771</v>
      </c>
      <c r="T25" s="81">
        <v>24253.5</v>
      </c>
      <c r="U25" s="81">
        <v>21367</v>
      </c>
      <c r="V25" s="81">
        <v>21355.5</v>
      </c>
      <c r="W25" s="81">
        <v>22919.5</v>
      </c>
      <c r="X25" s="81">
        <v>23713</v>
      </c>
      <c r="Y25" s="81">
        <v>26576.5</v>
      </c>
      <c r="Z25" s="81">
        <v>28428</v>
      </c>
      <c r="AA25" s="81">
        <v>27933.5</v>
      </c>
      <c r="AB25" s="81">
        <v>22126</v>
      </c>
      <c r="AC25" s="81">
        <v>21896</v>
      </c>
      <c r="AD25" s="81">
        <v>19768.5</v>
      </c>
      <c r="AE25" s="81">
        <v>22632</v>
      </c>
      <c r="AF25" s="81">
        <v>23724.5</v>
      </c>
      <c r="AG25" s="81">
        <v>21827</v>
      </c>
      <c r="AH25" s="92">
        <f t="shared" si="2"/>
        <v>678224</v>
      </c>
      <c r="AI25" s="9"/>
    </row>
    <row r="26" customFormat="1" ht="15" spans="1:35">
      <c r="A26" s="91">
        <v>8</v>
      </c>
      <c r="B26" s="78" t="s">
        <v>31</v>
      </c>
      <c r="C26" s="81"/>
      <c r="D26" s="81"/>
      <c r="E26" s="81">
        <v>15552</v>
      </c>
      <c r="F26" s="81">
        <v>69000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92">
        <f t="shared" si="2"/>
        <v>84552</v>
      </c>
      <c r="AI26" s="9"/>
    </row>
    <row r="27" customFormat="1" ht="15" spans="1:35">
      <c r="A27" s="91">
        <v>9</v>
      </c>
      <c r="B27" s="78" t="s">
        <v>32</v>
      </c>
      <c r="C27" s="81">
        <v>1935.48</v>
      </c>
      <c r="D27" s="81">
        <v>1935.48</v>
      </c>
      <c r="E27" s="81">
        <v>1935.48</v>
      </c>
      <c r="F27" s="81">
        <v>1935.48</v>
      </c>
      <c r="G27" s="81">
        <v>1935.48</v>
      </c>
      <c r="H27" s="81">
        <v>1935.48</v>
      </c>
      <c r="I27" s="81">
        <v>1935.48</v>
      </c>
      <c r="J27" s="81">
        <v>1935.48</v>
      </c>
      <c r="K27" s="81">
        <v>1935.48</v>
      </c>
      <c r="L27" s="81">
        <v>1935.48</v>
      </c>
      <c r="M27" s="81">
        <v>1935.48</v>
      </c>
      <c r="N27" s="81">
        <v>1935.48</v>
      </c>
      <c r="O27" s="81">
        <v>1935.48</v>
      </c>
      <c r="P27" s="81">
        <v>1935.48</v>
      </c>
      <c r="Q27" s="81">
        <v>1935.48</v>
      </c>
      <c r="R27" s="81">
        <v>1935.48</v>
      </c>
      <c r="S27" s="81">
        <v>1935.48</v>
      </c>
      <c r="T27" s="81">
        <v>1935.48</v>
      </c>
      <c r="U27" s="81">
        <v>1935.48</v>
      </c>
      <c r="V27" s="81">
        <v>1935.48</v>
      </c>
      <c r="W27" s="81">
        <v>1935.48</v>
      </c>
      <c r="X27" s="81">
        <v>1935.48</v>
      </c>
      <c r="Y27" s="81">
        <v>1935.48</v>
      </c>
      <c r="Z27" s="81">
        <v>1935.48</v>
      </c>
      <c r="AA27" s="81">
        <v>1935.48</v>
      </c>
      <c r="AB27" s="81">
        <v>1935.48</v>
      </c>
      <c r="AC27" s="81">
        <v>1935.48</v>
      </c>
      <c r="AD27" s="81">
        <v>1935.48</v>
      </c>
      <c r="AE27" s="81">
        <v>1935.48</v>
      </c>
      <c r="AF27" s="81">
        <v>1935.48</v>
      </c>
      <c r="AG27" s="81">
        <v>1935.48</v>
      </c>
      <c r="AH27" s="87">
        <f t="shared" si="2"/>
        <v>59999.88</v>
      </c>
      <c r="AI27" s="9"/>
    </row>
    <row r="28" customFormat="1" ht="15" spans="1:35">
      <c r="A28" s="91">
        <v>10</v>
      </c>
      <c r="B28" s="78" t="s">
        <v>33</v>
      </c>
      <c r="C28" s="81">
        <v>33651.8374193548</v>
      </c>
      <c r="D28" s="81">
        <v>33651.8374193548</v>
      </c>
      <c r="E28" s="81">
        <v>33651.8374193548</v>
      </c>
      <c r="F28" s="81">
        <v>33651.8374193548</v>
      </c>
      <c r="G28" s="81">
        <v>33651.8374193548</v>
      </c>
      <c r="H28" s="81">
        <v>33651.8374193548</v>
      </c>
      <c r="I28" s="81">
        <v>33651.8374193548</v>
      </c>
      <c r="J28" s="81">
        <v>33651.8374193548</v>
      </c>
      <c r="K28" s="81">
        <v>33651.8374193548</v>
      </c>
      <c r="L28" s="81">
        <v>33651.8374193548</v>
      </c>
      <c r="M28" s="81">
        <v>33651.8374193548</v>
      </c>
      <c r="N28" s="81">
        <v>33651.8374193548</v>
      </c>
      <c r="O28" s="81">
        <v>33651.8374193548</v>
      </c>
      <c r="P28" s="81">
        <v>33651.8374193548</v>
      </c>
      <c r="Q28" s="81">
        <v>33651.8374193548</v>
      </c>
      <c r="R28" s="81">
        <v>33651.8374193548</v>
      </c>
      <c r="S28" s="81">
        <v>33651.8374193548</v>
      </c>
      <c r="T28" s="81">
        <v>33651.8374193548</v>
      </c>
      <c r="U28" s="81">
        <v>33651.8374193548</v>
      </c>
      <c r="V28" s="81">
        <v>33651.8374193548</v>
      </c>
      <c r="W28" s="81">
        <v>33651.8374193548</v>
      </c>
      <c r="X28" s="81">
        <v>33651.8374193548</v>
      </c>
      <c r="Y28" s="81">
        <v>33651.8374193548</v>
      </c>
      <c r="Z28" s="81">
        <v>33651.8374193548</v>
      </c>
      <c r="AA28" s="81">
        <v>33651.8374193548</v>
      </c>
      <c r="AB28" s="81">
        <v>33651.8374193548</v>
      </c>
      <c r="AC28" s="81">
        <v>33651.8374193548</v>
      </c>
      <c r="AD28" s="81">
        <v>33651.8374193548</v>
      </c>
      <c r="AE28" s="81">
        <v>33651.8374193548</v>
      </c>
      <c r="AF28" s="81">
        <v>33651.8374193548</v>
      </c>
      <c r="AG28" s="81">
        <v>33651.8374193548</v>
      </c>
      <c r="AH28" s="92">
        <f t="shared" si="2"/>
        <v>1043206.96</v>
      </c>
    </row>
    <row r="29" s="7" customFormat="1" ht="15.6" spans="1:35">
      <c r="A29" s="93" t="s">
        <v>34</v>
      </c>
      <c r="B29" s="93"/>
      <c r="C29" s="27">
        <v>118544.567419355</v>
      </c>
      <c r="D29" s="27">
        <v>135721.527419355</v>
      </c>
      <c r="E29" s="27">
        <v>124813.017419355</v>
      </c>
      <c r="F29" s="27">
        <v>178632.517419355</v>
      </c>
      <c r="G29" s="27">
        <v>106210.477419355</v>
      </c>
      <c r="H29" s="27">
        <v>104271.307419355</v>
      </c>
      <c r="I29" s="27">
        <v>103528.557419355</v>
      </c>
      <c r="J29" s="27">
        <v>106208.147419355</v>
      </c>
      <c r="K29" s="27">
        <v>114696.087419355</v>
      </c>
      <c r="L29" s="27">
        <v>117465.157419355</v>
      </c>
      <c r="M29" s="27">
        <v>119208.717419355</v>
      </c>
      <c r="N29" s="27">
        <v>119315.717419355</v>
      </c>
      <c r="O29" s="27">
        <v>119112.847419355</v>
      </c>
      <c r="P29" s="27">
        <v>117263.477419355</v>
      </c>
      <c r="Q29" s="27">
        <v>121707.467419355</v>
      </c>
      <c r="R29" s="27">
        <v>119564.327419355</v>
      </c>
      <c r="S29" s="27">
        <v>122257.377419355</v>
      </c>
      <c r="T29" s="27">
        <v>119756.067419355</v>
      </c>
      <c r="U29" s="27">
        <v>118843.197419355</v>
      </c>
      <c r="V29" s="27">
        <v>118550.627419355</v>
      </c>
      <c r="W29" s="27">
        <v>124138.217419355</v>
      </c>
      <c r="X29" s="27">
        <v>126882.327419355</v>
      </c>
      <c r="Y29" s="27">
        <v>132515.557419355</v>
      </c>
      <c r="Z29" s="27">
        <v>131832.227419355</v>
      </c>
      <c r="AA29" s="27">
        <v>129282.117419355</v>
      </c>
      <c r="AB29" s="27">
        <v>122800.917419355</v>
      </c>
      <c r="AC29" s="27">
        <v>121416.737419355</v>
      </c>
      <c r="AD29" s="27">
        <v>121678.297419355</v>
      </c>
      <c r="AE29" s="27">
        <v>125681.457419355</v>
      </c>
      <c r="AF29" s="27">
        <v>123667.257419355</v>
      </c>
      <c r="AG29" s="27">
        <v>120931.917419355</v>
      </c>
      <c r="AH29" s="27">
        <f>SUM(AH19:AH28)</f>
        <v>3786498.22</v>
      </c>
    </row>
    <row r="30" s="7" customFormat="1" ht="15.6" spans="1:35">
      <c r="A30" s="39" t="s">
        <v>35</v>
      </c>
      <c r="B30" s="39"/>
      <c r="C30" s="27">
        <v>854.08</v>
      </c>
      <c r="D30" s="27">
        <v>811.72</v>
      </c>
      <c r="E30" s="27">
        <v>758.21</v>
      </c>
      <c r="F30" s="27">
        <v>762.33</v>
      </c>
      <c r="G30" s="27">
        <v>743.7</v>
      </c>
      <c r="H30" s="27">
        <v>729.04</v>
      </c>
      <c r="I30" s="27">
        <v>686.02</v>
      </c>
      <c r="J30" s="27">
        <v>789.9</v>
      </c>
      <c r="K30" s="27">
        <v>869.43</v>
      </c>
      <c r="L30" s="27">
        <v>946.64</v>
      </c>
      <c r="M30" s="27">
        <v>1008.26</v>
      </c>
      <c r="N30" s="27">
        <v>993.61</v>
      </c>
      <c r="O30" s="27">
        <v>1008.19</v>
      </c>
      <c r="P30" s="27">
        <v>993.09</v>
      </c>
      <c r="Q30" s="27">
        <v>1052.55</v>
      </c>
      <c r="R30" s="27">
        <v>1017.85</v>
      </c>
      <c r="S30" s="27">
        <v>1021.47</v>
      </c>
      <c r="T30" s="27">
        <v>1019.03</v>
      </c>
      <c r="U30" s="27">
        <v>949.6</v>
      </c>
      <c r="V30" s="27">
        <v>938.47</v>
      </c>
      <c r="W30" s="27">
        <v>1066.12</v>
      </c>
      <c r="X30" s="27">
        <v>1125.29</v>
      </c>
      <c r="Y30" s="27">
        <v>1208.76</v>
      </c>
      <c r="Z30" s="27">
        <v>1182.14</v>
      </c>
      <c r="AA30" s="27">
        <v>1169.88</v>
      </c>
      <c r="AB30" s="27">
        <v>1061.07</v>
      </c>
      <c r="AC30" s="27">
        <v>1053.77</v>
      </c>
      <c r="AD30" s="27">
        <v>1082.51</v>
      </c>
      <c r="AE30" s="27">
        <v>1148.36</v>
      </c>
      <c r="AF30" s="27">
        <v>1123.56</v>
      </c>
      <c r="AG30" s="27">
        <v>1081.5</v>
      </c>
      <c r="AH30" s="27">
        <f t="shared" ref="AH30:AH33" si="3">SUM(C30:AG30)</f>
        <v>30256.15</v>
      </c>
    </row>
    <row r="31" s="7" customFormat="1" spans="1:35">
      <c r="A31" s="94" t="s">
        <v>36</v>
      </c>
      <c r="B31" s="94"/>
      <c r="C31" s="27">
        <v>-776.09</v>
      </c>
      <c r="D31" s="27">
        <v>-23795.04</v>
      </c>
      <c r="E31" s="27">
        <v>-20264.54</v>
      </c>
      <c r="F31" s="27">
        <v>-73515.72</v>
      </c>
      <c r="G31" s="27">
        <v>-3662.83</v>
      </c>
      <c r="H31" s="27">
        <v>-3745.1</v>
      </c>
      <c r="I31" s="27">
        <v>-8933.64</v>
      </c>
      <c r="J31" s="27">
        <v>2709.68</v>
      </c>
      <c r="K31" s="27">
        <v>5188.28</v>
      </c>
      <c r="L31" s="27">
        <v>13066.15</v>
      </c>
      <c r="M31" s="27">
        <v>19819.13</v>
      </c>
      <c r="N31" s="27">
        <v>17691.78</v>
      </c>
      <c r="O31" s="27">
        <v>19905.17</v>
      </c>
      <c r="P31" s="27">
        <v>19672.84</v>
      </c>
      <c r="Q31" s="27">
        <v>23427.17</v>
      </c>
      <c r="R31" s="27">
        <v>20786.27</v>
      </c>
      <c r="S31" s="27">
        <v>18591.59</v>
      </c>
      <c r="T31" s="27">
        <v>20757.38</v>
      </c>
      <c r="U31" s="27">
        <v>12096.56</v>
      </c>
      <c r="V31" s="27">
        <v>10854.51</v>
      </c>
      <c r="W31" s="27">
        <v>22867.5</v>
      </c>
      <c r="X31" s="27">
        <v>28282.06</v>
      </c>
      <c r="Y31" s="27">
        <v>34158.56</v>
      </c>
      <c r="Z31" s="27">
        <v>31171.38</v>
      </c>
      <c r="AA31" s="27">
        <v>32031.84</v>
      </c>
      <c r="AB31" s="27">
        <v>23508.76</v>
      </c>
      <c r="AC31" s="27">
        <v>23885.9</v>
      </c>
      <c r="AD31" s="27">
        <v>27587.9</v>
      </c>
      <c r="AE31" s="27">
        <v>32663.96</v>
      </c>
      <c r="AF31" s="27">
        <v>31259.5</v>
      </c>
      <c r="AG31" s="27">
        <v>28195.33</v>
      </c>
      <c r="AH31" s="27">
        <f>AH11-AH29-AH30</f>
        <v>385486.320000001</v>
      </c>
    </row>
    <row r="32" customFormat="1" ht="15" spans="1:35">
      <c r="A32" s="91">
        <v>1</v>
      </c>
      <c r="B32" s="95" t="s">
        <v>37</v>
      </c>
      <c r="C32" s="86">
        <v>10947.66</v>
      </c>
      <c r="D32" s="86">
        <v>10947.66</v>
      </c>
      <c r="E32" s="86">
        <v>10947.66</v>
      </c>
      <c r="F32" s="86">
        <v>10947.66</v>
      </c>
      <c r="G32" s="86">
        <v>10947.66</v>
      </c>
      <c r="H32" s="86">
        <v>10947.66</v>
      </c>
      <c r="I32" s="86">
        <v>10947.66</v>
      </c>
      <c r="J32" s="86">
        <v>10947.66</v>
      </c>
      <c r="K32" s="86">
        <v>10947.66</v>
      </c>
      <c r="L32" s="86">
        <v>10947.66</v>
      </c>
      <c r="M32" s="86">
        <v>10947.66</v>
      </c>
      <c r="N32" s="86">
        <v>10947.66</v>
      </c>
      <c r="O32" s="86">
        <v>10947.66</v>
      </c>
      <c r="P32" s="86">
        <v>10947.66</v>
      </c>
      <c r="Q32" s="86">
        <v>10947.66</v>
      </c>
      <c r="R32" s="86">
        <v>10947.66</v>
      </c>
      <c r="S32" s="86">
        <v>10947.66</v>
      </c>
      <c r="T32" s="86">
        <v>10947.66</v>
      </c>
      <c r="U32" s="86">
        <v>10947.66</v>
      </c>
      <c r="V32" s="86">
        <v>10947.66</v>
      </c>
      <c r="W32" s="86">
        <v>10947.66</v>
      </c>
      <c r="X32" s="86">
        <v>10947.66</v>
      </c>
      <c r="Y32" s="86">
        <v>10947.66</v>
      </c>
      <c r="Z32" s="86">
        <v>10947.66</v>
      </c>
      <c r="AA32" s="86">
        <v>10947.66</v>
      </c>
      <c r="AB32" s="86">
        <v>10947.66</v>
      </c>
      <c r="AC32" s="86">
        <v>10947.66</v>
      </c>
      <c r="AD32" s="86">
        <v>10947.66</v>
      </c>
      <c r="AE32" s="86">
        <v>10947.66</v>
      </c>
      <c r="AF32" s="86">
        <v>10947.66</v>
      </c>
      <c r="AG32" s="86">
        <v>10947.66</v>
      </c>
      <c r="AH32" s="87">
        <f t="shared" si="3"/>
        <v>339377.46</v>
      </c>
      <c r="AI32" s="9"/>
    </row>
    <row r="33" customFormat="1" ht="15" spans="1:35">
      <c r="A33" s="91">
        <v>2</v>
      </c>
      <c r="B33" s="95" t="s">
        <v>38</v>
      </c>
      <c r="C33" s="86">
        <v>680.65</v>
      </c>
      <c r="D33" s="86">
        <v>680.65</v>
      </c>
      <c r="E33" s="86">
        <v>680.65</v>
      </c>
      <c r="F33" s="86">
        <v>680.65</v>
      </c>
      <c r="G33" s="86">
        <v>680.65</v>
      </c>
      <c r="H33" s="86">
        <v>680.65</v>
      </c>
      <c r="I33" s="86">
        <v>680.65</v>
      </c>
      <c r="J33" s="86">
        <v>680.65</v>
      </c>
      <c r="K33" s="86">
        <v>680.65</v>
      </c>
      <c r="L33" s="86">
        <v>680.65</v>
      </c>
      <c r="M33" s="86">
        <v>680.65</v>
      </c>
      <c r="N33" s="86">
        <v>680.65</v>
      </c>
      <c r="O33" s="86">
        <v>680.65</v>
      </c>
      <c r="P33" s="86">
        <v>680.65</v>
      </c>
      <c r="Q33" s="86">
        <v>680.65</v>
      </c>
      <c r="R33" s="86">
        <v>680.65</v>
      </c>
      <c r="S33" s="86">
        <v>680.65</v>
      </c>
      <c r="T33" s="86">
        <v>680.65</v>
      </c>
      <c r="U33" s="86">
        <v>680.65</v>
      </c>
      <c r="V33" s="86">
        <v>680.65</v>
      </c>
      <c r="W33" s="86">
        <v>680.65</v>
      </c>
      <c r="X33" s="86">
        <v>680.65</v>
      </c>
      <c r="Y33" s="86">
        <v>680.65</v>
      </c>
      <c r="Z33" s="86">
        <v>680.65</v>
      </c>
      <c r="AA33" s="86">
        <v>680.65</v>
      </c>
      <c r="AB33" s="86">
        <v>680.65</v>
      </c>
      <c r="AC33" s="86">
        <v>680.65</v>
      </c>
      <c r="AD33" s="86">
        <v>680.65</v>
      </c>
      <c r="AE33" s="86">
        <v>680.65</v>
      </c>
      <c r="AF33" s="86">
        <v>680.65</v>
      </c>
      <c r="AG33" s="86">
        <v>680.65</v>
      </c>
      <c r="AH33" s="92">
        <f t="shared" si="3"/>
        <v>21100.15</v>
      </c>
      <c r="AI33" s="9"/>
    </row>
    <row r="34" customFormat="1" ht="15" spans="1:35">
      <c r="A34" s="91">
        <v>3</v>
      </c>
      <c r="B34" s="95" t="s">
        <v>39</v>
      </c>
      <c r="C34" s="86">
        <v>1306.45161290323</v>
      </c>
      <c r="D34" s="86">
        <v>1306.45161290323</v>
      </c>
      <c r="E34" s="86">
        <v>1306.45161290323</v>
      </c>
      <c r="F34" s="86">
        <v>1306.45161290323</v>
      </c>
      <c r="G34" s="86">
        <v>1306.45161290323</v>
      </c>
      <c r="H34" s="86">
        <v>1306.45161290323</v>
      </c>
      <c r="I34" s="86">
        <v>1306.45161290323</v>
      </c>
      <c r="J34" s="86">
        <v>1306.45161290323</v>
      </c>
      <c r="K34" s="86">
        <v>1306.45161290323</v>
      </c>
      <c r="L34" s="86">
        <v>1306.45161290323</v>
      </c>
      <c r="M34" s="86">
        <v>1306.45161290323</v>
      </c>
      <c r="N34" s="86">
        <v>1306.45161290323</v>
      </c>
      <c r="O34" s="86">
        <v>1306.45161290323</v>
      </c>
      <c r="P34" s="86">
        <v>1306.45161290323</v>
      </c>
      <c r="Q34" s="86">
        <v>1306.45161290323</v>
      </c>
      <c r="R34" s="86">
        <v>1306.45161290323</v>
      </c>
      <c r="S34" s="86">
        <v>1306.45161290323</v>
      </c>
      <c r="T34" s="86">
        <v>1306.45161290323</v>
      </c>
      <c r="U34" s="86">
        <v>1306.45161290323</v>
      </c>
      <c r="V34" s="86">
        <v>1306.45161290323</v>
      </c>
      <c r="W34" s="86">
        <v>1306.45161290323</v>
      </c>
      <c r="X34" s="86">
        <v>1306.45161290323</v>
      </c>
      <c r="Y34" s="86">
        <v>1306.45161290323</v>
      </c>
      <c r="Z34" s="86">
        <v>1306.45161290323</v>
      </c>
      <c r="AA34" s="86">
        <v>1306.45161290323</v>
      </c>
      <c r="AB34" s="86">
        <v>1306.45161290323</v>
      </c>
      <c r="AC34" s="86">
        <v>1306.45161290323</v>
      </c>
      <c r="AD34" s="86">
        <v>1306.45161290323</v>
      </c>
      <c r="AE34" s="86">
        <v>1306.45161290323</v>
      </c>
      <c r="AF34" s="86">
        <v>1306.45161290323</v>
      </c>
      <c r="AG34" s="86">
        <v>1306.45161290323</v>
      </c>
      <c r="AH34" s="92">
        <f>ROUND(SUM(C34:AG34),2)</f>
        <v>40500</v>
      </c>
      <c r="AI34" s="9"/>
    </row>
    <row r="35" customFormat="1" ht="15" spans="1:35">
      <c r="A35" s="91">
        <v>4</v>
      </c>
      <c r="B35" s="78" t="s">
        <v>26</v>
      </c>
      <c r="C35" s="81">
        <v>29.17</v>
      </c>
      <c r="D35" s="86">
        <v>29.17</v>
      </c>
      <c r="E35" s="86">
        <v>29.17</v>
      </c>
      <c r="F35" s="86">
        <v>29.17</v>
      </c>
      <c r="G35" s="86">
        <v>29.17</v>
      </c>
      <c r="H35" s="86">
        <v>29.17</v>
      </c>
      <c r="I35" s="86">
        <v>29.17</v>
      </c>
      <c r="J35" s="86">
        <v>29.17</v>
      </c>
      <c r="K35" s="86">
        <v>29.17</v>
      </c>
      <c r="L35" s="86">
        <v>29.17</v>
      </c>
      <c r="M35" s="86">
        <v>29.17</v>
      </c>
      <c r="N35" s="86">
        <v>29.17</v>
      </c>
      <c r="O35" s="86">
        <v>29.17</v>
      </c>
      <c r="P35" s="86">
        <v>29.17</v>
      </c>
      <c r="Q35" s="86">
        <v>29.17</v>
      </c>
      <c r="R35" s="86">
        <v>29.17</v>
      </c>
      <c r="S35" s="86">
        <v>29.17</v>
      </c>
      <c r="T35" s="86">
        <v>29.17</v>
      </c>
      <c r="U35" s="86">
        <v>29.17</v>
      </c>
      <c r="V35" s="86">
        <v>29.17</v>
      </c>
      <c r="W35" s="86">
        <v>29.17</v>
      </c>
      <c r="X35" s="86">
        <v>29.17</v>
      </c>
      <c r="Y35" s="86">
        <v>29.17</v>
      </c>
      <c r="Z35" s="86">
        <v>29.17</v>
      </c>
      <c r="AA35" s="86">
        <v>29.17</v>
      </c>
      <c r="AB35" s="86">
        <v>29.17</v>
      </c>
      <c r="AC35" s="86">
        <v>29.17</v>
      </c>
      <c r="AD35" s="86">
        <v>29.17</v>
      </c>
      <c r="AE35" s="86">
        <v>29.17</v>
      </c>
      <c r="AF35" s="86">
        <v>29.17</v>
      </c>
      <c r="AG35" s="86">
        <v>29.17</v>
      </c>
      <c r="AH35" s="87">
        <f t="shared" ref="AH35:AH42" si="4">SUM(C35:AG35)</f>
        <v>904.27</v>
      </c>
      <c r="AI35" s="9"/>
    </row>
    <row r="36" customFormat="1" ht="15" spans="1:35">
      <c r="A36" s="91">
        <v>5</v>
      </c>
      <c r="B36" s="78" t="s">
        <v>27</v>
      </c>
      <c r="C36" s="81">
        <v>34.17</v>
      </c>
      <c r="D36" s="86">
        <v>34.17</v>
      </c>
      <c r="E36" s="86">
        <v>34.17</v>
      </c>
      <c r="F36" s="86">
        <v>34.17</v>
      </c>
      <c r="G36" s="86">
        <v>34.17</v>
      </c>
      <c r="H36" s="86">
        <v>34.17</v>
      </c>
      <c r="I36" s="86">
        <v>34.17</v>
      </c>
      <c r="J36" s="86">
        <v>34.17</v>
      </c>
      <c r="K36" s="86">
        <v>34.17</v>
      </c>
      <c r="L36" s="86">
        <v>34.17</v>
      </c>
      <c r="M36" s="86">
        <v>34.17</v>
      </c>
      <c r="N36" s="86">
        <v>34.17</v>
      </c>
      <c r="O36" s="86">
        <v>34.17</v>
      </c>
      <c r="P36" s="86">
        <v>34.17</v>
      </c>
      <c r="Q36" s="86">
        <v>34.17</v>
      </c>
      <c r="R36" s="86">
        <v>34.17</v>
      </c>
      <c r="S36" s="86">
        <v>34.17</v>
      </c>
      <c r="T36" s="86">
        <v>34.17</v>
      </c>
      <c r="U36" s="86">
        <v>34.17</v>
      </c>
      <c r="V36" s="86">
        <v>34.17</v>
      </c>
      <c r="W36" s="86">
        <v>34.17</v>
      </c>
      <c r="X36" s="86">
        <v>34.17</v>
      </c>
      <c r="Y36" s="86">
        <v>34.17</v>
      </c>
      <c r="Z36" s="86">
        <v>34.17</v>
      </c>
      <c r="AA36" s="86">
        <v>34.17</v>
      </c>
      <c r="AB36" s="86">
        <v>34.17</v>
      </c>
      <c r="AC36" s="86">
        <v>34.17</v>
      </c>
      <c r="AD36" s="86">
        <v>34.17</v>
      </c>
      <c r="AE36" s="86">
        <v>34.17</v>
      </c>
      <c r="AF36" s="86">
        <v>34.17</v>
      </c>
      <c r="AG36" s="86">
        <v>34.17</v>
      </c>
      <c r="AH36" s="87">
        <f t="shared" si="4"/>
        <v>1059.27</v>
      </c>
      <c r="AI36" s="9"/>
    </row>
    <row r="37" customFormat="1" ht="15" spans="1:35">
      <c r="A37" s="91">
        <v>6</v>
      </c>
      <c r="B37" s="95" t="s">
        <v>40</v>
      </c>
      <c r="C37" s="86"/>
      <c r="D37" s="86"/>
      <c r="E37" s="86"/>
      <c r="F37" s="86"/>
      <c r="G37" s="9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7">
        <f t="shared" si="4"/>
        <v>0</v>
      </c>
      <c r="AI37" s="9"/>
    </row>
    <row r="38" customFormat="1" ht="15" spans="1:35">
      <c r="A38" s="91">
        <v>7</v>
      </c>
      <c r="B38" s="96" t="s">
        <v>41</v>
      </c>
      <c r="C38" s="81">
        <v>200</v>
      </c>
      <c r="D38" s="81">
        <v>180</v>
      </c>
      <c r="E38" s="81">
        <v>220</v>
      </c>
      <c r="F38" s="81">
        <v>220</v>
      </c>
      <c r="G38" s="81">
        <v>240</v>
      </c>
      <c r="H38" s="81">
        <v>240</v>
      </c>
      <c r="I38" s="81">
        <v>160</v>
      </c>
      <c r="J38" s="81">
        <v>220</v>
      </c>
      <c r="K38" s="81">
        <v>280</v>
      </c>
      <c r="L38" s="81">
        <v>300</v>
      </c>
      <c r="M38" s="81">
        <v>340</v>
      </c>
      <c r="N38" s="81">
        <v>300</v>
      </c>
      <c r="O38" s="81">
        <v>280</v>
      </c>
      <c r="P38" s="81">
        <v>340</v>
      </c>
      <c r="Q38" s="81">
        <v>420</v>
      </c>
      <c r="R38" s="81">
        <v>340</v>
      </c>
      <c r="S38" s="81">
        <v>520</v>
      </c>
      <c r="T38" s="81">
        <v>410</v>
      </c>
      <c r="U38" s="81">
        <v>440</v>
      </c>
      <c r="V38" s="81">
        <v>480</v>
      </c>
      <c r="W38" s="81">
        <v>360</v>
      </c>
      <c r="X38" s="81">
        <v>460</v>
      </c>
      <c r="Y38" s="81">
        <v>540</v>
      </c>
      <c r="Z38" s="81">
        <v>560</v>
      </c>
      <c r="AA38" s="81">
        <v>420</v>
      </c>
      <c r="AB38" s="81">
        <v>480</v>
      </c>
      <c r="AC38" s="81">
        <v>500</v>
      </c>
      <c r="AD38" s="81">
        <v>480</v>
      </c>
      <c r="AE38" s="81">
        <v>480</v>
      </c>
      <c r="AF38" s="81">
        <v>400</v>
      </c>
      <c r="AG38" s="81">
        <v>400</v>
      </c>
      <c r="AH38" s="87">
        <f t="shared" si="4"/>
        <v>11210</v>
      </c>
      <c r="AI38" s="9"/>
    </row>
    <row r="39" customFormat="1" ht="15" spans="1:35">
      <c r="A39" s="91">
        <v>8</v>
      </c>
      <c r="B39" s="99" t="s">
        <v>42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7">
        <f t="shared" si="4"/>
        <v>0</v>
      </c>
      <c r="AI39" s="9"/>
    </row>
    <row r="40" customFormat="1" ht="15" spans="1:35">
      <c r="A40" s="91">
        <v>9</v>
      </c>
      <c r="B40" s="99" t="s">
        <v>43</v>
      </c>
      <c r="C40" s="81">
        <v>19500</v>
      </c>
      <c r="D40" s="81">
        <v>1135.42</v>
      </c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>
        <v>534.5</v>
      </c>
      <c r="Y40" s="81"/>
      <c r="Z40" s="81"/>
      <c r="AA40" s="81"/>
      <c r="AB40" s="81"/>
      <c r="AC40" s="81"/>
      <c r="AD40" s="81"/>
      <c r="AE40" s="81"/>
      <c r="AF40" s="81"/>
      <c r="AG40" s="81"/>
      <c r="AH40" s="87">
        <f t="shared" si="4"/>
        <v>21169.92</v>
      </c>
      <c r="AI40" s="9"/>
    </row>
    <row r="41" customFormat="1" ht="15" spans="1:35">
      <c r="A41" s="91">
        <v>10</v>
      </c>
      <c r="B41" s="100" t="s">
        <v>44</v>
      </c>
      <c r="C41" s="81"/>
      <c r="D41" s="81">
        <v>4060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7">
        <f t="shared" si="4"/>
        <v>4060</v>
      </c>
      <c r="AI41" s="9"/>
    </row>
    <row r="42" customFormat="1" ht="15" spans="1:35">
      <c r="A42" s="91">
        <v>11</v>
      </c>
      <c r="B42" s="95" t="s">
        <v>45</v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7">
        <f t="shared" si="4"/>
        <v>0</v>
      </c>
      <c r="AI42" s="9"/>
    </row>
    <row r="43" customFormat="1" ht="13.5" hidden="1" customHeight="1" spans="1:35">
      <c r="A43" s="91">
        <v>13</v>
      </c>
      <c r="B43" s="95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7"/>
      <c r="AI43" s="9"/>
    </row>
    <row r="44" customFormat="1" ht="15" hidden="1" spans="1:35">
      <c r="A44" s="91">
        <v>14</v>
      </c>
      <c r="B44" s="10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7"/>
      <c r="AI44" s="9"/>
    </row>
    <row r="45" s="7" customFormat="1" ht="15.6" spans="1:35">
      <c r="A45" s="102" t="s">
        <v>46</v>
      </c>
      <c r="B45" s="102"/>
      <c r="C45" s="42">
        <f t="shared" ref="C45:AH45" si="5">SUM(C32:C44)</f>
        <v>32698.1016129032</v>
      </c>
      <c r="D45" s="42">
        <f t="shared" si="5"/>
        <v>18373.5216129032</v>
      </c>
      <c r="E45" s="42">
        <f t="shared" si="5"/>
        <v>13218.1016129032</v>
      </c>
      <c r="F45" s="42">
        <f t="shared" si="5"/>
        <v>13218.1016129032</v>
      </c>
      <c r="G45" s="42">
        <f t="shared" si="5"/>
        <v>13238.1016129032</v>
      </c>
      <c r="H45" s="42">
        <f t="shared" si="5"/>
        <v>13238.1016129032</v>
      </c>
      <c r="I45" s="42">
        <f t="shared" si="5"/>
        <v>13158.1016129032</v>
      </c>
      <c r="J45" s="42">
        <f t="shared" si="5"/>
        <v>13218.1016129032</v>
      </c>
      <c r="K45" s="42">
        <f t="shared" si="5"/>
        <v>13278.1016129032</v>
      </c>
      <c r="L45" s="42">
        <f t="shared" si="5"/>
        <v>13298.1016129032</v>
      </c>
      <c r="M45" s="42">
        <f t="shared" si="5"/>
        <v>13338.1016129032</v>
      </c>
      <c r="N45" s="42">
        <f t="shared" si="5"/>
        <v>13298.1016129032</v>
      </c>
      <c r="O45" s="42">
        <f t="shared" si="5"/>
        <v>13278.1016129032</v>
      </c>
      <c r="P45" s="42">
        <f t="shared" si="5"/>
        <v>13338.1016129032</v>
      </c>
      <c r="Q45" s="42">
        <f t="shared" si="5"/>
        <v>13418.1016129032</v>
      </c>
      <c r="R45" s="42">
        <f t="shared" si="5"/>
        <v>13338.1016129032</v>
      </c>
      <c r="S45" s="42">
        <f t="shared" si="5"/>
        <v>13518.1016129032</v>
      </c>
      <c r="T45" s="42">
        <f t="shared" si="5"/>
        <v>13408.1016129032</v>
      </c>
      <c r="U45" s="42">
        <f t="shared" si="5"/>
        <v>13438.1016129032</v>
      </c>
      <c r="V45" s="42">
        <f t="shared" si="5"/>
        <v>13478.1016129032</v>
      </c>
      <c r="W45" s="42">
        <f t="shared" si="5"/>
        <v>13358.1016129032</v>
      </c>
      <c r="X45" s="42">
        <f t="shared" si="5"/>
        <v>13992.6016129032</v>
      </c>
      <c r="Y45" s="42">
        <f t="shared" si="5"/>
        <v>13538.1016129032</v>
      </c>
      <c r="Z45" s="42">
        <f t="shared" si="5"/>
        <v>13558.1016129032</v>
      </c>
      <c r="AA45" s="42">
        <f t="shared" si="5"/>
        <v>13418.1016129032</v>
      </c>
      <c r="AB45" s="42">
        <f t="shared" si="5"/>
        <v>13478.1016129032</v>
      </c>
      <c r="AC45" s="42">
        <f t="shared" si="5"/>
        <v>13498.1016129032</v>
      </c>
      <c r="AD45" s="42">
        <f t="shared" si="5"/>
        <v>13478.1016129032</v>
      </c>
      <c r="AE45" s="42">
        <v>13478.1016129032</v>
      </c>
      <c r="AF45" s="42">
        <f t="shared" si="5"/>
        <v>13398.1016129032</v>
      </c>
      <c r="AG45" s="42">
        <f t="shared" si="5"/>
        <v>13398.1016129032</v>
      </c>
      <c r="AH45" s="42">
        <f t="shared" si="5"/>
        <v>439381.07</v>
      </c>
    </row>
    <row r="46" s="7" customFormat="1" ht="15.6" spans="1:35">
      <c r="A46" s="102" t="s">
        <v>47</v>
      </c>
      <c r="B46" s="102"/>
      <c r="C46" s="27">
        <f>ROUND(C31-C45,2)</f>
        <v>-33474.19</v>
      </c>
      <c r="D46" s="27">
        <f t="shared" ref="D46:AG46" si="6">D31-D45</f>
        <v>-42168.5616129032</v>
      </c>
      <c r="E46" s="27">
        <f t="shared" si="6"/>
        <v>-33482.6416129032</v>
      </c>
      <c r="F46" s="27">
        <f t="shared" si="6"/>
        <v>-86733.8216129032</v>
      </c>
      <c r="G46" s="27">
        <f t="shared" si="6"/>
        <v>-16900.9316129032</v>
      </c>
      <c r="H46" s="27">
        <f t="shared" si="6"/>
        <v>-16983.2016129032</v>
      </c>
      <c r="I46" s="27">
        <f t="shared" si="6"/>
        <v>-22091.7416129032</v>
      </c>
      <c r="J46" s="27">
        <f t="shared" si="6"/>
        <v>-10508.4216129032</v>
      </c>
      <c r="K46" s="27">
        <f t="shared" si="6"/>
        <v>-8089.82161290323</v>
      </c>
      <c r="L46" s="27">
        <f t="shared" si="6"/>
        <v>-231.951612903229</v>
      </c>
      <c r="M46" s="27">
        <f t="shared" si="6"/>
        <v>6481.02838709677</v>
      </c>
      <c r="N46" s="27">
        <f t="shared" si="6"/>
        <v>4393.67838709677</v>
      </c>
      <c r="O46" s="27">
        <f t="shared" si="6"/>
        <v>6627.06838709677</v>
      </c>
      <c r="P46" s="27">
        <f t="shared" si="6"/>
        <v>6334.73838709677</v>
      </c>
      <c r="Q46" s="27">
        <f t="shared" si="6"/>
        <v>10009.0683870968</v>
      </c>
      <c r="R46" s="27">
        <f t="shared" si="6"/>
        <v>7448.16838709677</v>
      </c>
      <c r="S46" s="27">
        <f t="shared" si="6"/>
        <v>5073.48838709677</v>
      </c>
      <c r="T46" s="27">
        <f t="shared" si="6"/>
        <v>7349.27838709677</v>
      </c>
      <c r="U46" s="27">
        <f t="shared" si="6"/>
        <v>-1341.54161290323</v>
      </c>
      <c r="V46" s="27">
        <f t="shared" si="6"/>
        <v>-2623.59161290323</v>
      </c>
      <c r="W46" s="27">
        <f t="shared" si="6"/>
        <v>9509.39838709677</v>
      </c>
      <c r="X46" s="27">
        <f t="shared" si="6"/>
        <v>14289.4583870968</v>
      </c>
      <c r="Y46" s="27">
        <f t="shared" si="6"/>
        <v>20620.4583870968</v>
      </c>
      <c r="Z46" s="27">
        <f t="shared" si="6"/>
        <v>17613.2783870968</v>
      </c>
      <c r="AA46" s="27">
        <f t="shared" si="6"/>
        <v>18613.7383870968</v>
      </c>
      <c r="AB46" s="27">
        <f t="shared" si="6"/>
        <v>10030.6583870968</v>
      </c>
      <c r="AC46" s="27">
        <f t="shared" si="6"/>
        <v>10387.7983870968</v>
      </c>
      <c r="AD46" s="27">
        <f t="shared" si="6"/>
        <v>14109.7983870968</v>
      </c>
      <c r="AE46" s="27">
        <f t="shared" si="6"/>
        <v>19185.8583870968</v>
      </c>
      <c r="AF46" s="27">
        <f t="shared" si="6"/>
        <v>17861.3983870968</v>
      </c>
      <c r="AG46" s="27">
        <f t="shared" si="6"/>
        <v>14797.2283870968</v>
      </c>
      <c r="AH46" s="27">
        <f>ROUND(AH31-AH45,2)</f>
        <v>-53894.75</v>
      </c>
    </row>
    <row r="47" s="9" customFormat="1" ht="184" customHeight="1" spans="1:35">
      <c r="A47" s="103" t="s">
        <v>48</v>
      </c>
      <c r="B47" s="103"/>
      <c r="C47" s="48" t="s">
        <v>107</v>
      </c>
      <c r="D47" s="48"/>
      <c r="E47" s="48"/>
      <c r="F47" s="48" t="s">
        <v>108</v>
      </c>
      <c r="G47" s="48"/>
      <c r="H47" s="48"/>
      <c r="I47" s="117"/>
      <c r="J47" s="48"/>
      <c r="K47" s="48"/>
      <c r="L47" s="48"/>
      <c r="M47" s="48"/>
      <c r="N47" s="48"/>
      <c r="O47" s="51"/>
      <c r="P47" s="51"/>
      <c r="Q47" s="51"/>
      <c r="R47" s="51"/>
      <c r="S47" s="51"/>
      <c r="T47" s="51"/>
      <c r="U47" s="51" t="s">
        <v>109</v>
      </c>
      <c r="V47" s="48" t="s">
        <v>110</v>
      </c>
      <c r="W47" s="51"/>
      <c r="X47" s="51"/>
      <c r="Y47" s="118"/>
      <c r="Z47" s="119" t="s">
        <v>111</v>
      </c>
      <c r="AA47" s="51" t="s">
        <v>112</v>
      </c>
      <c r="AB47" s="48"/>
      <c r="AC47" s="48"/>
      <c r="AD47" s="48"/>
      <c r="AE47" s="48"/>
      <c r="AF47" s="48"/>
      <c r="AG47" s="114"/>
      <c r="AH47" s="53"/>
    </row>
    <row r="48" customFormat="1" ht="15.6" spans="1:35">
      <c r="A48" s="104" t="s">
        <v>58</v>
      </c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9"/>
    </row>
    <row r="49" customFormat="1" ht="18" customHeight="1" spans="1:35">
      <c r="A49" s="9"/>
      <c r="B49" s="9"/>
      <c r="C49" s="106"/>
      <c r="D49" s="106"/>
      <c r="E49" s="106"/>
      <c r="F49" s="106"/>
      <c r="G49" s="106"/>
      <c r="H49" s="107"/>
      <c r="I49" s="108"/>
      <c r="J49" s="108"/>
      <c r="K49" s="108"/>
      <c r="L49" s="108"/>
      <c r="M49" s="10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customFormat="1" ht="18" customHeight="1" spans="1:35">
      <c r="A50" s="9"/>
      <c r="B50" s="9"/>
      <c r="AB50" s="109" t="s">
        <v>59</v>
      </c>
      <c r="AC50" s="109"/>
      <c r="AD50" s="109"/>
      <c r="AE50" s="109"/>
      <c r="AF50" s="109"/>
      <c r="AG50" s="9"/>
      <c r="AH50" s="9"/>
      <c r="AI50" s="9"/>
    </row>
    <row r="51" customFormat="1" ht="18" customHeight="1" spans="1:35">
      <c r="A51" s="9"/>
      <c r="B51" s="9"/>
      <c r="AB51" s="109" t="s">
        <v>60</v>
      </c>
      <c r="AC51" s="109"/>
      <c r="AD51" s="109" t="s">
        <v>61</v>
      </c>
      <c r="AE51" s="109"/>
      <c r="AF51" s="109"/>
      <c r="AG51" s="9"/>
      <c r="AH51" s="9"/>
      <c r="AI51" s="9"/>
    </row>
    <row r="52" customFormat="1" ht="18" customHeight="1" spans="1:35">
      <c r="A52" s="9"/>
      <c r="B52" s="9"/>
      <c r="AB52" s="109" t="s">
        <v>62</v>
      </c>
      <c r="AC52" s="109"/>
      <c r="AD52" s="110">
        <v>45961</v>
      </c>
      <c r="AE52" s="110"/>
      <c r="AF52" s="110"/>
      <c r="AG52" s="9"/>
      <c r="AH52" s="9"/>
      <c r="AI52" s="9"/>
    </row>
    <row r="53" customFormat="1" ht="18" customHeight="1" spans="1:35">
      <c r="A53" s="9"/>
      <c r="B53" s="9"/>
      <c r="AB53" s="109" t="s">
        <v>63</v>
      </c>
      <c r="AC53" s="109"/>
      <c r="AD53" s="109">
        <v>23</v>
      </c>
      <c r="AE53" s="109"/>
      <c r="AF53" s="109"/>
      <c r="AG53" s="9"/>
      <c r="AH53" s="9"/>
      <c r="AI53" s="9"/>
    </row>
    <row r="54" customFormat="1" ht="18" customHeight="1" spans="1:35">
      <c r="A54" s="9"/>
      <c r="B54" s="9"/>
      <c r="AB54" s="109" t="s">
        <v>64</v>
      </c>
      <c r="AC54" s="109"/>
      <c r="AD54" s="109">
        <v>284</v>
      </c>
      <c r="AE54" s="109"/>
      <c r="AF54" s="109"/>
      <c r="AG54" s="9"/>
      <c r="AH54" s="9"/>
      <c r="AI54" s="9"/>
    </row>
    <row r="55" customFormat="1" ht="18" customHeight="1" spans="1:35">
      <c r="A55" s="105"/>
      <c r="B55" s="105"/>
      <c r="AB55" s="109" t="s">
        <v>65</v>
      </c>
      <c r="AC55" s="109"/>
      <c r="AD55" s="109">
        <v>83</v>
      </c>
      <c r="AE55" s="109"/>
      <c r="AF55" s="109"/>
      <c r="AG55" s="105"/>
      <c r="AH55" s="105"/>
      <c r="AI55" s="9"/>
    </row>
    <row r="56" customFormat="1" ht="18" customHeight="1" spans="1:35">
      <c r="A56" s="9"/>
      <c r="B56" s="9"/>
      <c r="AB56" s="111" t="s">
        <v>20</v>
      </c>
      <c r="AC56" s="111"/>
      <c r="AD56" s="111">
        <v>390</v>
      </c>
      <c r="AE56" s="111"/>
      <c r="AF56" s="111"/>
      <c r="AG56" s="9"/>
      <c r="AH56" s="9"/>
      <c r="AI56" s="9"/>
    </row>
    <row r="57" customFormat="1" ht="18" customHeight="1" spans="1:35">
      <c r="A57" s="9"/>
      <c r="B57" s="9"/>
      <c r="AB57" s="109" t="s">
        <v>5</v>
      </c>
      <c r="AC57" s="109"/>
      <c r="AD57" s="109">
        <v>973133</v>
      </c>
      <c r="AE57" s="109"/>
      <c r="AF57" s="109"/>
      <c r="AG57" s="9"/>
      <c r="AH57" s="9"/>
      <c r="AI57" s="9"/>
    </row>
    <row r="58" customFormat="1" ht="18" customHeight="1" spans="1:35">
      <c r="A58" s="9"/>
      <c r="B58" s="9"/>
      <c r="AB58" s="109" t="s">
        <v>21</v>
      </c>
      <c r="AC58" s="109"/>
      <c r="AD58" s="109">
        <v>4189</v>
      </c>
      <c r="AE58" s="109"/>
      <c r="AF58" s="109"/>
      <c r="AG58" s="9"/>
      <c r="AH58" s="9"/>
      <c r="AI58" s="9"/>
    </row>
    <row r="59" customFormat="1" spans="1:35">
      <c r="A59" s="9"/>
      <c r="B59" s="9"/>
      <c r="AB59" s="109" t="s">
        <v>23</v>
      </c>
      <c r="AC59" s="109"/>
      <c r="AD59" s="112">
        <v>232.306755788971</v>
      </c>
      <c r="AE59" s="112"/>
      <c r="AF59" s="112"/>
      <c r="AG59" s="9"/>
      <c r="AH59" s="9"/>
      <c r="AI59" s="9"/>
    </row>
    <row r="60" customFormat="1" spans="1:35">
      <c r="A60" s="9"/>
      <c r="B60" s="9"/>
      <c r="C60" s="113"/>
      <c r="AF60" s="9"/>
      <c r="AG60" s="9"/>
      <c r="AH60" s="9"/>
      <c r="AI60" s="9"/>
    </row>
  </sheetData>
  <mergeCells count="30">
    <mergeCell ref="A3:B3"/>
    <mergeCell ref="A11:B11"/>
    <mergeCell ref="A17:B17"/>
    <mergeCell ref="A18:B18"/>
    <mergeCell ref="A29:B29"/>
    <mergeCell ref="A30:B30"/>
    <mergeCell ref="A31:B31"/>
    <mergeCell ref="A45:B45"/>
    <mergeCell ref="A46:B46"/>
    <mergeCell ref="A47:B47"/>
    <mergeCell ref="C49:G49"/>
    <mergeCell ref="AB50:AF50"/>
    <mergeCell ref="AB51:AC51"/>
    <mergeCell ref="AD51:AF51"/>
    <mergeCell ref="AB52:AC52"/>
    <mergeCell ref="AD52:AF52"/>
    <mergeCell ref="AB53:AC53"/>
    <mergeCell ref="AD53:AF53"/>
    <mergeCell ref="AB54:AC54"/>
    <mergeCell ref="AD54:AF54"/>
    <mergeCell ref="AB55:AC55"/>
    <mergeCell ref="AD55:AF55"/>
    <mergeCell ref="AB56:AC56"/>
    <mergeCell ref="AD56:AF56"/>
    <mergeCell ref="AB57:AC57"/>
    <mergeCell ref="AD57:AF57"/>
    <mergeCell ref="AB58:AC58"/>
    <mergeCell ref="AD58:AF58"/>
    <mergeCell ref="AB59:AC59"/>
    <mergeCell ref="AD59:AF59"/>
  </mergeCell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A1" sqref="$A1:$XFD1048576"/>
    </sheetView>
  </sheetViews>
  <sheetFormatPr defaultColWidth="19.3703703703704" defaultRowHeight="14.4"/>
  <cols>
    <col min="1" max="1" width="9.62962962962963" style="62" customWidth="1"/>
    <col min="2" max="9" width="19.3703703703704" style="62" customWidth="1"/>
    <col min="10" max="10" width="12.3703703703704" style="62" customWidth="1"/>
    <col min="11" max="16384" width="19.3703703703704" style="62" customWidth="1"/>
  </cols>
  <sheetData>
    <row r="1" s="62" customFormat="1" ht="32.4" spans="1:10">
      <c r="A1" s="63" t="s">
        <v>66</v>
      </c>
      <c r="B1" s="64" t="s">
        <v>67</v>
      </c>
      <c r="C1" s="64" t="s">
        <v>68</v>
      </c>
      <c r="D1" s="64" t="s">
        <v>69</v>
      </c>
      <c r="E1" s="65" t="s">
        <v>70</v>
      </c>
      <c r="F1" s="66" t="s">
        <v>71</v>
      </c>
    </row>
    <row r="2" s="62" customFormat="1" ht="15.6" spans="1:10">
      <c r="A2" s="67">
        <v>45931</v>
      </c>
      <c r="B2" s="68">
        <v>309441</v>
      </c>
      <c r="C2" s="68">
        <v>497649</v>
      </c>
      <c r="D2" s="68">
        <v>25885</v>
      </c>
      <c r="E2" s="69">
        <v>60690</v>
      </c>
      <c r="F2" s="68">
        <f t="shared" ref="F2:F32" si="0">SUM(B2:D2)-E2</f>
        <v>772285</v>
      </c>
    </row>
    <row r="3" s="62" customFormat="1" ht="15.6" spans="1:10">
      <c r="A3" s="67">
        <f t="shared" ref="A3:A32" si="1">A2+1</f>
        <v>45932</v>
      </c>
      <c r="B3" s="68">
        <v>301206</v>
      </c>
      <c r="C3" s="68">
        <v>456701</v>
      </c>
      <c r="D3" s="68">
        <v>21824</v>
      </c>
      <c r="E3" s="69">
        <v>44863</v>
      </c>
      <c r="F3" s="68">
        <f t="shared" si="0"/>
        <v>734868</v>
      </c>
    </row>
    <row r="4" s="62" customFormat="1" ht="15.6" spans="1:10">
      <c r="A4" s="67">
        <f t="shared" si="1"/>
        <v>45933</v>
      </c>
      <c r="B4" s="68">
        <v>283644</v>
      </c>
      <c r="C4" s="68">
        <v>417045</v>
      </c>
      <c r="D4" s="68">
        <v>21315</v>
      </c>
      <c r="E4" s="69">
        <v>34391</v>
      </c>
      <c r="F4" s="68">
        <f t="shared" si="0"/>
        <v>687613</v>
      </c>
    </row>
    <row r="5" s="62" customFormat="1" ht="15.6" spans="1:10">
      <c r="A5" s="67">
        <f t="shared" si="1"/>
        <v>45934</v>
      </c>
      <c r="B5" s="68">
        <v>277536</v>
      </c>
      <c r="C5" s="68">
        <v>525677</v>
      </c>
      <c r="D5" s="68">
        <v>19773</v>
      </c>
      <c r="E5" s="69">
        <v>131733</v>
      </c>
      <c r="F5" s="68">
        <f t="shared" si="0"/>
        <v>691253</v>
      </c>
    </row>
    <row r="6" s="62" customFormat="1" ht="15.6" spans="1:10">
      <c r="A6" s="67">
        <f t="shared" si="1"/>
        <v>45935</v>
      </c>
      <c r="B6" s="68">
        <v>263347</v>
      </c>
      <c r="C6" s="68">
        <v>485457</v>
      </c>
      <c r="D6" s="68">
        <v>18933</v>
      </c>
      <c r="E6" s="69">
        <v>92939</v>
      </c>
      <c r="F6" s="68">
        <f t="shared" si="0"/>
        <v>674798</v>
      </c>
    </row>
    <row r="7" s="62" customFormat="1" ht="15.6" spans="1:10">
      <c r="A7" s="67">
        <f t="shared" si="1"/>
        <v>45936</v>
      </c>
      <c r="B7" s="68">
        <v>253920</v>
      </c>
      <c r="C7" s="68">
        <v>413029</v>
      </c>
      <c r="D7" s="68">
        <v>19297</v>
      </c>
      <c r="E7" s="69">
        <v>24395</v>
      </c>
      <c r="F7" s="68">
        <f t="shared" si="0"/>
        <v>661851</v>
      </c>
    </row>
    <row r="8" s="62" customFormat="1" ht="15.6" spans="1:10">
      <c r="A8" s="67">
        <f t="shared" si="1"/>
        <v>45937</v>
      </c>
      <c r="B8" s="68">
        <v>245630</v>
      </c>
      <c r="C8" s="68">
        <v>391136</v>
      </c>
      <c r="D8" s="68">
        <v>21130</v>
      </c>
      <c r="E8" s="69">
        <v>34034</v>
      </c>
      <c r="F8" s="68">
        <f t="shared" si="0"/>
        <v>623862</v>
      </c>
    </row>
    <row r="9" s="62" customFormat="1" ht="15.6" spans="1:10">
      <c r="A9" s="67">
        <f t="shared" si="1"/>
        <v>45938</v>
      </c>
      <c r="B9" s="68">
        <v>285295</v>
      </c>
      <c r="C9" s="68">
        <v>426596</v>
      </c>
      <c r="D9" s="68">
        <v>21676</v>
      </c>
      <c r="E9" s="69">
        <v>17969</v>
      </c>
      <c r="F9" s="68">
        <f t="shared" si="0"/>
        <v>715598</v>
      </c>
      <c r="I9" s="57"/>
      <c r="J9" s="57"/>
    </row>
    <row r="10" s="62" customFormat="1" ht="15.6" spans="1:10">
      <c r="A10" s="67">
        <f t="shared" si="1"/>
        <v>45939</v>
      </c>
      <c r="B10" s="68">
        <v>304168</v>
      </c>
      <c r="C10" s="68">
        <v>479039</v>
      </c>
      <c r="D10" s="68">
        <v>27382</v>
      </c>
      <c r="E10" s="69">
        <v>24752</v>
      </c>
      <c r="F10" s="68">
        <f t="shared" si="0"/>
        <v>785837</v>
      </c>
      <c r="I10" s="57"/>
      <c r="J10" s="57"/>
    </row>
    <row r="11" s="62" customFormat="1" ht="15.6" spans="1:10">
      <c r="A11" s="67">
        <f t="shared" si="1"/>
        <v>45940</v>
      </c>
      <c r="B11" s="68">
        <v>329484</v>
      </c>
      <c r="C11" s="68">
        <v>551571</v>
      </c>
      <c r="D11" s="68">
        <v>34021</v>
      </c>
      <c r="E11" s="69">
        <v>61047</v>
      </c>
      <c r="F11" s="68">
        <f t="shared" si="0"/>
        <v>854029</v>
      </c>
      <c r="I11" s="57"/>
      <c r="J11" s="57"/>
    </row>
    <row r="12" s="62" customFormat="1" ht="15.6" spans="1:10">
      <c r="A12" s="67">
        <f t="shared" si="1"/>
        <v>45941</v>
      </c>
      <c r="B12" s="68">
        <v>361460</v>
      </c>
      <c r="C12" s="68">
        <v>693595</v>
      </c>
      <c r="D12" s="68">
        <v>29156</v>
      </c>
      <c r="E12" s="69">
        <v>175763</v>
      </c>
      <c r="F12" s="68">
        <f t="shared" si="0"/>
        <v>908448</v>
      </c>
      <c r="I12" s="57"/>
      <c r="J12" s="57"/>
    </row>
    <row r="13" s="62" customFormat="1" ht="15.6" spans="1:10">
      <c r="A13" s="67">
        <f t="shared" si="1"/>
        <v>45942</v>
      </c>
      <c r="B13" s="68">
        <v>344457</v>
      </c>
      <c r="C13" s="68">
        <v>655668</v>
      </c>
      <c r="D13" s="68">
        <v>25569</v>
      </c>
      <c r="E13" s="69">
        <v>130186</v>
      </c>
      <c r="F13" s="68">
        <f t="shared" si="0"/>
        <v>895508</v>
      </c>
      <c r="I13" s="57"/>
      <c r="J13" s="57"/>
    </row>
    <row r="14" s="62" customFormat="1" ht="15.6" spans="1:10">
      <c r="A14" s="67">
        <f t="shared" si="1"/>
        <v>45943</v>
      </c>
      <c r="B14" s="68">
        <v>351272</v>
      </c>
      <c r="C14" s="68">
        <v>657966</v>
      </c>
      <c r="D14" s="68">
        <v>30761</v>
      </c>
      <c r="E14" s="69">
        <v>131614</v>
      </c>
      <c r="F14" s="68">
        <f t="shared" si="0"/>
        <v>908385</v>
      </c>
      <c r="I14" s="57"/>
      <c r="J14" s="57"/>
    </row>
    <row r="15" s="62" customFormat="1" ht="15.6" spans="1:10">
      <c r="A15" s="67">
        <f t="shared" si="1"/>
        <v>45944</v>
      </c>
      <c r="B15" s="68">
        <v>349567</v>
      </c>
      <c r="C15" s="68">
        <v>578107</v>
      </c>
      <c r="D15" s="68">
        <v>33423</v>
      </c>
      <c r="E15" s="69">
        <v>66045</v>
      </c>
      <c r="F15" s="68">
        <f t="shared" si="0"/>
        <v>895052</v>
      </c>
      <c r="I15" s="57"/>
      <c r="J15" s="57"/>
    </row>
    <row r="16" s="62" customFormat="1" ht="15.6" spans="1:10">
      <c r="A16" s="67">
        <f t="shared" si="1"/>
        <v>45945</v>
      </c>
      <c r="B16" s="68">
        <v>361140</v>
      </c>
      <c r="C16" s="68">
        <v>612106</v>
      </c>
      <c r="D16" s="68">
        <v>35243</v>
      </c>
      <c r="E16" s="69">
        <v>60928</v>
      </c>
      <c r="F16" s="68">
        <f t="shared" si="0"/>
        <v>947561</v>
      </c>
      <c r="I16" s="57"/>
      <c r="J16" s="57"/>
    </row>
    <row r="17" s="62" customFormat="1" ht="15.6" spans="1:10">
      <c r="A17" s="67">
        <f t="shared" si="1"/>
        <v>45946</v>
      </c>
      <c r="B17" s="68">
        <v>344694</v>
      </c>
      <c r="C17" s="68">
        <v>618700</v>
      </c>
      <c r="D17" s="68">
        <v>32661</v>
      </c>
      <c r="E17" s="69">
        <v>79135</v>
      </c>
      <c r="F17" s="68">
        <f t="shared" si="0"/>
        <v>916920</v>
      </c>
      <c r="I17" s="57"/>
      <c r="J17" s="57"/>
    </row>
    <row r="18" s="62" customFormat="1" ht="15.6" spans="1:10">
      <c r="A18" s="67">
        <f t="shared" si="1"/>
        <v>45947</v>
      </c>
      <c r="B18" s="70">
        <v>352256</v>
      </c>
      <c r="C18" s="70">
        <v>626182</v>
      </c>
      <c r="D18" s="70">
        <v>35446</v>
      </c>
      <c r="E18" s="71">
        <v>93772</v>
      </c>
      <c r="F18" s="68">
        <f t="shared" si="0"/>
        <v>920112</v>
      </c>
      <c r="I18" s="57"/>
      <c r="J18" s="57"/>
    </row>
    <row r="19" s="62" customFormat="1" ht="15.6" spans="1:10">
      <c r="A19" s="67">
        <f t="shared" si="1"/>
        <v>45948</v>
      </c>
      <c r="B19" s="70">
        <v>366139</v>
      </c>
      <c r="C19" s="70">
        <v>692692</v>
      </c>
      <c r="D19" s="68">
        <v>28707</v>
      </c>
      <c r="E19" s="69">
        <v>169575</v>
      </c>
      <c r="F19" s="68">
        <f t="shared" si="0"/>
        <v>917963</v>
      </c>
    </row>
    <row r="20" s="62" customFormat="1" ht="15.6" spans="1:10">
      <c r="A20" s="67">
        <f t="shared" si="1"/>
        <v>45949</v>
      </c>
      <c r="B20" s="68">
        <v>330850</v>
      </c>
      <c r="C20" s="68">
        <v>646686</v>
      </c>
      <c r="D20" s="68">
        <v>26550</v>
      </c>
      <c r="E20" s="69">
        <v>147441</v>
      </c>
      <c r="F20" s="68">
        <f t="shared" si="0"/>
        <v>856645</v>
      </c>
      <c r="H20" s="72"/>
    </row>
    <row r="21" s="62" customFormat="1" ht="15.6" spans="1:10">
      <c r="A21" s="67">
        <f t="shared" si="1"/>
        <v>45950</v>
      </c>
      <c r="B21" s="68">
        <v>323973</v>
      </c>
      <c r="C21" s="68">
        <v>544359</v>
      </c>
      <c r="D21" s="68">
        <v>31558</v>
      </c>
      <c r="E21" s="69">
        <v>53074</v>
      </c>
      <c r="F21" s="68">
        <f t="shared" si="0"/>
        <v>846816</v>
      </c>
    </row>
    <row r="22" s="62" customFormat="1" ht="15.6" spans="1:10">
      <c r="A22" s="67">
        <f t="shared" si="1"/>
        <v>45951</v>
      </c>
      <c r="B22" s="68">
        <v>384251</v>
      </c>
      <c r="C22" s="68">
        <v>611415</v>
      </c>
      <c r="D22" s="68">
        <v>39206</v>
      </c>
      <c r="E22" s="69">
        <v>75327</v>
      </c>
      <c r="F22" s="68">
        <f t="shared" si="0"/>
        <v>959545</v>
      </c>
    </row>
    <row r="23" s="62" customFormat="1" ht="15.6" spans="1:10">
      <c r="A23" s="67">
        <f t="shared" si="1"/>
        <v>45952</v>
      </c>
      <c r="B23" s="68">
        <v>414329</v>
      </c>
      <c r="C23" s="68">
        <v>629256</v>
      </c>
      <c r="D23" s="68">
        <v>36045</v>
      </c>
      <c r="E23" s="69">
        <v>67830</v>
      </c>
      <c r="F23" s="68">
        <f t="shared" si="0"/>
        <v>1011800</v>
      </c>
    </row>
    <row r="24" s="62" customFormat="1" ht="15.6" spans="1:10">
      <c r="A24" s="67">
        <f t="shared" si="1"/>
        <v>45953</v>
      </c>
      <c r="B24" s="68">
        <v>431844</v>
      </c>
      <c r="C24" s="68">
        <v>692139</v>
      </c>
      <c r="D24" s="68">
        <v>31983</v>
      </c>
      <c r="E24" s="69">
        <v>70448</v>
      </c>
      <c r="F24" s="68">
        <f t="shared" si="0"/>
        <v>1085518</v>
      </c>
    </row>
    <row r="25" s="62" customFormat="1" ht="15.6" spans="1:10">
      <c r="A25" s="67">
        <f t="shared" si="1"/>
        <v>45954</v>
      </c>
      <c r="B25" s="68">
        <v>425805</v>
      </c>
      <c r="C25" s="68">
        <v>679136</v>
      </c>
      <c r="D25" s="68">
        <v>37631</v>
      </c>
      <c r="E25" s="69">
        <v>80563</v>
      </c>
      <c r="F25" s="68">
        <f t="shared" si="0"/>
        <v>1062009</v>
      </c>
    </row>
    <row r="26" s="62" customFormat="1" ht="15.6" spans="1:10">
      <c r="A26" s="67">
        <f t="shared" si="1"/>
        <v>45955</v>
      </c>
      <c r="B26" s="68">
        <v>434081</v>
      </c>
      <c r="C26" s="68">
        <v>773336</v>
      </c>
      <c r="D26" s="68">
        <v>32980</v>
      </c>
      <c r="E26" s="69">
        <v>189210</v>
      </c>
      <c r="F26" s="68">
        <f t="shared" si="0"/>
        <v>1051187</v>
      </c>
    </row>
    <row r="27" s="62" customFormat="1" ht="15.6" spans="1:10">
      <c r="A27" s="67">
        <f t="shared" si="1"/>
        <v>45956</v>
      </c>
      <c r="B27" s="68">
        <v>371336</v>
      </c>
      <c r="C27" s="68">
        <v>703485</v>
      </c>
      <c r="D27" s="68">
        <v>26961</v>
      </c>
      <c r="E27" s="69">
        <v>146695</v>
      </c>
      <c r="F27" s="68">
        <f t="shared" si="0"/>
        <v>955087</v>
      </c>
    </row>
    <row r="28" s="62" customFormat="1" ht="15.6" spans="1:10">
      <c r="A28" s="67">
        <f t="shared" si="1"/>
        <v>45957</v>
      </c>
      <c r="B28" s="68">
        <v>385161</v>
      </c>
      <c r="C28" s="68">
        <v>601214</v>
      </c>
      <c r="D28" s="68">
        <v>32472</v>
      </c>
      <c r="E28" s="69">
        <v>70210</v>
      </c>
      <c r="F28" s="68">
        <f t="shared" si="0"/>
        <v>948637</v>
      </c>
    </row>
    <row r="29" s="62" customFormat="1" ht="15.6" spans="1:10">
      <c r="A29" s="67">
        <f t="shared" si="1"/>
        <v>45958</v>
      </c>
      <c r="B29" s="68">
        <v>374263</v>
      </c>
      <c r="C29" s="68">
        <v>601343</v>
      </c>
      <c r="D29" s="68">
        <v>35069</v>
      </c>
      <c r="E29" s="69">
        <v>36652</v>
      </c>
      <c r="F29" s="68">
        <f t="shared" si="0"/>
        <v>974023</v>
      </c>
    </row>
    <row r="30" s="62" customFormat="1" ht="15.6" spans="1:10">
      <c r="A30" s="67">
        <f t="shared" si="1"/>
        <v>45959</v>
      </c>
      <c r="B30" s="68">
        <v>421308</v>
      </c>
      <c r="C30" s="68">
        <v>618675</v>
      </c>
      <c r="D30" s="68">
        <v>38125</v>
      </c>
      <c r="E30" s="69">
        <v>45934</v>
      </c>
      <c r="F30" s="68">
        <f t="shared" si="0"/>
        <v>1032174</v>
      </c>
    </row>
    <row r="31" s="62" customFormat="1" ht="15.6" spans="1:10">
      <c r="A31" s="67">
        <f t="shared" si="1"/>
        <v>45960</v>
      </c>
      <c r="B31" s="68">
        <v>408416</v>
      </c>
      <c r="C31" s="68">
        <v>628722</v>
      </c>
      <c r="D31" s="68">
        <v>37519</v>
      </c>
      <c r="E31" s="69">
        <v>64379</v>
      </c>
      <c r="F31" s="68">
        <f t="shared" si="0"/>
        <v>1010278</v>
      </c>
    </row>
    <row r="32" s="62" customFormat="1" ht="15.6" spans="1:10">
      <c r="A32" s="67">
        <f t="shared" si="1"/>
        <v>45961</v>
      </c>
      <c r="B32" s="68">
        <v>399192</v>
      </c>
      <c r="C32" s="68">
        <v>611959</v>
      </c>
      <c r="D32" s="68">
        <v>35762</v>
      </c>
      <c r="E32" s="69">
        <v>73780</v>
      </c>
      <c r="F32" s="68">
        <f t="shared" si="0"/>
        <v>973133</v>
      </c>
    </row>
    <row r="33" s="62" customFormat="1" ht="15.6" spans="1:6">
      <c r="A33" s="68" t="s">
        <v>71</v>
      </c>
      <c r="B33" s="68">
        <f t="shared" ref="B33:F33" si="2">SUM(B2:B32)</f>
        <v>10789465</v>
      </c>
      <c r="C33" s="68">
        <f t="shared" si="2"/>
        <v>18120641</v>
      </c>
      <c r="D33" s="68">
        <f t="shared" si="2"/>
        <v>924063</v>
      </c>
      <c r="E33" s="69">
        <f t="shared" si="2"/>
        <v>2555374</v>
      </c>
      <c r="F33" s="68">
        <f t="shared" si="2"/>
        <v>27278795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1"/>
  <sheetViews>
    <sheetView workbookViewId="0">
      <selection activeCell="A1" sqref="$A1:$XFD1048576"/>
    </sheetView>
  </sheetViews>
  <sheetFormatPr defaultColWidth="9" defaultRowHeight="14.4"/>
  <cols>
    <col min="1" max="1" width="14.25" style="9" customWidth="1"/>
    <col min="2" max="2" width="18.75" style="9" customWidth="1"/>
    <col min="3" max="3" width="11.6296296296296" style="9" hidden="1" customWidth="1"/>
    <col min="4" max="4" width="12.1296296296296" style="9" hidden="1" customWidth="1"/>
    <col min="5" max="15" width="10.212962962963" style="9" hidden="1" customWidth="1"/>
    <col min="16" max="16" width="10.6296296296296" style="9" hidden="1" customWidth="1"/>
    <col min="17" max="21" width="10.212962962963" style="9" hidden="1" customWidth="1"/>
    <col min="22" max="22" width="11.6296296296296" style="9" hidden="1" customWidth="1"/>
    <col min="23" max="23" width="10.212962962963" style="9" customWidth="1"/>
    <col min="24" max="24" width="11.4814814814815" style="9" customWidth="1"/>
    <col min="25" max="27" width="10.212962962963" style="9" customWidth="1"/>
    <col min="28" max="28" width="11.6296296296296" style="9" customWidth="1"/>
    <col min="29" max="32" width="10.212962962963" style="9" customWidth="1"/>
    <col min="33" max="33" width="10.212962962963" style="9" hidden="1" customWidth="1"/>
    <col min="34" max="34" width="13.8796296296296" style="9" customWidth="1"/>
    <col min="35" max="35" width="12.787037037037" style="9"/>
    <col min="36" max="36" width="12.6296296296296"/>
    <col min="38" max="39" width="12.6296296296296"/>
  </cols>
  <sheetData>
    <row r="1" customFormat="1" ht="17.4" spans="1:35">
      <c r="A1" s="73" t="s">
        <v>113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9"/>
    </row>
    <row r="2" customFormat="1" ht="17.4" spans="1:35">
      <c r="A2" s="74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9"/>
    </row>
    <row r="3" s="7" customFormat="1" ht="15.6" spans="1:35">
      <c r="A3" s="14" t="s">
        <v>1</v>
      </c>
      <c r="B3" s="14"/>
      <c r="C3" s="15">
        <v>45962</v>
      </c>
      <c r="D3" s="15">
        <f t="shared" ref="D3:AG3" si="0">C3+1</f>
        <v>45963</v>
      </c>
      <c r="E3" s="15">
        <f t="shared" si="0"/>
        <v>45964</v>
      </c>
      <c r="F3" s="15">
        <f t="shared" si="0"/>
        <v>45965</v>
      </c>
      <c r="G3" s="15">
        <f t="shared" si="0"/>
        <v>45966</v>
      </c>
      <c r="H3" s="15">
        <f t="shared" si="0"/>
        <v>45967</v>
      </c>
      <c r="I3" s="15">
        <f t="shared" si="0"/>
        <v>45968</v>
      </c>
      <c r="J3" s="15">
        <f t="shared" si="0"/>
        <v>45969</v>
      </c>
      <c r="K3" s="15">
        <f t="shared" si="0"/>
        <v>45970</v>
      </c>
      <c r="L3" s="15">
        <f t="shared" si="0"/>
        <v>45971</v>
      </c>
      <c r="M3" s="15">
        <f t="shared" si="0"/>
        <v>45972</v>
      </c>
      <c r="N3" s="15">
        <f t="shared" si="0"/>
        <v>45973</v>
      </c>
      <c r="O3" s="15">
        <f t="shared" si="0"/>
        <v>45974</v>
      </c>
      <c r="P3" s="15">
        <f t="shared" si="0"/>
        <v>45975</v>
      </c>
      <c r="Q3" s="15">
        <f t="shared" si="0"/>
        <v>45976</v>
      </c>
      <c r="R3" s="15">
        <f t="shared" si="0"/>
        <v>45977</v>
      </c>
      <c r="S3" s="15">
        <f t="shared" si="0"/>
        <v>45978</v>
      </c>
      <c r="T3" s="15">
        <f t="shared" si="0"/>
        <v>45979</v>
      </c>
      <c r="U3" s="15">
        <f t="shared" si="0"/>
        <v>45980</v>
      </c>
      <c r="V3" s="15">
        <f t="shared" si="0"/>
        <v>45981</v>
      </c>
      <c r="W3" s="15">
        <f t="shared" si="0"/>
        <v>45982</v>
      </c>
      <c r="X3" s="15">
        <f t="shared" si="0"/>
        <v>45983</v>
      </c>
      <c r="Y3" s="15">
        <f t="shared" si="0"/>
        <v>45984</v>
      </c>
      <c r="Z3" s="15">
        <f t="shared" si="0"/>
        <v>45985</v>
      </c>
      <c r="AA3" s="15">
        <f t="shared" si="0"/>
        <v>45986</v>
      </c>
      <c r="AB3" s="15">
        <f t="shared" si="0"/>
        <v>45987</v>
      </c>
      <c r="AC3" s="15">
        <f t="shared" si="0"/>
        <v>45988</v>
      </c>
      <c r="AD3" s="15">
        <f t="shared" si="0"/>
        <v>45989</v>
      </c>
      <c r="AE3" s="15">
        <f t="shared" si="0"/>
        <v>45990</v>
      </c>
      <c r="AF3" s="15">
        <f t="shared" si="0"/>
        <v>45991</v>
      </c>
      <c r="AG3" s="15">
        <f t="shared" si="0"/>
        <v>45992</v>
      </c>
      <c r="AH3" s="76" t="s">
        <v>2</v>
      </c>
    </row>
    <row r="4" s="7" customFormat="1" ht="15.6" spans="1:35">
      <c r="A4" s="14"/>
      <c r="B4" s="14"/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  <c r="K4" s="17" t="s">
        <v>3</v>
      </c>
      <c r="L4" s="17" t="s">
        <v>3</v>
      </c>
      <c r="M4" s="17" t="s">
        <v>3</v>
      </c>
      <c r="N4" s="17" t="s">
        <v>3</v>
      </c>
      <c r="O4" s="17" t="s">
        <v>3</v>
      </c>
      <c r="P4" s="17" t="s">
        <v>3</v>
      </c>
      <c r="Q4" s="17" t="s">
        <v>3</v>
      </c>
      <c r="R4" s="17" t="s">
        <v>3</v>
      </c>
      <c r="S4" s="17" t="s">
        <v>3</v>
      </c>
      <c r="T4" s="17" t="s">
        <v>3</v>
      </c>
      <c r="U4" s="17" t="s">
        <v>3</v>
      </c>
      <c r="V4" s="17" t="s">
        <v>3</v>
      </c>
      <c r="W4" s="17" t="s">
        <v>3</v>
      </c>
      <c r="X4" s="17" t="s">
        <v>3</v>
      </c>
      <c r="Y4" s="17" t="s">
        <v>3</v>
      </c>
      <c r="Z4" s="17" t="s">
        <v>3</v>
      </c>
      <c r="AA4" s="17" t="s">
        <v>3</v>
      </c>
      <c r="AB4" s="17" t="s">
        <v>3</v>
      </c>
      <c r="AC4" s="17" t="s">
        <v>3</v>
      </c>
      <c r="AD4" s="17" t="s">
        <v>3</v>
      </c>
      <c r="AE4" s="17" t="s">
        <v>3</v>
      </c>
      <c r="AF4" s="17" t="s">
        <v>3</v>
      </c>
      <c r="AG4" s="17" t="s">
        <v>3</v>
      </c>
      <c r="AH4" s="17" t="s">
        <v>3</v>
      </c>
    </row>
    <row r="5" customFormat="1" spans="1:35">
      <c r="A5" s="77" t="s">
        <v>4</v>
      </c>
      <c r="B5" s="78" t="s">
        <v>5</v>
      </c>
      <c r="C5" s="79">
        <f>SUMIFS('25年11月处理量'!$F:$F,'25年11月处理量'!$A:$A,C3)</f>
        <v>940289</v>
      </c>
      <c r="D5" s="79">
        <f>SUMIFS('25年11月处理量'!$F:$F,'25年11月处理量'!$A:$A,D3)</f>
        <v>989117</v>
      </c>
      <c r="E5" s="79">
        <f>SUMIFS('25年11月处理量'!$F:$F,'25年11月处理量'!$A:$A,E3)</f>
        <v>930157</v>
      </c>
      <c r="F5" s="79">
        <f>SUMIFS('25年11月处理量'!$F:$F,'25年11月处理量'!$A:$A,F3)</f>
        <v>967438</v>
      </c>
      <c r="G5" s="79">
        <f>SUMIFS('25年11月处理量'!$F:$F,'25年11月处理量'!$A:$A,G3)</f>
        <v>985855</v>
      </c>
      <c r="H5" s="79">
        <f>SUMIFS('25年11月处理量'!$F:$F,'25年11月处理量'!$A:$A,H3)</f>
        <v>1003059</v>
      </c>
      <c r="I5" s="79">
        <f>SUMIFS('25年11月处理量'!$F:$F,'25年11月处理量'!$A:$A,I3)</f>
        <v>987677</v>
      </c>
      <c r="J5" s="79">
        <f>SUMIFS('25年11月处理量'!$F:$F,'25年11月处理量'!$A:$A,J3)</f>
        <v>965339</v>
      </c>
      <c r="K5" s="79">
        <f>SUMIFS('25年11月处理量'!$F:$F,'25年11月处理量'!$A:$A,K3)</f>
        <v>915809</v>
      </c>
      <c r="L5" s="79">
        <f>SUMIFS('25年11月处理量'!$F:$F,'25年11月处理量'!$A:$A,L3)</f>
        <v>969825</v>
      </c>
      <c r="M5" s="79">
        <f>SUMIFS('25年11月处理量'!$F:$F,'25年11月处理量'!$A:$A,M3)</f>
        <v>960703</v>
      </c>
      <c r="N5" s="79">
        <f>SUMIFS('25年11月处理量'!$F:$F,'25年11月处理量'!$A:$A,N3)</f>
        <v>1056184</v>
      </c>
      <c r="O5" s="79">
        <f>SUMIFS('25年11月处理量'!$F:$F,'25年11月处理量'!$A:$A,O3)</f>
        <v>1052308</v>
      </c>
      <c r="P5" s="79">
        <f>SUMIFS('25年11月处理量'!$F:$F,'25年11月处理量'!$A:$A,P3)</f>
        <v>1060478</v>
      </c>
      <c r="Q5" s="79">
        <f>SUMIFS('25年11月处理量'!$F:$F,'25年11月处理量'!$A:$A,Q3)</f>
        <v>967534</v>
      </c>
      <c r="R5" s="79">
        <f>SUMIFS('25年11月处理量'!$F:$F,'25年11月处理量'!$A:$A,R3)</f>
        <v>902419</v>
      </c>
      <c r="S5" s="79">
        <f>SUMIFS('25年11月处理量'!$F:$F,'25年11月处理量'!$A:$A,S3)</f>
        <v>877841</v>
      </c>
      <c r="T5" s="79">
        <f>SUMIFS('25年11月处理量'!$F:$F,'25年11月处理量'!$A:$A,T3)</f>
        <v>915477</v>
      </c>
      <c r="U5" s="79">
        <f>SUMIFS('25年11月处理量'!$F:$F,'25年11月处理量'!$A:$A,U3)</f>
        <v>989327</v>
      </c>
      <c r="V5" s="79">
        <f>SUMIFS('25年11月处理量'!$F:$F,'25年11月处理量'!$A:$A,V3)</f>
        <v>1016028</v>
      </c>
      <c r="W5" s="79">
        <f>SUMIFS('25年11月处理量'!$F:$F,'25年11月处理量'!$A:$A,W3)</f>
        <v>998339</v>
      </c>
      <c r="X5" s="79">
        <f>SUMIFS('25年11月处理量'!$F:$F,'25年11月处理量'!$A:$A,X3)</f>
        <v>994267</v>
      </c>
      <c r="Y5" s="79">
        <f>SUMIFS('25年11月处理量'!$F:$F,'25年11月处理量'!$A:$A,Y3)</f>
        <v>921180</v>
      </c>
      <c r="Z5" s="79">
        <f>SUMIFS('25年11月处理量'!$F:$F,'25年11月处理量'!$A:$A,Z3)</f>
        <v>888848</v>
      </c>
      <c r="AA5" s="79">
        <f>SUMIFS('25年11月处理量'!$F:$F,'25年11月处理量'!$A:$A,AA3)</f>
        <v>944193</v>
      </c>
      <c r="AB5" s="79">
        <f>SUMIFS('25年11月处理量'!$F:$F,'25年11月处理量'!$A:$A,AB3)</f>
        <v>955217</v>
      </c>
      <c r="AC5" s="79">
        <f>SUMIFS('25年11月处理量'!$F:$F,'25年11月处理量'!$A:$A,AC3)</f>
        <v>969376</v>
      </c>
      <c r="AD5" s="79">
        <f>SUMIFS('25年11月处理量'!$F:$F,'25年11月处理量'!$A:$A,AD3)</f>
        <v>980254</v>
      </c>
      <c r="AE5" s="79">
        <f>SUMIFS('25年11月处理量'!$F:$F,'25年11月处理量'!$A:$A,AE3)</f>
        <v>954498</v>
      </c>
      <c r="AF5" s="79">
        <f>SUMIFS('25年11月处理量'!$F:$F,'25年11月处理量'!$A:$A,AF3)</f>
        <v>906980</v>
      </c>
      <c r="AG5" s="79">
        <f>SUMIFS('25年11月处理量'!$F:$F,'25年11月处理量'!$A:$A,AG3)</f>
        <v>0</v>
      </c>
      <c r="AH5" s="79">
        <f t="shared" ref="AH5:AH16" si="1">SUM(C5:AG5)</f>
        <v>28966016</v>
      </c>
      <c r="AI5" s="9"/>
    </row>
    <row r="6" customFormat="1" spans="1:35">
      <c r="A6" s="77" t="s">
        <v>6</v>
      </c>
      <c r="B6" s="78" t="s">
        <v>7</v>
      </c>
      <c r="C6" s="80">
        <v>0.1667</v>
      </c>
      <c r="D6" s="80">
        <v>0.1667</v>
      </c>
      <c r="E6" s="80">
        <v>0.1667</v>
      </c>
      <c r="F6" s="80">
        <v>0.1667</v>
      </c>
      <c r="G6" s="80">
        <v>0.1667</v>
      </c>
      <c r="H6" s="80">
        <v>0.1667</v>
      </c>
      <c r="I6" s="80">
        <v>0.1667</v>
      </c>
      <c r="J6" s="80">
        <v>0.1667</v>
      </c>
      <c r="K6" s="80">
        <v>0.1667</v>
      </c>
      <c r="L6" s="80">
        <v>0.1667</v>
      </c>
      <c r="M6" s="80">
        <v>0.1667</v>
      </c>
      <c r="N6" s="80">
        <v>0.1667</v>
      </c>
      <c r="O6" s="80">
        <v>0.1667</v>
      </c>
      <c r="P6" s="80">
        <v>0.1667</v>
      </c>
      <c r="Q6" s="80">
        <v>0.1667</v>
      </c>
      <c r="R6" s="80">
        <v>0.1667</v>
      </c>
      <c r="S6" s="80">
        <v>0.1667</v>
      </c>
      <c r="T6" s="80">
        <v>0.1667</v>
      </c>
      <c r="U6" s="80">
        <v>0.1667</v>
      </c>
      <c r="V6" s="80">
        <v>0.1667</v>
      </c>
      <c r="W6" s="80">
        <v>0.1667</v>
      </c>
      <c r="X6" s="80">
        <v>0.1667</v>
      </c>
      <c r="Y6" s="80">
        <v>0.1667</v>
      </c>
      <c r="Z6" s="80">
        <v>0.1667</v>
      </c>
      <c r="AA6" s="80">
        <v>0.1667</v>
      </c>
      <c r="AB6" s="80">
        <v>0.1667</v>
      </c>
      <c r="AC6" s="80">
        <v>0.1667</v>
      </c>
      <c r="AD6" s="80">
        <v>0.1667</v>
      </c>
      <c r="AE6" s="80">
        <v>0.1667</v>
      </c>
      <c r="AF6" s="80">
        <v>0.1667</v>
      </c>
      <c r="AG6" s="81"/>
      <c r="AH6" s="80">
        <v>0.1667</v>
      </c>
      <c r="AI6" s="9"/>
    </row>
    <row r="7" customFormat="1" spans="1:35">
      <c r="A7" s="77" t="s">
        <v>8</v>
      </c>
      <c r="B7" s="78" t="s">
        <v>9</v>
      </c>
      <c r="C7" s="81">
        <v>156746.18</v>
      </c>
      <c r="D7" s="81">
        <v>164885.8</v>
      </c>
      <c r="E7" s="81">
        <v>155057.17</v>
      </c>
      <c r="F7" s="81">
        <v>161271.91</v>
      </c>
      <c r="G7" s="81">
        <v>164342.03</v>
      </c>
      <c r="H7" s="81">
        <v>167209.94</v>
      </c>
      <c r="I7" s="81">
        <v>164645.76</v>
      </c>
      <c r="J7" s="81">
        <v>160922.01</v>
      </c>
      <c r="K7" s="81">
        <v>152665.36</v>
      </c>
      <c r="L7" s="81">
        <v>161669.83</v>
      </c>
      <c r="M7" s="81">
        <v>160149.19</v>
      </c>
      <c r="N7" s="81">
        <v>176065.87</v>
      </c>
      <c r="O7" s="81">
        <v>175419.74</v>
      </c>
      <c r="P7" s="81">
        <v>176781.68</v>
      </c>
      <c r="Q7" s="81">
        <v>161287.92</v>
      </c>
      <c r="R7" s="81">
        <v>150433.25</v>
      </c>
      <c r="S7" s="81">
        <v>146336.09</v>
      </c>
      <c r="T7" s="81">
        <v>152610.02</v>
      </c>
      <c r="U7" s="81">
        <v>164920.81</v>
      </c>
      <c r="V7" s="81">
        <v>169371.87</v>
      </c>
      <c r="W7" s="81">
        <v>166423.11</v>
      </c>
      <c r="X7" s="81">
        <v>165744.31</v>
      </c>
      <c r="Y7" s="81">
        <v>153560.71</v>
      </c>
      <c r="Z7" s="81">
        <v>148170.96</v>
      </c>
      <c r="AA7" s="81">
        <v>157396.97</v>
      </c>
      <c r="AB7" s="81">
        <v>159234.67</v>
      </c>
      <c r="AC7" s="81">
        <v>161594.98</v>
      </c>
      <c r="AD7" s="81">
        <v>163408.34</v>
      </c>
      <c r="AE7" s="81">
        <v>159114.82</v>
      </c>
      <c r="AF7" s="81">
        <v>151193.57</v>
      </c>
      <c r="AG7" s="81"/>
      <c r="AH7" s="81">
        <f t="shared" si="1"/>
        <v>4828634.87</v>
      </c>
      <c r="AI7" s="9"/>
    </row>
    <row r="8" customFormat="1" spans="1:35">
      <c r="A8" s="77" t="s">
        <v>10</v>
      </c>
      <c r="B8" s="78" t="s">
        <v>11</v>
      </c>
      <c r="C8" s="81">
        <v>3000</v>
      </c>
      <c r="D8" s="81">
        <v>3000</v>
      </c>
      <c r="E8" s="81">
        <v>3000</v>
      </c>
      <c r="F8" s="81">
        <v>3000</v>
      </c>
      <c r="G8" s="81">
        <v>3000</v>
      </c>
      <c r="H8" s="81">
        <v>3000</v>
      </c>
      <c r="I8" s="81">
        <v>3000</v>
      </c>
      <c r="J8" s="81">
        <v>3000</v>
      </c>
      <c r="K8" s="81">
        <v>3000</v>
      </c>
      <c r="L8" s="81">
        <v>3000</v>
      </c>
      <c r="M8" s="81">
        <v>3000</v>
      </c>
      <c r="N8" s="81">
        <v>3000</v>
      </c>
      <c r="O8" s="81">
        <v>3000</v>
      </c>
      <c r="P8" s="81">
        <v>3000</v>
      </c>
      <c r="Q8" s="81">
        <v>3000</v>
      </c>
      <c r="R8" s="81">
        <v>3000</v>
      </c>
      <c r="S8" s="81">
        <v>3000</v>
      </c>
      <c r="T8" s="81">
        <v>3000</v>
      </c>
      <c r="U8" s="81">
        <v>3000</v>
      </c>
      <c r="V8" s="81">
        <v>3000</v>
      </c>
      <c r="W8" s="81">
        <v>3000</v>
      </c>
      <c r="X8" s="81">
        <v>3000</v>
      </c>
      <c r="Y8" s="81">
        <v>3000</v>
      </c>
      <c r="Z8" s="81">
        <v>3000</v>
      </c>
      <c r="AA8" s="81">
        <v>3000</v>
      </c>
      <c r="AB8" s="81">
        <v>3000</v>
      </c>
      <c r="AC8" s="81">
        <v>3000</v>
      </c>
      <c r="AD8" s="81">
        <v>3000</v>
      </c>
      <c r="AE8" s="81">
        <v>3000</v>
      </c>
      <c r="AF8" s="81">
        <v>3000</v>
      </c>
      <c r="AG8" s="81"/>
      <c r="AH8" s="81">
        <f t="shared" si="1"/>
        <v>90000</v>
      </c>
      <c r="AI8" s="9"/>
    </row>
    <row r="9" customFormat="1" hidden="1" spans="1:35">
      <c r="A9" s="77" t="s">
        <v>12</v>
      </c>
      <c r="B9" s="78" t="s">
        <v>13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>
        <f t="shared" si="1"/>
        <v>0</v>
      </c>
      <c r="AI9" s="9"/>
    </row>
    <row r="10" customFormat="1" spans="1:35">
      <c r="A10" s="77" t="s">
        <v>14</v>
      </c>
      <c r="B10" s="78" t="s">
        <v>15</v>
      </c>
      <c r="C10" s="81">
        <v>153746.18</v>
      </c>
      <c r="D10" s="81">
        <v>161885.8</v>
      </c>
      <c r="E10" s="81">
        <v>152057.17</v>
      </c>
      <c r="F10" s="81">
        <v>158271.91</v>
      </c>
      <c r="G10" s="81">
        <v>161342.03</v>
      </c>
      <c r="H10" s="81">
        <v>164209.94</v>
      </c>
      <c r="I10" s="81">
        <v>161645.76</v>
      </c>
      <c r="J10" s="81">
        <v>157922.01</v>
      </c>
      <c r="K10" s="81">
        <v>149665.36</v>
      </c>
      <c r="L10" s="81">
        <v>158669.83</v>
      </c>
      <c r="M10" s="81">
        <v>157149.19</v>
      </c>
      <c r="N10" s="81">
        <v>173065.87</v>
      </c>
      <c r="O10" s="81">
        <v>172419.74</v>
      </c>
      <c r="P10" s="81">
        <v>173781.68</v>
      </c>
      <c r="Q10" s="81">
        <v>158287.92</v>
      </c>
      <c r="R10" s="81">
        <v>147433.25</v>
      </c>
      <c r="S10" s="81">
        <v>143336.09</v>
      </c>
      <c r="T10" s="81">
        <v>149610.02</v>
      </c>
      <c r="U10" s="81">
        <v>161920.81</v>
      </c>
      <c r="V10" s="81">
        <v>166371.87</v>
      </c>
      <c r="W10" s="81">
        <v>163423.11</v>
      </c>
      <c r="X10" s="81">
        <v>162744.31</v>
      </c>
      <c r="Y10" s="81">
        <v>150560.71</v>
      </c>
      <c r="Z10" s="81">
        <v>145170.96</v>
      </c>
      <c r="AA10" s="81">
        <v>154396.97</v>
      </c>
      <c r="AB10" s="81">
        <v>156234.67</v>
      </c>
      <c r="AC10" s="81">
        <v>158594.98</v>
      </c>
      <c r="AD10" s="81">
        <v>160408.34</v>
      </c>
      <c r="AE10" s="81">
        <v>156114.82</v>
      </c>
      <c r="AF10" s="81">
        <v>148193.57</v>
      </c>
      <c r="AG10" s="81"/>
      <c r="AH10" s="81">
        <f t="shared" si="1"/>
        <v>4738634.87</v>
      </c>
      <c r="AI10" s="9"/>
    </row>
    <row r="11" s="7" customFormat="1" ht="15.6" spans="1:35">
      <c r="A11" s="82" t="s">
        <v>16</v>
      </c>
      <c r="B11" s="82"/>
      <c r="C11" s="27">
        <v>145043.57</v>
      </c>
      <c r="D11" s="27">
        <v>152722.45</v>
      </c>
      <c r="E11" s="27">
        <v>143450.16</v>
      </c>
      <c r="F11" s="27">
        <v>149313.12</v>
      </c>
      <c r="G11" s="27">
        <v>152209.46</v>
      </c>
      <c r="H11" s="27">
        <v>154915.04</v>
      </c>
      <c r="I11" s="27">
        <v>152496</v>
      </c>
      <c r="J11" s="27">
        <v>148983.03</v>
      </c>
      <c r="K11" s="27">
        <v>141193.74</v>
      </c>
      <c r="L11" s="27">
        <v>149688.52</v>
      </c>
      <c r="M11" s="27">
        <v>148253.95</v>
      </c>
      <c r="N11" s="27">
        <v>163269.69</v>
      </c>
      <c r="O11" s="27">
        <v>162660.13</v>
      </c>
      <c r="P11" s="27">
        <v>163944.98</v>
      </c>
      <c r="Q11" s="27">
        <v>149328.23</v>
      </c>
      <c r="R11" s="27">
        <v>139087.97</v>
      </c>
      <c r="S11" s="27">
        <v>135222.73</v>
      </c>
      <c r="T11" s="27">
        <v>141141.53</v>
      </c>
      <c r="U11" s="27">
        <v>152755.48</v>
      </c>
      <c r="V11" s="27">
        <v>156954.59</v>
      </c>
      <c r="W11" s="27">
        <v>154172.75</v>
      </c>
      <c r="X11" s="27">
        <v>153532.37</v>
      </c>
      <c r="Y11" s="27">
        <v>142038.41</v>
      </c>
      <c r="Z11" s="27">
        <v>136953.74</v>
      </c>
      <c r="AA11" s="27">
        <v>145657.52</v>
      </c>
      <c r="AB11" s="27">
        <v>147391.2</v>
      </c>
      <c r="AC11" s="27">
        <v>149617.91</v>
      </c>
      <c r="AD11" s="27">
        <v>151328.62</v>
      </c>
      <c r="AE11" s="27">
        <v>147278.13</v>
      </c>
      <c r="AF11" s="27">
        <v>139805.25</v>
      </c>
      <c r="AG11" s="27"/>
      <c r="AH11" s="83">
        <f t="shared" si="1"/>
        <v>4470410.27</v>
      </c>
    </row>
    <row r="12" customFormat="1" ht="15.6" spans="1:35">
      <c r="A12" s="77">
        <v>1</v>
      </c>
      <c r="B12" s="84" t="s">
        <v>17</v>
      </c>
      <c r="C12" s="85">
        <v>25</v>
      </c>
      <c r="D12" s="86">
        <v>24</v>
      </c>
      <c r="E12" s="86">
        <v>23</v>
      </c>
      <c r="F12" s="86">
        <v>23</v>
      </c>
      <c r="G12" s="86">
        <v>24</v>
      </c>
      <c r="H12" s="86">
        <v>22</v>
      </c>
      <c r="I12" s="86">
        <v>25</v>
      </c>
      <c r="J12" s="86">
        <v>22</v>
      </c>
      <c r="K12" s="86">
        <v>22</v>
      </c>
      <c r="L12" s="86">
        <v>22</v>
      </c>
      <c r="M12" s="86">
        <v>23</v>
      </c>
      <c r="N12" s="86">
        <v>24</v>
      </c>
      <c r="O12" s="86">
        <v>24</v>
      </c>
      <c r="P12" s="86">
        <v>22</v>
      </c>
      <c r="Q12" s="86">
        <v>24</v>
      </c>
      <c r="R12" s="86">
        <v>24</v>
      </c>
      <c r="S12" s="86">
        <v>20</v>
      </c>
      <c r="T12" s="86">
        <v>21</v>
      </c>
      <c r="U12" s="86">
        <v>21</v>
      </c>
      <c r="V12" s="86">
        <v>21</v>
      </c>
      <c r="W12" s="86">
        <v>21</v>
      </c>
      <c r="X12" s="86">
        <v>21</v>
      </c>
      <c r="Y12" s="86">
        <v>23</v>
      </c>
      <c r="Z12" s="86">
        <v>20</v>
      </c>
      <c r="AA12" s="86">
        <v>22</v>
      </c>
      <c r="AB12" s="86">
        <v>18</v>
      </c>
      <c r="AC12" s="86">
        <v>24</v>
      </c>
      <c r="AD12" s="86">
        <v>24</v>
      </c>
      <c r="AE12" s="86">
        <v>22</v>
      </c>
      <c r="AF12" s="86">
        <v>24</v>
      </c>
      <c r="AG12" s="86"/>
      <c r="AH12" s="87">
        <f t="shared" si="1"/>
        <v>675</v>
      </c>
      <c r="AI12" s="9"/>
    </row>
    <row r="13" customFormat="1" ht="15.6" spans="1:35">
      <c r="A13" s="77">
        <v>2</v>
      </c>
      <c r="B13" s="84" t="s">
        <v>18</v>
      </c>
      <c r="C13" s="85">
        <v>292</v>
      </c>
      <c r="D13" s="86">
        <v>288</v>
      </c>
      <c r="E13" s="86">
        <v>296</v>
      </c>
      <c r="F13" s="86">
        <v>295</v>
      </c>
      <c r="G13" s="86">
        <v>289</v>
      </c>
      <c r="H13" s="86">
        <v>295</v>
      </c>
      <c r="I13" s="86">
        <v>290</v>
      </c>
      <c r="J13" s="86">
        <v>293</v>
      </c>
      <c r="K13" s="86">
        <v>297</v>
      </c>
      <c r="L13" s="86">
        <v>298</v>
      </c>
      <c r="M13" s="86">
        <v>302</v>
      </c>
      <c r="N13" s="86">
        <v>301</v>
      </c>
      <c r="O13" s="86">
        <v>292</v>
      </c>
      <c r="P13" s="86">
        <v>299</v>
      </c>
      <c r="Q13" s="86">
        <v>295</v>
      </c>
      <c r="R13" s="86">
        <v>291</v>
      </c>
      <c r="S13" s="86">
        <v>291</v>
      </c>
      <c r="T13" s="86">
        <v>300</v>
      </c>
      <c r="U13" s="86">
        <v>297</v>
      </c>
      <c r="V13" s="86">
        <v>298</v>
      </c>
      <c r="W13" s="86">
        <v>300</v>
      </c>
      <c r="X13" s="86">
        <v>296</v>
      </c>
      <c r="Y13" s="86">
        <v>296</v>
      </c>
      <c r="Z13" s="86">
        <v>300</v>
      </c>
      <c r="AA13" s="86">
        <v>314</v>
      </c>
      <c r="AB13" s="86">
        <v>310</v>
      </c>
      <c r="AC13" s="86">
        <v>312</v>
      </c>
      <c r="AD13" s="86">
        <v>311</v>
      </c>
      <c r="AE13" s="86">
        <v>305</v>
      </c>
      <c r="AF13" s="86">
        <v>298</v>
      </c>
      <c r="AG13" s="86"/>
      <c r="AH13" s="87">
        <f t="shared" si="1"/>
        <v>8941</v>
      </c>
      <c r="AI13" s="9"/>
    </row>
    <row r="14" customFormat="1" ht="15.6" spans="1:35">
      <c r="A14" s="77">
        <v>3</v>
      </c>
      <c r="B14" s="84" t="s">
        <v>19</v>
      </c>
      <c r="C14" s="85">
        <v>96</v>
      </c>
      <c r="D14" s="86">
        <v>101</v>
      </c>
      <c r="E14" s="86">
        <v>94</v>
      </c>
      <c r="F14" s="86">
        <v>95</v>
      </c>
      <c r="G14" s="86">
        <v>101</v>
      </c>
      <c r="H14" s="86">
        <v>95</v>
      </c>
      <c r="I14" s="86">
        <v>95</v>
      </c>
      <c r="J14" s="86">
        <v>100</v>
      </c>
      <c r="K14" s="86">
        <v>94</v>
      </c>
      <c r="L14" s="86">
        <v>96</v>
      </c>
      <c r="M14" s="86">
        <v>88</v>
      </c>
      <c r="N14" s="86">
        <v>103</v>
      </c>
      <c r="O14" s="86">
        <v>110</v>
      </c>
      <c r="P14" s="86">
        <v>103</v>
      </c>
      <c r="Q14" s="86">
        <v>95</v>
      </c>
      <c r="R14" s="86">
        <v>83</v>
      </c>
      <c r="S14" s="86">
        <v>81</v>
      </c>
      <c r="T14" s="86">
        <v>84</v>
      </c>
      <c r="U14" s="86">
        <v>86</v>
      </c>
      <c r="V14" s="86">
        <v>86</v>
      </c>
      <c r="W14" s="86">
        <v>88</v>
      </c>
      <c r="X14" s="86">
        <v>84</v>
      </c>
      <c r="Y14" s="86">
        <v>78</v>
      </c>
      <c r="Z14" s="86">
        <v>75</v>
      </c>
      <c r="AA14" s="86">
        <v>71</v>
      </c>
      <c r="AB14" s="86">
        <v>67</v>
      </c>
      <c r="AC14" s="86">
        <v>69</v>
      </c>
      <c r="AD14" s="86">
        <v>68</v>
      </c>
      <c r="AE14" s="86">
        <v>70</v>
      </c>
      <c r="AF14" s="86">
        <v>69</v>
      </c>
      <c r="AG14" s="86"/>
      <c r="AH14" s="87">
        <f t="shared" si="1"/>
        <v>2625</v>
      </c>
      <c r="AI14" s="9"/>
    </row>
    <row r="15" customFormat="1" ht="15.6" spans="1:35">
      <c r="A15" s="77">
        <v>4</v>
      </c>
      <c r="B15" s="84" t="s">
        <v>20</v>
      </c>
      <c r="C15" s="85">
        <v>413</v>
      </c>
      <c r="D15" s="86">
        <v>413</v>
      </c>
      <c r="E15" s="86">
        <v>413</v>
      </c>
      <c r="F15" s="86">
        <v>413</v>
      </c>
      <c r="G15" s="86">
        <v>414</v>
      </c>
      <c r="H15" s="86">
        <v>412</v>
      </c>
      <c r="I15" s="86">
        <v>410</v>
      </c>
      <c r="J15" s="86">
        <v>415</v>
      </c>
      <c r="K15" s="86">
        <v>413</v>
      </c>
      <c r="L15" s="86">
        <v>416</v>
      </c>
      <c r="M15" s="86">
        <v>413</v>
      </c>
      <c r="N15" s="86">
        <v>428</v>
      </c>
      <c r="O15" s="86">
        <v>426</v>
      </c>
      <c r="P15" s="86">
        <v>424</v>
      </c>
      <c r="Q15" s="86">
        <v>414</v>
      </c>
      <c r="R15" s="86">
        <v>398</v>
      </c>
      <c r="S15" s="86">
        <v>392</v>
      </c>
      <c r="T15" s="86">
        <v>405</v>
      </c>
      <c r="U15" s="86">
        <v>404</v>
      </c>
      <c r="V15" s="86">
        <v>405</v>
      </c>
      <c r="W15" s="86">
        <v>409</v>
      </c>
      <c r="X15" s="86">
        <v>401</v>
      </c>
      <c r="Y15" s="86">
        <v>397</v>
      </c>
      <c r="Z15" s="86">
        <v>395</v>
      </c>
      <c r="AA15" s="86">
        <v>407</v>
      </c>
      <c r="AB15" s="86">
        <v>395</v>
      </c>
      <c r="AC15" s="86">
        <v>405</v>
      </c>
      <c r="AD15" s="86">
        <v>403</v>
      </c>
      <c r="AE15" s="86">
        <v>397</v>
      </c>
      <c r="AF15" s="86">
        <v>391</v>
      </c>
      <c r="AG15" s="86"/>
      <c r="AH15" s="87">
        <f t="shared" si="1"/>
        <v>12241</v>
      </c>
      <c r="AI15" s="9"/>
    </row>
    <row r="16" customFormat="1" ht="15.6" spans="1:35">
      <c r="A16" s="77">
        <v>5</v>
      </c>
      <c r="B16" s="84" t="s">
        <v>21</v>
      </c>
      <c r="C16" s="88">
        <v>4281</v>
      </c>
      <c r="D16" s="88">
        <v>4322</v>
      </c>
      <c r="E16" s="88">
        <v>4304</v>
      </c>
      <c r="F16" s="88">
        <v>4336</v>
      </c>
      <c r="G16" s="88">
        <v>4308.5</v>
      </c>
      <c r="H16" s="88">
        <v>4369</v>
      </c>
      <c r="I16" s="88">
        <v>4364.5</v>
      </c>
      <c r="J16" s="88">
        <v>4381.5</v>
      </c>
      <c r="K16" s="88">
        <v>4351</v>
      </c>
      <c r="L16" s="88">
        <v>4375</v>
      </c>
      <c r="M16" s="88">
        <v>4321</v>
      </c>
      <c r="N16" s="88">
        <v>4547</v>
      </c>
      <c r="O16" s="88">
        <v>4506.5</v>
      </c>
      <c r="P16" s="88">
        <v>4588.5</v>
      </c>
      <c r="Q16" s="88">
        <v>4293</v>
      </c>
      <c r="R16" s="88">
        <v>4005</v>
      </c>
      <c r="S16" s="88">
        <v>4036.5</v>
      </c>
      <c r="T16" s="88">
        <v>4309</v>
      </c>
      <c r="U16" s="88">
        <v>4313.5</v>
      </c>
      <c r="V16" s="88">
        <v>4482.5</v>
      </c>
      <c r="W16" s="88">
        <v>4448.5</v>
      </c>
      <c r="X16" s="88">
        <v>4241.5</v>
      </c>
      <c r="Y16" s="88">
        <v>4089.5</v>
      </c>
      <c r="Z16" s="88">
        <v>4102</v>
      </c>
      <c r="AA16" s="88">
        <v>4253.5</v>
      </c>
      <c r="AB16" s="88">
        <v>4172.5</v>
      </c>
      <c r="AC16" s="88">
        <v>4263.5</v>
      </c>
      <c r="AD16" s="88">
        <v>4202</v>
      </c>
      <c r="AE16" s="88">
        <v>4142</v>
      </c>
      <c r="AF16" s="88">
        <v>3998.5</v>
      </c>
      <c r="AG16" s="88"/>
      <c r="AH16" s="88">
        <f t="shared" si="1"/>
        <v>128708.5</v>
      </c>
      <c r="AI16" s="9"/>
    </row>
    <row r="17" s="7" customFormat="1" ht="15.6" spans="1:35">
      <c r="A17" s="31" t="s">
        <v>22</v>
      </c>
      <c r="B17" s="89"/>
      <c r="C17" s="33">
        <v>2276.72881355932</v>
      </c>
      <c r="D17" s="33">
        <v>2394.95641646489</v>
      </c>
      <c r="E17" s="33">
        <v>2252.19612590799</v>
      </c>
      <c r="F17" s="33">
        <v>2342.46489104116</v>
      </c>
      <c r="G17" s="33">
        <v>2381.2922705314</v>
      </c>
      <c r="H17" s="33">
        <v>2434.60922330097</v>
      </c>
      <c r="I17" s="33">
        <v>2408.96829268293</v>
      </c>
      <c r="J17" s="33">
        <v>2326.11807228916</v>
      </c>
      <c r="K17" s="33">
        <v>2217.45520581114</v>
      </c>
      <c r="L17" s="33">
        <v>2331.31009615385</v>
      </c>
      <c r="M17" s="33">
        <v>2326.15738498789</v>
      </c>
      <c r="N17" s="33">
        <v>2467.71962616822</v>
      </c>
      <c r="O17" s="33">
        <v>2470.20657276995</v>
      </c>
      <c r="P17" s="33">
        <v>2501.12735849057</v>
      </c>
      <c r="Q17" s="33">
        <v>2337.038647343</v>
      </c>
      <c r="R17" s="33">
        <v>2267.38442211055</v>
      </c>
      <c r="S17" s="33">
        <v>2239.39030612245</v>
      </c>
      <c r="T17" s="33">
        <v>2260.43703703704</v>
      </c>
      <c r="U17" s="33">
        <v>2448.82920792079</v>
      </c>
      <c r="V17" s="33">
        <v>2508.71111111111</v>
      </c>
      <c r="W17" s="33">
        <v>2440.92665036675</v>
      </c>
      <c r="X17" s="33">
        <v>2479.46882793017</v>
      </c>
      <c r="Y17" s="33">
        <v>2320.35264483627</v>
      </c>
      <c r="Z17" s="33">
        <v>2250.24810126582</v>
      </c>
      <c r="AA17" s="33">
        <v>2319.88452088452</v>
      </c>
      <c r="AB17" s="33">
        <v>2418.27088607595</v>
      </c>
      <c r="AC17" s="33">
        <v>2393.52098765432</v>
      </c>
      <c r="AD17" s="33">
        <v>2432.39205955335</v>
      </c>
      <c r="AE17" s="33">
        <v>2404.27707808564</v>
      </c>
      <c r="AF17" s="33">
        <v>2319.64194373402</v>
      </c>
      <c r="AG17" s="90"/>
      <c r="AH17" s="33">
        <f>AH5/AH15</f>
        <v>2366.31124908096</v>
      </c>
    </row>
    <row r="18" s="7" customFormat="1" ht="15.6" spans="1:35">
      <c r="A18" s="31" t="s">
        <v>23</v>
      </c>
      <c r="B18" s="89"/>
      <c r="C18" s="34">
        <v>219.642373277272</v>
      </c>
      <c r="D18" s="34">
        <v>228.85631652013</v>
      </c>
      <c r="E18" s="34">
        <v>216.114544609665</v>
      </c>
      <c r="F18" s="34">
        <v>223.117619926199</v>
      </c>
      <c r="G18" s="34">
        <v>228.816293373564</v>
      </c>
      <c r="H18" s="34">
        <v>229.585488670176</v>
      </c>
      <c r="I18" s="34">
        <v>226.29785771566</v>
      </c>
      <c r="J18" s="34">
        <v>220.321579367796</v>
      </c>
      <c r="K18" s="34">
        <v>210.48241783498</v>
      </c>
      <c r="L18" s="34">
        <v>221.674285714286</v>
      </c>
      <c r="M18" s="34">
        <v>222.333487618607</v>
      </c>
      <c r="N18" s="34">
        <v>232.281504288542</v>
      </c>
      <c r="O18" s="34">
        <v>233.508931543326</v>
      </c>
      <c r="P18" s="34">
        <v>231.116486869347</v>
      </c>
      <c r="Q18" s="34">
        <v>225.374796179828</v>
      </c>
      <c r="R18" s="34">
        <v>225.323096129838</v>
      </c>
      <c r="S18" s="34">
        <v>217.475783475783</v>
      </c>
      <c r="T18" s="34">
        <v>212.456950568577</v>
      </c>
      <c r="U18" s="34">
        <v>229.355975425988</v>
      </c>
      <c r="V18" s="34">
        <v>226.665476854434</v>
      </c>
      <c r="W18" s="34">
        <v>224.421490390019</v>
      </c>
      <c r="X18" s="34">
        <v>234.414004479547</v>
      </c>
      <c r="Y18" s="34">
        <v>225.254921139504</v>
      </c>
      <c r="Z18" s="34">
        <v>216.686494392979</v>
      </c>
      <c r="AA18" s="34">
        <v>221.980251557541</v>
      </c>
      <c r="AB18" s="34">
        <v>228.931575793889</v>
      </c>
      <c r="AC18" s="34">
        <v>227.366248387475</v>
      </c>
      <c r="AD18" s="34">
        <v>233.282722513089</v>
      </c>
      <c r="AE18" s="34">
        <v>230.443746982134</v>
      </c>
      <c r="AF18" s="34">
        <v>226.830061272977</v>
      </c>
      <c r="AG18" s="34"/>
      <c r="AH18" s="34">
        <f>AH5/AH16</f>
        <v>225.05130585781</v>
      </c>
    </row>
    <row r="19" s="7" customFormat="1" ht="15.6" spans="1:35">
      <c r="A19" s="31" t="s">
        <v>114</v>
      </c>
      <c r="B19" s="32"/>
      <c r="C19" s="38">
        <v>0.0901014475336838</v>
      </c>
      <c r="D19" s="38">
        <v>0.0864702052436668</v>
      </c>
      <c r="E19" s="38">
        <v>0.090290617605415</v>
      </c>
      <c r="F19" s="38">
        <v>0.087997835520209</v>
      </c>
      <c r="G19" s="38">
        <v>0.0866107084713269</v>
      </c>
      <c r="H19" s="38">
        <v>0.0861876519726158</v>
      </c>
      <c r="I19" s="38">
        <v>0.0874470094980444</v>
      </c>
      <c r="J19" s="38">
        <v>0.0901522677525719</v>
      </c>
      <c r="K19" s="38">
        <v>0.0936423424535029</v>
      </c>
      <c r="L19" s="38">
        <v>0.0894458278555409</v>
      </c>
      <c r="M19" s="38">
        <v>0.0887975784399549</v>
      </c>
      <c r="N19" s="38">
        <v>0.0854866197556486</v>
      </c>
      <c r="O19" s="38">
        <v>0.0853421241689695</v>
      </c>
      <c r="P19" s="38">
        <v>0.0857720763655634</v>
      </c>
      <c r="Q19" s="38">
        <v>0.088021402865429</v>
      </c>
      <c r="R19" s="38">
        <v>0.0878538683250242</v>
      </c>
      <c r="S19" s="38">
        <v>0.0907016190859165</v>
      </c>
      <c r="T19" s="38">
        <v>0.0917129540119522</v>
      </c>
      <c r="U19" s="38">
        <v>0.086033030534899</v>
      </c>
      <c r="V19" s="38">
        <v>0.0868004621919868</v>
      </c>
      <c r="W19" s="38">
        <v>0.0878123563238539</v>
      </c>
      <c r="X19" s="38">
        <v>0.0842095734847883</v>
      </c>
      <c r="Y19" s="38">
        <v>0.0876353155735035</v>
      </c>
      <c r="Z19" s="38">
        <v>0.090204624412723</v>
      </c>
      <c r="AA19" s="38">
        <v>0.088104868390255</v>
      </c>
      <c r="AB19" s="38">
        <v>0.0853301396436621</v>
      </c>
      <c r="AC19" s="38">
        <v>0.0857773454263361</v>
      </c>
      <c r="AD19" s="38">
        <v>0.0843067205030533</v>
      </c>
      <c r="AE19" s="38">
        <v>0.0855339665457654</v>
      </c>
      <c r="AF19" s="38">
        <v>0.0870906745462965</v>
      </c>
      <c r="AG19" s="34"/>
      <c r="AH19" s="38">
        <f>(AH20+AH26)/AH5</f>
        <v>0.0876276513138707</v>
      </c>
    </row>
    <row r="20" customFormat="1" ht="15" spans="1:35">
      <c r="A20" s="91">
        <v>1</v>
      </c>
      <c r="B20" s="78" t="s">
        <v>24</v>
      </c>
      <c r="C20" s="81">
        <v>59501.9</v>
      </c>
      <c r="D20" s="81">
        <v>58941.15</v>
      </c>
      <c r="E20" s="81">
        <v>59282.45</v>
      </c>
      <c r="F20" s="81">
        <v>60165.95</v>
      </c>
      <c r="G20" s="81">
        <v>58820.6</v>
      </c>
      <c r="H20" s="81">
        <v>61438.8</v>
      </c>
      <c r="I20" s="81">
        <v>61333.9</v>
      </c>
      <c r="J20" s="81">
        <v>60658</v>
      </c>
      <c r="K20" s="81">
        <v>60999</v>
      </c>
      <c r="L20" s="81">
        <v>61458.3</v>
      </c>
      <c r="M20" s="81">
        <v>62101.1</v>
      </c>
      <c r="N20" s="81">
        <v>63149.6</v>
      </c>
      <c r="O20" s="81">
        <v>60860.7</v>
      </c>
      <c r="P20" s="81">
        <v>63830.9</v>
      </c>
      <c r="Q20" s="81">
        <v>60151.2</v>
      </c>
      <c r="R20" s="81">
        <v>57396.5</v>
      </c>
      <c r="S20" s="81">
        <v>58266.1</v>
      </c>
      <c r="T20" s="81">
        <v>61800.6</v>
      </c>
      <c r="U20" s="81">
        <v>62436.8</v>
      </c>
      <c r="V20" s="81">
        <v>65548.2</v>
      </c>
      <c r="W20" s="81">
        <v>64517</v>
      </c>
      <c r="X20" s="81">
        <v>61635.3</v>
      </c>
      <c r="Y20" s="81">
        <v>60188.9</v>
      </c>
      <c r="Z20" s="81">
        <v>60409.7</v>
      </c>
      <c r="AA20" s="81">
        <v>64489</v>
      </c>
      <c r="AB20" s="81">
        <v>63856.3</v>
      </c>
      <c r="AC20" s="81">
        <v>64969</v>
      </c>
      <c r="AD20" s="81">
        <v>64725</v>
      </c>
      <c r="AE20" s="81">
        <v>63184.5</v>
      </c>
      <c r="AF20" s="81">
        <v>60808</v>
      </c>
      <c r="AG20" s="81"/>
      <c r="AH20" s="87">
        <f t="shared" ref="AH20:AH29" si="2">SUM(C20:AG20)</f>
        <v>1846924.45</v>
      </c>
      <c r="AI20" s="9"/>
    </row>
    <row r="21" customFormat="1" ht="15" spans="1:35">
      <c r="A21" s="91">
        <v>2</v>
      </c>
      <c r="B21" s="78" t="s">
        <v>25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92">
        <f t="shared" si="2"/>
        <v>0</v>
      </c>
      <c r="AI21" s="9"/>
    </row>
    <row r="22" customFormat="1" ht="15" spans="1:35">
      <c r="A22" s="91">
        <v>3</v>
      </c>
      <c r="B22" s="78" t="s">
        <v>26</v>
      </c>
      <c r="C22" s="81">
        <v>370</v>
      </c>
      <c r="D22" s="81">
        <v>370</v>
      </c>
      <c r="E22" s="81">
        <v>370</v>
      </c>
      <c r="F22" s="81">
        <v>370</v>
      </c>
      <c r="G22" s="81">
        <v>370</v>
      </c>
      <c r="H22" s="81">
        <v>370</v>
      </c>
      <c r="I22" s="81">
        <v>370</v>
      </c>
      <c r="J22" s="81">
        <v>370</v>
      </c>
      <c r="K22" s="81">
        <v>370</v>
      </c>
      <c r="L22" s="81">
        <v>370</v>
      </c>
      <c r="M22" s="81">
        <v>370</v>
      </c>
      <c r="N22" s="81">
        <v>370</v>
      </c>
      <c r="O22" s="81">
        <v>370</v>
      </c>
      <c r="P22" s="81">
        <v>370</v>
      </c>
      <c r="Q22" s="81">
        <v>370</v>
      </c>
      <c r="R22" s="81">
        <v>370</v>
      </c>
      <c r="S22" s="81">
        <v>370</v>
      </c>
      <c r="T22" s="81">
        <v>370</v>
      </c>
      <c r="U22" s="81">
        <v>370</v>
      </c>
      <c r="V22" s="81">
        <v>370</v>
      </c>
      <c r="W22" s="81">
        <v>370</v>
      </c>
      <c r="X22" s="81">
        <v>370</v>
      </c>
      <c r="Y22" s="81">
        <v>370</v>
      </c>
      <c r="Z22" s="81">
        <v>370</v>
      </c>
      <c r="AA22" s="81">
        <v>370</v>
      </c>
      <c r="AB22" s="81">
        <v>370</v>
      </c>
      <c r="AC22" s="81">
        <v>370</v>
      </c>
      <c r="AD22" s="81">
        <v>370</v>
      </c>
      <c r="AE22" s="81">
        <v>370</v>
      </c>
      <c r="AF22" s="81">
        <v>370</v>
      </c>
      <c r="AG22" s="81"/>
      <c r="AH22" s="92">
        <f t="shared" si="2"/>
        <v>11100</v>
      </c>
      <c r="AI22" s="9"/>
    </row>
    <row r="23" customFormat="1" ht="15" spans="1:35">
      <c r="A23" s="91">
        <v>4</v>
      </c>
      <c r="B23" s="78" t="s">
        <v>27</v>
      </c>
      <c r="C23" s="81">
        <v>555</v>
      </c>
      <c r="D23" s="81">
        <v>555</v>
      </c>
      <c r="E23" s="81">
        <v>555</v>
      </c>
      <c r="F23" s="81">
        <v>555</v>
      </c>
      <c r="G23" s="81">
        <v>555</v>
      </c>
      <c r="H23" s="81">
        <v>555</v>
      </c>
      <c r="I23" s="81">
        <v>555</v>
      </c>
      <c r="J23" s="81">
        <v>555</v>
      </c>
      <c r="K23" s="81">
        <v>555</v>
      </c>
      <c r="L23" s="81">
        <v>555</v>
      </c>
      <c r="M23" s="81">
        <v>555</v>
      </c>
      <c r="N23" s="81">
        <v>555</v>
      </c>
      <c r="O23" s="81">
        <v>555</v>
      </c>
      <c r="P23" s="81">
        <v>555</v>
      </c>
      <c r="Q23" s="81">
        <v>555</v>
      </c>
      <c r="R23" s="81">
        <v>555</v>
      </c>
      <c r="S23" s="81">
        <v>555</v>
      </c>
      <c r="T23" s="81">
        <v>555</v>
      </c>
      <c r="U23" s="81">
        <v>555</v>
      </c>
      <c r="V23" s="81">
        <v>555</v>
      </c>
      <c r="W23" s="81">
        <v>555</v>
      </c>
      <c r="X23" s="81">
        <v>555</v>
      </c>
      <c r="Y23" s="81">
        <v>555</v>
      </c>
      <c r="Z23" s="81">
        <v>555</v>
      </c>
      <c r="AA23" s="81">
        <v>555</v>
      </c>
      <c r="AB23" s="81">
        <v>555</v>
      </c>
      <c r="AC23" s="81">
        <v>555</v>
      </c>
      <c r="AD23" s="81">
        <v>555</v>
      </c>
      <c r="AE23" s="81">
        <v>555</v>
      </c>
      <c r="AF23" s="81">
        <v>555</v>
      </c>
      <c r="AG23" s="81"/>
      <c r="AH23" s="92">
        <f t="shared" si="2"/>
        <v>16650</v>
      </c>
      <c r="AI23" s="9"/>
    </row>
    <row r="24" customFormat="1" ht="15" spans="1:35">
      <c r="A24" s="91">
        <v>5</v>
      </c>
      <c r="B24" s="78" t="s">
        <v>28</v>
      </c>
      <c r="C24" s="81">
        <v>2776</v>
      </c>
      <c r="D24" s="81">
        <v>2736</v>
      </c>
      <c r="E24" s="81">
        <v>2792</v>
      </c>
      <c r="F24" s="81">
        <v>2784</v>
      </c>
      <c r="G24" s="81">
        <v>2744</v>
      </c>
      <c r="H24" s="81">
        <v>2776</v>
      </c>
      <c r="I24" s="81">
        <v>2760</v>
      </c>
      <c r="J24" s="81">
        <v>2760</v>
      </c>
      <c r="K24" s="81">
        <v>2792</v>
      </c>
      <c r="L24" s="81">
        <v>2800</v>
      </c>
      <c r="M24" s="81">
        <v>2840</v>
      </c>
      <c r="N24" s="81">
        <v>2840</v>
      </c>
      <c r="O24" s="81">
        <v>2768</v>
      </c>
      <c r="P24" s="81">
        <v>2808</v>
      </c>
      <c r="Q24" s="81">
        <v>2792</v>
      </c>
      <c r="R24" s="81">
        <v>2760</v>
      </c>
      <c r="S24" s="81">
        <v>2728</v>
      </c>
      <c r="T24" s="81">
        <v>2808</v>
      </c>
      <c r="U24" s="81">
        <v>2784</v>
      </c>
      <c r="V24" s="81">
        <v>2792</v>
      </c>
      <c r="W24" s="81">
        <v>2808</v>
      </c>
      <c r="X24" s="81">
        <v>2776</v>
      </c>
      <c r="Y24" s="81">
        <v>2792</v>
      </c>
      <c r="Z24" s="81">
        <v>2800</v>
      </c>
      <c r="AA24" s="81">
        <v>2928</v>
      </c>
      <c r="AB24" s="81">
        <v>2864</v>
      </c>
      <c r="AC24" s="81">
        <v>2928</v>
      </c>
      <c r="AD24" s="81">
        <v>2920</v>
      </c>
      <c r="AE24" s="81">
        <v>2856</v>
      </c>
      <c r="AF24" s="81">
        <v>2816</v>
      </c>
      <c r="AG24" s="81"/>
      <c r="AH24" s="92">
        <f t="shared" si="2"/>
        <v>84128</v>
      </c>
      <c r="AI24" s="9"/>
    </row>
    <row r="25" customFormat="1" ht="15" spans="1:35">
      <c r="A25" s="91">
        <v>6</v>
      </c>
      <c r="B25" s="78" t="s">
        <v>29</v>
      </c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92">
        <f t="shared" si="2"/>
        <v>0</v>
      </c>
      <c r="AI25" s="9"/>
    </row>
    <row r="26" customFormat="1" ht="15" spans="1:35">
      <c r="A26" s="91">
        <v>7</v>
      </c>
      <c r="B26" s="78" t="s">
        <v>30</v>
      </c>
      <c r="C26" s="81">
        <v>25219.5</v>
      </c>
      <c r="D26" s="81">
        <v>26588</v>
      </c>
      <c r="E26" s="81">
        <v>24702</v>
      </c>
      <c r="F26" s="81">
        <v>24966.5</v>
      </c>
      <c r="G26" s="81">
        <v>26565</v>
      </c>
      <c r="H26" s="81">
        <v>25012.5</v>
      </c>
      <c r="I26" s="81">
        <v>25035.5</v>
      </c>
      <c r="J26" s="81">
        <v>26369.5</v>
      </c>
      <c r="K26" s="81">
        <v>24759.5</v>
      </c>
      <c r="L26" s="81">
        <v>25288.5</v>
      </c>
      <c r="M26" s="81">
        <v>23207</v>
      </c>
      <c r="N26" s="81">
        <v>27140</v>
      </c>
      <c r="O26" s="81">
        <v>28945.5</v>
      </c>
      <c r="P26" s="81">
        <v>27128.5</v>
      </c>
      <c r="Q26" s="81">
        <v>25012.5</v>
      </c>
      <c r="R26" s="81">
        <v>21884.5</v>
      </c>
      <c r="S26" s="81">
        <v>21355.5</v>
      </c>
      <c r="T26" s="81">
        <v>22160.5</v>
      </c>
      <c r="U26" s="81">
        <v>22678</v>
      </c>
      <c r="V26" s="81">
        <v>22643.5</v>
      </c>
      <c r="W26" s="81">
        <v>23149.5</v>
      </c>
      <c r="X26" s="81">
        <v>22091.5</v>
      </c>
      <c r="Y26" s="81">
        <v>20539</v>
      </c>
      <c r="Z26" s="81">
        <v>19768.5</v>
      </c>
      <c r="AA26" s="81">
        <v>18699</v>
      </c>
      <c r="AB26" s="81">
        <v>17652.5</v>
      </c>
      <c r="AC26" s="81">
        <v>18181.5</v>
      </c>
      <c r="AD26" s="81">
        <v>17917</v>
      </c>
      <c r="AE26" s="81">
        <v>18457.5</v>
      </c>
      <c r="AF26" s="81">
        <v>18181.5</v>
      </c>
      <c r="AG26" s="81"/>
      <c r="AH26" s="92">
        <f t="shared" si="2"/>
        <v>691299.5</v>
      </c>
      <c r="AI26" s="9"/>
    </row>
    <row r="27" customFormat="1" ht="15" spans="1:35">
      <c r="A27" s="91">
        <v>8</v>
      </c>
      <c r="B27" s="78" t="s">
        <v>31</v>
      </c>
      <c r="C27" s="81"/>
      <c r="D27" s="81"/>
      <c r="E27" s="81">
        <v>3699.8</v>
      </c>
      <c r="F27" s="81">
        <v>3699.8</v>
      </c>
      <c r="G27" s="81">
        <v>3699.8</v>
      </c>
      <c r="H27" s="81">
        <v>3699.8</v>
      </c>
      <c r="I27" s="81">
        <v>3699.8</v>
      </c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>
        <v>580</v>
      </c>
      <c r="AC27" s="81"/>
      <c r="AD27" s="81"/>
      <c r="AE27" s="81"/>
      <c r="AF27" s="81"/>
      <c r="AG27" s="81"/>
      <c r="AH27" s="92">
        <f t="shared" si="2"/>
        <v>19079</v>
      </c>
      <c r="AI27" s="9"/>
    </row>
    <row r="28" customFormat="1" ht="15" spans="1:35">
      <c r="A28" s="91">
        <v>9</v>
      </c>
      <c r="B28" s="78" t="s">
        <v>32</v>
      </c>
      <c r="C28" s="81">
        <v>2000</v>
      </c>
      <c r="D28" s="81">
        <v>2000</v>
      </c>
      <c r="E28" s="81">
        <v>2000</v>
      </c>
      <c r="F28" s="81">
        <v>2000</v>
      </c>
      <c r="G28" s="81">
        <v>2000</v>
      </c>
      <c r="H28" s="81">
        <v>2000</v>
      </c>
      <c r="I28" s="81">
        <v>2000</v>
      </c>
      <c r="J28" s="81">
        <v>2000</v>
      </c>
      <c r="K28" s="81">
        <v>2000</v>
      </c>
      <c r="L28" s="81">
        <v>2000</v>
      </c>
      <c r="M28" s="81">
        <v>2000</v>
      </c>
      <c r="N28" s="81">
        <v>2000</v>
      </c>
      <c r="O28" s="81">
        <v>2000</v>
      </c>
      <c r="P28" s="81">
        <v>2000</v>
      </c>
      <c r="Q28" s="81">
        <v>2000</v>
      </c>
      <c r="R28" s="81">
        <v>2000</v>
      </c>
      <c r="S28" s="81">
        <v>2000</v>
      </c>
      <c r="T28" s="81">
        <v>2000</v>
      </c>
      <c r="U28" s="81">
        <v>2000</v>
      </c>
      <c r="V28" s="81">
        <v>2000</v>
      </c>
      <c r="W28" s="81">
        <v>2000</v>
      </c>
      <c r="X28" s="81">
        <v>2000</v>
      </c>
      <c r="Y28" s="81">
        <v>2000</v>
      </c>
      <c r="Z28" s="81">
        <v>2000</v>
      </c>
      <c r="AA28" s="81">
        <v>2000</v>
      </c>
      <c r="AB28" s="81">
        <v>2000</v>
      </c>
      <c r="AC28" s="81">
        <v>2000</v>
      </c>
      <c r="AD28" s="81">
        <v>2000</v>
      </c>
      <c r="AE28" s="81">
        <v>2000</v>
      </c>
      <c r="AF28" s="81">
        <v>2000</v>
      </c>
      <c r="AG28" s="81"/>
      <c r="AH28" s="92">
        <f t="shared" si="2"/>
        <v>60000</v>
      </c>
      <c r="AI28" s="9"/>
    </row>
    <row r="29" customFormat="1" ht="15" spans="1:35">
      <c r="A29" s="91">
        <v>10</v>
      </c>
      <c r="B29" s="78" t="s">
        <v>33</v>
      </c>
      <c r="C29" s="81">
        <v>34945.1313333333</v>
      </c>
      <c r="D29" s="81">
        <v>34945.1313333333</v>
      </c>
      <c r="E29" s="81">
        <v>34945.1313333333</v>
      </c>
      <c r="F29" s="81">
        <v>34945.1313333333</v>
      </c>
      <c r="G29" s="81">
        <v>34945.1313333333</v>
      </c>
      <c r="H29" s="81">
        <v>34945.1313333333</v>
      </c>
      <c r="I29" s="81">
        <v>34945.1313333333</v>
      </c>
      <c r="J29" s="81">
        <v>34945.1313333333</v>
      </c>
      <c r="K29" s="81">
        <v>34945.1313333333</v>
      </c>
      <c r="L29" s="81">
        <v>34945.1313333333</v>
      </c>
      <c r="M29" s="81">
        <v>34945.1313333333</v>
      </c>
      <c r="N29" s="81">
        <v>34945.1313333333</v>
      </c>
      <c r="O29" s="81">
        <v>34945.1313333333</v>
      </c>
      <c r="P29" s="81">
        <v>34945.1313333333</v>
      </c>
      <c r="Q29" s="81">
        <v>34945.1313333333</v>
      </c>
      <c r="R29" s="81">
        <v>34945.1313333333</v>
      </c>
      <c r="S29" s="81">
        <v>34945.1313333333</v>
      </c>
      <c r="T29" s="81">
        <v>34945.1313333333</v>
      </c>
      <c r="U29" s="81">
        <v>34945.1313333333</v>
      </c>
      <c r="V29" s="81">
        <v>34945.1313333333</v>
      </c>
      <c r="W29" s="81">
        <v>34945.1313333333</v>
      </c>
      <c r="X29" s="81">
        <v>34945.1313333333</v>
      </c>
      <c r="Y29" s="81">
        <v>34945.1313333333</v>
      </c>
      <c r="Z29" s="81">
        <v>34945.1313333333</v>
      </c>
      <c r="AA29" s="81">
        <v>34945.1313333333</v>
      </c>
      <c r="AB29" s="81">
        <v>34945.1313333333</v>
      </c>
      <c r="AC29" s="81">
        <v>34945.1313333333</v>
      </c>
      <c r="AD29" s="81">
        <v>34945.1313333333</v>
      </c>
      <c r="AE29" s="81">
        <v>34945.1313333333</v>
      </c>
      <c r="AF29" s="81">
        <v>34945.1313333333</v>
      </c>
      <c r="AG29" s="81"/>
      <c r="AH29" s="92">
        <f t="shared" si="2"/>
        <v>1048353.94</v>
      </c>
    </row>
    <row r="30" s="7" customFormat="1" ht="15.6" spans="1:35">
      <c r="A30" s="93" t="s">
        <v>34</v>
      </c>
      <c r="B30" s="93"/>
      <c r="C30" s="27">
        <v>125367.531333333</v>
      </c>
      <c r="D30" s="27">
        <v>126135.281333333</v>
      </c>
      <c r="E30" s="27">
        <v>128346.381333333</v>
      </c>
      <c r="F30" s="27">
        <v>129486.381333333</v>
      </c>
      <c r="G30" s="27">
        <v>129699.531333333</v>
      </c>
      <c r="H30" s="27">
        <v>130797.231333333</v>
      </c>
      <c r="I30" s="27">
        <v>130699.331333333</v>
      </c>
      <c r="J30" s="27">
        <v>127657.631333333</v>
      </c>
      <c r="K30" s="27">
        <v>126420.631333333</v>
      </c>
      <c r="L30" s="27">
        <v>127416.931333333</v>
      </c>
      <c r="M30" s="27">
        <v>126018.231333333</v>
      </c>
      <c r="N30" s="27">
        <v>130999.731333333</v>
      </c>
      <c r="O30" s="27">
        <v>130444.331333333</v>
      </c>
      <c r="P30" s="27">
        <v>131637.531333333</v>
      </c>
      <c r="Q30" s="27">
        <v>125825.831333333</v>
      </c>
      <c r="R30" s="27">
        <v>119911.131333333</v>
      </c>
      <c r="S30" s="27">
        <v>120219.731333333</v>
      </c>
      <c r="T30" s="27">
        <v>124639.231333333</v>
      </c>
      <c r="U30" s="27">
        <v>125768.931333333</v>
      </c>
      <c r="V30" s="27">
        <v>128853.831333333</v>
      </c>
      <c r="W30" s="27">
        <v>128344.631333333</v>
      </c>
      <c r="X30" s="27">
        <v>124372.931333333</v>
      </c>
      <c r="Y30" s="27">
        <v>121390.031333333</v>
      </c>
      <c r="Z30" s="27">
        <v>120848.331333333</v>
      </c>
      <c r="AA30" s="27">
        <v>123986.131333333</v>
      </c>
      <c r="AB30" s="27">
        <v>122822.931333333</v>
      </c>
      <c r="AC30" s="27">
        <v>123948.631333333</v>
      </c>
      <c r="AD30" s="27">
        <v>123432.131333333</v>
      </c>
      <c r="AE30" s="27">
        <v>122368.131333333</v>
      </c>
      <c r="AF30" s="27">
        <v>119675.631333333</v>
      </c>
      <c r="AG30" s="27"/>
      <c r="AH30" s="27">
        <f>SUM(AH20:AH29)</f>
        <v>3777534.89</v>
      </c>
    </row>
    <row r="31" s="7" customFormat="1" ht="15.6" spans="1:35">
      <c r="A31" s="39" t="s">
        <v>35</v>
      </c>
      <c r="B31" s="39"/>
      <c r="C31" s="27">
        <v>1044.31</v>
      </c>
      <c r="D31" s="27">
        <v>1099.6</v>
      </c>
      <c r="E31" s="27">
        <v>1032.84</v>
      </c>
      <c r="F31" s="27">
        <v>1075.05</v>
      </c>
      <c r="G31" s="27">
        <v>1095.91</v>
      </c>
      <c r="H31" s="27">
        <v>1115.39</v>
      </c>
      <c r="I31" s="27">
        <v>1097.97</v>
      </c>
      <c r="J31" s="27">
        <v>1072.68</v>
      </c>
      <c r="K31" s="27">
        <v>1016.59</v>
      </c>
      <c r="L31" s="27">
        <v>1077.76</v>
      </c>
      <c r="M31" s="27">
        <v>1067.43</v>
      </c>
      <c r="N31" s="27">
        <v>1175.54</v>
      </c>
      <c r="O31" s="27">
        <v>1171.15</v>
      </c>
      <c r="P31" s="27">
        <v>1180.4</v>
      </c>
      <c r="Q31" s="27">
        <v>1075.16</v>
      </c>
      <c r="R31" s="27">
        <v>1001.43</v>
      </c>
      <c r="S31" s="27">
        <v>973.6</v>
      </c>
      <c r="T31" s="27">
        <v>1016.22</v>
      </c>
      <c r="U31" s="27">
        <v>1099.84</v>
      </c>
      <c r="V31" s="27">
        <v>1130.07</v>
      </c>
      <c r="W31" s="27">
        <v>1110.04</v>
      </c>
      <c r="X31" s="27">
        <v>1105.43</v>
      </c>
      <c r="Y31" s="27">
        <v>1022.68</v>
      </c>
      <c r="Z31" s="27">
        <v>986.07</v>
      </c>
      <c r="AA31" s="27">
        <v>1048.73</v>
      </c>
      <c r="AB31" s="27">
        <v>1061.22</v>
      </c>
      <c r="AC31" s="27">
        <v>1077.25</v>
      </c>
      <c r="AD31" s="27">
        <v>1089.57</v>
      </c>
      <c r="AE31" s="27">
        <v>1060.4</v>
      </c>
      <c r="AF31" s="27">
        <v>1006.6</v>
      </c>
      <c r="AG31" s="27"/>
      <c r="AH31" s="27">
        <f t="shared" ref="AH31:AH34" si="3">SUM(C31:AG31)</f>
        <v>32186.93</v>
      </c>
    </row>
    <row r="32" s="7" customFormat="1" spans="1:35">
      <c r="A32" s="94" t="s">
        <v>36</v>
      </c>
      <c r="B32" s="94"/>
      <c r="C32" s="27">
        <v>18631.73</v>
      </c>
      <c r="D32" s="27">
        <v>25487.57</v>
      </c>
      <c r="E32" s="27">
        <v>14070.94</v>
      </c>
      <c r="F32" s="27">
        <v>18751.69</v>
      </c>
      <c r="G32" s="27">
        <v>21414.02</v>
      </c>
      <c r="H32" s="27">
        <v>23002.42</v>
      </c>
      <c r="I32" s="27">
        <v>20698.7</v>
      </c>
      <c r="J32" s="27">
        <v>20252.72</v>
      </c>
      <c r="K32" s="27">
        <v>13756.52</v>
      </c>
      <c r="L32" s="27">
        <v>21193.83</v>
      </c>
      <c r="M32" s="27">
        <v>21168.29</v>
      </c>
      <c r="N32" s="27">
        <v>31094.42</v>
      </c>
      <c r="O32" s="27">
        <v>31044.65</v>
      </c>
      <c r="P32" s="27">
        <v>31127.05</v>
      </c>
      <c r="Q32" s="27">
        <v>22427.24</v>
      </c>
      <c r="R32" s="27">
        <v>18175.41</v>
      </c>
      <c r="S32" s="27">
        <v>14029.4</v>
      </c>
      <c r="T32" s="27">
        <v>15486.08</v>
      </c>
      <c r="U32" s="27">
        <v>25886.71</v>
      </c>
      <c r="V32" s="27">
        <v>26970.69</v>
      </c>
      <c r="W32" s="27">
        <v>24718.08</v>
      </c>
      <c r="X32" s="27">
        <v>28054.01</v>
      </c>
      <c r="Y32" s="27">
        <v>19625.7</v>
      </c>
      <c r="Z32" s="27">
        <v>15119.34</v>
      </c>
      <c r="AA32" s="27">
        <v>20622.66</v>
      </c>
      <c r="AB32" s="27">
        <v>23507.05</v>
      </c>
      <c r="AC32" s="27">
        <v>24592.03</v>
      </c>
      <c r="AD32" s="27">
        <v>26806.92</v>
      </c>
      <c r="AE32" s="27">
        <v>23849.6</v>
      </c>
      <c r="AF32" s="27">
        <v>19123.02</v>
      </c>
      <c r="AG32" s="27"/>
      <c r="AH32" s="27">
        <f>AH11-AH30-AH31</f>
        <v>660688.450000001</v>
      </c>
    </row>
    <row r="33" customFormat="1" ht="15" spans="1:35">
      <c r="A33" s="91">
        <v>1</v>
      </c>
      <c r="B33" s="95" t="s">
        <v>37</v>
      </c>
      <c r="C33" s="86">
        <v>11612.58</v>
      </c>
      <c r="D33" s="86">
        <v>11612.58</v>
      </c>
      <c r="E33" s="86">
        <v>11612.58</v>
      </c>
      <c r="F33" s="86">
        <v>11612.58</v>
      </c>
      <c r="G33" s="86">
        <v>11612.58</v>
      </c>
      <c r="H33" s="86">
        <v>11612.58</v>
      </c>
      <c r="I33" s="86">
        <v>11612.58</v>
      </c>
      <c r="J33" s="86">
        <v>11612.58</v>
      </c>
      <c r="K33" s="86">
        <v>11612.58</v>
      </c>
      <c r="L33" s="86">
        <v>11612.58</v>
      </c>
      <c r="M33" s="86">
        <v>11612.58</v>
      </c>
      <c r="N33" s="86">
        <v>11612.58</v>
      </c>
      <c r="O33" s="86">
        <v>11612.58</v>
      </c>
      <c r="P33" s="86">
        <v>11612.58</v>
      </c>
      <c r="Q33" s="86">
        <v>11612.58</v>
      </c>
      <c r="R33" s="86">
        <v>11612.58</v>
      </c>
      <c r="S33" s="86">
        <v>11612.58</v>
      </c>
      <c r="T33" s="86">
        <v>11612.58</v>
      </c>
      <c r="U33" s="86">
        <v>11612.58</v>
      </c>
      <c r="V33" s="86">
        <v>11612.58</v>
      </c>
      <c r="W33" s="86">
        <v>11612.58</v>
      </c>
      <c r="X33" s="86">
        <v>11612.58</v>
      </c>
      <c r="Y33" s="86">
        <v>11612.58</v>
      </c>
      <c r="Z33" s="86">
        <v>11612.58</v>
      </c>
      <c r="AA33" s="86">
        <v>11612.58</v>
      </c>
      <c r="AB33" s="86">
        <v>11612.58</v>
      </c>
      <c r="AC33" s="86">
        <v>11612.58</v>
      </c>
      <c r="AD33" s="86">
        <v>11612.58</v>
      </c>
      <c r="AE33" s="86">
        <v>11612.58</v>
      </c>
      <c r="AF33" s="86">
        <v>11612.58</v>
      </c>
      <c r="AG33" s="86"/>
      <c r="AH33" s="87">
        <f t="shared" si="3"/>
        <v>348377.4</v>
      </c>
      <c r="AI33" s="9"/>
    </row>
    <row r="34" customFormat="1" ht="15" spans="1:35">
      <c r="A34" s="91">
        <v>2</v>
      </c>
      <c r="B34" s="95" t="s">
        <v>38</v>
      </c>
      <c r="C34" s="86">
        <v>703.33</v>
      </c>
      <c r="D34" s="86">
        <v>703.33</v>
      </c>
      <c r="E34" s="86">
        <v>703.33</v>
      </c>
      <c r="F34" s="86">
        <v>703.33</v>
      </c>
      <c r="G34" s="86">
        <v>703.33</v>
      </c>
      <c r="H34" s="86">
        <v>703.33</v>
      </c>
      <c r="I34" s="86">
        <v>703.33</v>
      </c>
      <c r="J34" s="86">
        <v>703.33</v>
      </c>
      <c r="K34" s="86">
        <v>703.33</v>
      </c>
      <c r="L34" s="86">
        <v>703.33</v>
      </c>
      <c r="M34" s="86">
        <v>703.33</v>
      </c>
      <c r="N34" s="86">
        <v>703.33</v>
      </c>
      <c r="O34" s="86">
        <v>703.33</v>
      </c>
      <c r="P34" s="86">
        <v>703.33</v>
      </c>
      <c r="Q34" s="86">
        <v>703.33</v>
      </c>
      <c r="R34" s="86">
        <v>703.33</v>
      </c>
      <c r="S34" s="86">
        <v>703.33</v>
      </c>
      <c r="T34" s="86">
        <v>703.33</v>
      </c>
      <c r="U34" s="86">
        <v>703.33</v>
      </c>
      <c r="V34" s="86">
        <v>703.33</v>
      </c>
      <c r="W34" s="86">
        <v>703.33</v>
      </c>
      <c r="X34" s="86">
        <v>703.33</v>
      </c>
      <c r="Y34" s="86">
        <v>703.33</v>
      </c>
      <c r="Z34" s="86">
        <v>703.33</v>
      </c>
      <c r="AA34" s="86">
        <v>703.33</v>
      </c>
      <c r="AB34" s="86">
        <v>703.33</v>
      </c>
      <c r="AC34" s="86">
        <v>703.33</v>
      </c>
      <c r="AD34" s="86">
        <v>703.33</v>
      </c>
      <c r="AE34" s="86">
        <v>703.33</v>
      </c>
      <c r="AF34" s="86">
        <v>703.33</v>
      </c>
      <c r="AG34" s="86"/>
      <c r="AH34" s="92">
        <f t="shared" si="3"/>
        <v>21099.9</v>
      </c>
      <c r="AI34" s="9"/>
    </row>
    <row r="35" customFormat="1" ht="15" spans="1:35">
      <c r="A35" s="91">
        <v>3</v>
      </c>
      <c r="B35" s="95" t="s">
        <v>39</v>
      </c>
      <c r="C35" s="86">
        <v>1350</v>
      </c>
      <c r="D35" s="86">
        <v>1350</v>
      </c>
      <c r="E35" s="86">
        <v>1350</v>
      </c>
      <c r="F35" s="86">
        <v>1350</v>
      </c>
      <c r="G35" s="86">
        <v>1350</v>
      </c>
      <c r="H35" s="86">
        <v>1350</v>
      </c>
      <c r="I35" s="86">
        <v>1350</v>
      </c>
      <c r="J35" s="86">
        <v>1350</v>
      </c>
      <c r="K35" s="86">
        <v>1350</v>
      </c>
      <c r="L35" s="86">
        <v>1350</v>
      </c>
      <c r="M35" s="86">
        <v>1350</v>
      </c>
      <c r="N35" s="86">
        <v>1350</v>
      </c>
      <c r="O35" s="86">
        <v>1350</v>
      </c>
      <c r="P35" s="86">
        <v>1350</v>
      </c>
      <c r="Q35" s="86">
        <v>1350</v>
      </c>
      <c r="R35" s="86">
        <v>1350</v>
      </c>
      <c r="S35" s="86">
        <v>1350</v>
      </c>
      <c r="T35" s="86">
        <v>1350</v>
      </c>
      <c r="U35" s="86">
        <v>1350</v>
      </c>
      <c r="V35" s="86">
        <v>1350</v>
      </c>
      <c r="W35" s="86">
        <v>1350</v>
      </c>
      <c r="X35" s="86">
        <v>1350</v>
      </c>
      <c r="Y35" s="86">
        <v>1350</v>
      </c>
      <c r="Z35" s="86">
        <v>1350</v>
      </c>
      <c r="AA35" s="86">
        <v>1350</v>
      </c>
      <c r="AB35" s="86">
        <v>1350</v>
      </c>
      <c r="AC35" s="86">
        <v>1350</v>
      </c>
      <c r="AD35" s="86">
        <v>1350</v>
      </c>
      <c r="AE35" s="86">
        <v>1350</v>
      </c>
      <c r="AF35" s="86">
        <v>1350</v>
      </c>
      <c r="AG35" s="86"/>
      <c r="AH35" s="92">
        <f>ROUND(SUM(C35:AG35),2)</f>
        <v>40500</v>
      </c>
      <c r="AI35" s="9"/>
    </row>
    <row r="36" customFormat="1" ht="15" spans="1:35">
      <c r="A36" s="91">
        <v>4</v>
      </c>
      <c r="B36" s="78" t="s">
        <v>26</v>
      </c>
      <c r="C36" s="81">
        <v>5</v>
      </c>
      <c r="D36" s="86">
        <v>5</v>
      </c>
      <c r="E36" s="86">
        <v>5</v>
      </c>
      <c r="F36" s="86">
        <v>5</v>
      </c>
      <c r="G36" s="86">
        <v>5</v>
      </c>
      <c r="H36" s="86">
        <v>5</v>
      </c>
      <c r="I36" s="86">
        <v>5</v>
      </c>
      <c r="J36" s="86">
        <v>5</v>
      </c>
      <c r="K36" s="86">
        <v>5</v>
      </c>
      <c r="L36" s="86">
        <v>5</v>
      </c>
      <c r="M36" s="86">
        <v>5</v>
      </c>
      <c r="N36" s="86">
        <v>5</v>
      </c>
      <c r="O36" s="86">
        <v>5</v>
      </c>
      <c r="P36" s="86">
        <v>5</v>
      </c>
      <c r="Q36" s="86">
        <v>5</v>
      </c>
      <c r="R36" s="86">
        <v>5</v>
      </c>
      <c r="S36" s="86">
        <v>5</v>
      </c>
      <c r="T36" s="86">
        <v>5</v>
      </c>
      <c r="U36" s="86">
        <v>5</v>
      </c>
      <c r="V36" s="86">
        <v>5</v>
      </c>
      <c r="W36" s="86">
        <v>5</v>
      </c>
      <c r="X36" s="86">
        <v>5</v>
      </c>
      <c r="Y36" s="86">
        <v>5</v>
      </c>
      <c r="Z36" s="86">
        <v>5</v>
      </c>
      <c r="AA36" s="86">
        <v>5</v>
      </c>
      <c r="AB36" s="86">
        <v>5</v>
      </c>
      <c r="AC36" s="86">
        <v>5</v>
      </c>
      <c r="AD36" s="86">
        <v>5</v>
      </c>
      <c r="AE36" s="86">
        <v>5</v>
      </c>
      <c r="AF36" s="86">
        <v>5</v>
      </c>
      <c r="AG36" s="86"/>
      <c r="AH36" s="87">
        <f t="shared" ref="AH36:AH43" si="4">SUM(C36:AG36)</f>
        <v>150</v>
      </c>
      <c r="AI36" s="9"/>
    </row>
    <row r="37" customFormat="1" ht="15" spans="1:35">
      <c r="A37" s="91">
        <v>5</v>
      </c>
      <c r="B37" s="78" t="s">
        <v>27</v>
      </c>
      <c r="C37" s="81">
        <v>7.5</v>
      </c>
      <c r="D37" s="86">
        <v>7.5</v>
      </c>
      <c r="E37" s="86">
        <v>7.5</v>
      </c>
      <c r="F37" s="86">
        <v>7.5</v>
      </c>
      <c r="G37" s="86">
        <v>7.5</v>
      </c>
      <c r="H37" s="86">
        <v>7.5</v>
      </c>
      <c r="I37" s="86">
        <v>7.5</v>
      </c>
      <c r="J37" s="86">
        <v>7.5</v>
      </c>
      <c r="K37" s="86">
        <v>7.5</v>
      </c>
      <c r="L37" s="86">
        <v>7.5</v>
      </c>
      <c r="M37" s="86">
        <v>7.5</v>
      </c>
      <c r="N37" s="86">
        <v>7.5</v>
      </c>
      <c r="O37" s="86">
        <v>7.5</v>
      </c>
      <c r="P37" s="86">
        <v>7.5</v>
      </c>
      <c r="Q37" s="86">
        <v>7.5</v>
      </c>
      <c r="R37" s="86">
        <v>7.5</v>
      </c>
      <c r="S37" s="86">
        <v>7.5</v>
      </c>
      <c r="T37" s="86">
        <v>7.5</v>
      </c>
      <c r="U37" s="86">
        <v>7.5</v>
      </c>
      <c r="V37" s="86">
        <v>7.5</v>
      </c>
      <c r="W37" s="86">
        <v>7.5</v>
      </c>
      <c r="X37" s="86">
        <v>7.5</v>
      </c>
      <c r="Y37" s="86">
        <v>7.5</v>
      </c>
      <c r="Z37" s="86">
        <v>7.5</v>
      </c>
      <c r="AA37" s="86">
        <v>7.5</v>
      </c>
      <c r="AB37" s="86">
        <v>7.5</v>
      </c>
      <c r="AC37" s="86">
        <v>7.5</v>
      </c>
      <c r="AD37" s="86">
        <v>7.5</v>
      </c>
      <c r="AE37" s="86">
        <v>7.5</v>
      </c>
      <c r="AF37" s="86">
        <v>7.5</v>
      </c>
      <c r="AG37" s="86"/>
      <c r="AH37" s="87">
        <f t="shared" si="4"/>
        <v>225</v>
      </c>
      <c r="AI37" s="9"/>
    </row>
    <row r="38" customFormat="1" ht="15" spans="1:35">
      <c r="A38" s="91">
        <v>6</v>
      </c>
      <c r="B38" s="95" t="s">
        <v>40</v>
      </c>
      <c r="C38" s="86"/>
      <c r="D38" s="86"/>
      <c r="E38" s="86"/>
      <c r="F38" s="86"/>
      <c r="G38" s="9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7">
        <f t="shared" si="4"/>
        <v>0</v>
      </c>
      <c r="AI38" s="9"/>
    </row>
    <row r="39" customFormat="1" ht="15" spans="1:35">
      <c r="A39" s="91">
        <v>7</v>
      </c>
      <c r="B39" s="96" t="s">
        <v>41</v>
      </c>
      <c r="C39" s="81">
        <v>240</v>
      </c>
      <c r="D39" s="81">
        <v>280</v>
      </c>
      <c r="E39" s="81">
        <v>300</v>
      </c>
      <c r="F39" s="81">
        <v>320</v>
      </c>
      <c r="G39" s="81">
        <v>360</v>
      </c>
      <c r="H39" s="81">
        <v>340</v>
      </c>
      <c r="I39" s="81">
        <v>320</v>
      </c>
      <c r="J39" s="81">
        <v>360</v>
      </c>
      <c r="K39" s="81">
        <v>420</v>
      </c>
      <c r="L39" s="81">
        <v>380</v>
      </c>
      <c r="M39" s="81">
        <v>360</v>
      </c>
      <c r="N39" s="81">
        <v>380</v>
      </c>
      <c r="O39" s="81">
        <v>300</v>
      </c>
      <c r="P39" s="81">
        <v>340</v>
      </c>
      <c r="Q39" s="81">
        <v>320</v>
      </c>
      <c r="R39" s="81">
        <v>280</v>
      </c>
      <c r="S39" s="81">
        <v>340</v>
      </c>
      <c r="T39" s="81">
        <v>360</v>
      </c>
      <c r="U39" s="81">
        <v>360</v>
      </c>
      <c r="V39" s="81">
        <v>400</v>
      </c>
      <c r="W39" s="81">
        <v>420</v>
      </c>
      <c r="X39" s="81">
        <v>340</v>
      </c>
      <c r="Y39" s="81">
        <v>420</v>
      </c>
      <c r="Z39" s="81">
        <v>380</v>
      </c>
      <c r="AA39" s="81">
        <v>340</v>
      </c>
      <c r="AB39" s="81">
        <v>340</v>
      </c>
      <c r="AC39" s="81">
        <v>360</v>
      </c>
      <c r="AD39" s="81">
        <v>360</v>
      </c>
      <c r="AE39" s="81">
        <v>380</v>
      </c>
      <c r="AF39" s="81">
        <v>320</v>
      </c>
      <c r="AG39" s="81"/>
      <c r="AH39" s="87">
        <f t="shared" si="4"/>
        <v>10420</v>
      </c>
      <c r="AI39" s="9"/>
    </row>
    <row r="40" customFormat="1" ht="15" spans="1:35">
      <c r="A40" s="91">
        <v>8</v>
      </c>
      <c r="B40" s="99" t="s">
        <v>42</v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7">
        <f t="shared" si="4"/>
        <v>0</v>
      </c>
      <c r="AI40" s="9"/>
    </row>
    <row r="41" customFormat="1" ht="15" spans="1:35">
      <c r="A41" s="91">
        <v>9</v>
      </c>
      <c r="B41" s="99" t="s">
        <v>43</v>
      </c>
      <c r="C41" s="81">
        <v>375.7</v>
      </c>
      <c r="D41" s="81">
        <v>1136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>
        <v>269</v>
      </c>
      <c r="AG41" s="81"/>
      <c r="AH41" s="87">
        <f t="shared" si="4"/>
        <v>1780.7</v>
      </c>
      <c r="AI41" s="9"/>
    </row>
    <row r="42" customFormat="1" ht="15" spans="1:35">
      <c r="A42" s="91">
        <v>10</v>
      </c>
      <c r="B42" s="100" t="s">
        <v>44</v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7">
        <f t="shared" si="4"/>
        <v>0</v>
      </c>
      <c r="AI42" s="9"/>
    </row>
    <row r="43" customFormat="1" ht="15" spans="1:35">
      <c r="A43" s="91">
        <v>11</v>
      </c>
      <c r="B43" s="95" t="s">
        <v>45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7">
        <f t="shared" si="4"/>
        <v>0</v>
      </c>
      <c r="AI43" s="9"/>
    </row>
    <row r="44" customFormat="1" ht="13.5" hidden="1" customHeight="1" spans="1:35">
      <c r="A44" s="91">
        <v>13</v>
      </c>
      <c r="B44" s="95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7"/>
      <c r="AI44" s="9"/>
    </row>
    <row r="45" customFormat="1" ht="15" hidden="1" spans="1:35">
      <c r="A45" s="91">
        <v>14</v>
      </c>
      <c r="B45" s="10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7"/>
      <c r="AI45" s="9"/>
    </row>
    <row r="46" s="7" customFormat="1" ht="15.6" spans="1:35">
      <c r="A46" s="102" t="s">
        <v>46</v>
      </c>
      <c r="B46" s="102"/>
      <c r="C46" s="42">
        <f t="shared" ref="C46:AE46" si="5">SUM(C33:C45)</f>
        <v>14294.11</v>
      </c>
      <c r="D46" s="42">
        <f t="shared" si="5"/>
        <v>15094.41</v>
      </c>
      <c r="E46" s="42">
        <f t="shared" si="5"/>
        <v>13978.41</v>
      </c>
      <c r="F46" s="42">
        <f t="shared" si="5"/>
        <v>13998.41</v>
      </c>
      <c r="G46" s="42">
        <f t="shared" si="5"/>
        <v>14038.41</v>
      </c>
      <c r="H46" s="42">
        <f t="shared" si="5"/>
        <v>14018.41</v>
      </c>
      <c r="I46" s="42">
        <f t="shared" si="5"/>
        <v>13998.41</v>
      </c>
      <c r="J46" s="42">
        <f t="shared" si="5"/>
        <v>14038.41</v>
      </c>
      <c r="K46" s="42">
        <f t="shared" si="5"/>
        <v>14098.41</v>
      </c>
      <c r="L46" s="42">
        <f t="shared" si="5"/>
        <v>14058.41</v>
      </c>
      <c r="M46" s="42">
        <f t="shared" si="5"/>
        <v>14038.41</v>
      </c>
      <c r="N46" s="42">
        <f t="shared" si="5"/>
        <v>14058.41</v>
      </c>
      <c r="O46" s="42">
        <f t="shared" si="5"/>
        <v>13978.41</v>
      </c>
      <c r="P46" s="42">
        <f t="shared" si="5"/>
        <v>14018.41</v>
      </c>
      <c r="Q46" s="42">
        <f t="shared" si="5"/>
        <v>13998.41</v>
      </c>
      <c r="R46" s="42">
        <f t="shared" si="5"/>
        <v>13958.41</v>
      </c>
      <c r="S46" s="42">
        <f t="shared" si="5"/>
        <v>14018.41</v>
      </c>
      <c r="T46" s="42">
        <f t="shared" si="5"/>
        <v>14038.41</v>
      </c>
      <c r="U46" s="42">
        <f t="shared" si="5"/>
        <v>14038.41</v>
      </c>
      <c r="V46" s="42">
        <f t="shared" si="5"/>
        <v>14078.41</v>
      </c>
      <c r="W46" s="42">
        <f t="shared" si="5"/>
        <v>14098.41</v>
      </c>
      <c r="X46" s="42">
        <f t="shared" si="5"/>
        <v>14018.41</v>
      </c>
      <c r="Y46" s="42">
        <f t="shared" si="5"/>
        <v>14098.41</v>
      </c>
      <c r="Z46" s="42">
        <f t="shared" si="5"/>
        <v>14058.41</v>
      </c>
      <c r="AA46" s="42">
        <f t="shared" si="5"/>
        <v>14018.41</v>
      </c>
      <c r="AB46" s="42">
        <f t="shared" si="5"/>
        <v>14018.41</v>
      </c>
      <c r="AC46" s="42">
        <f t="shared" si="5"/>
        <v>14038.41</v>
      </c>
      <c r="AD46" s="42">
        <f t="shared" si="5"/>
        <v>14038.41</v>
      </c>
      <c r="AE46" s="42">
        <f t="shared" si="5"/>
        <v>14058.41</v>
      </c>
      <c r="AF46" s="42">
        <f t="shared" ref="AF46:AH46" si="6">SUM(AF33:AF45)</f>
        <v>14267.41</v>
      </c>
      <c r="AG46" s="42">
        <f t="shared" si="6"/>
        <v>0</v>
      </c>
      <c r="AH46" s="42">
        <f t="shared" si="6"/>
        <v>422553</v>
      </c>
    </row>
    <row r="47" s="7" customFormat="1" ht="15.6" spans="1:35">
      <c r="A47" s="102" t="s">
        <v>47</v>
      </c>
      <c r="B47" s="102"/>
      <c r="C47" s="27">
        <f>ROUND(C32-C46,2)</f>
        <v>4337.62</v>
      </c>
      <c r="D47" s="27">
        <f t="shared" ref="D47:AG47" si="7">D32-D46</f>
        <v>10393.16</v>
      </c>
      <c r="E47" s="27">
        <f t="shared" si="7"/>
        <v>92.5300000000007</v>
      </c>
      <c r="F47" s="27">
        <f t="shared" si="7"/>
        <v>4753.28</v>
      </c>
      <c r="G47" s="27">
        <f t="shared" si="7"/>
        <v>7375.61</v>
      </c>
      <c r="H47" s="27">
        <f t="shared" si="7"/>
        <v>8984.01</v>
      </c>
      <c r="I47" s="27">
        <f t="shared" si="7"/>
        <v>6700.29</v>
      </c>
      <c r="J47" s="27">
        <f t="shared" si="7"/>
        <v>6214.31</v>
      </c>
      <c r="K47" s="27">
        <f t="shared" si="7"/>
        <v>-341.889999999999</v>
      </c>
      <c r="L47" s="27">
        <f t="shared" si="7"/>
        <v>7135.42</v>
      </c>
      <c r="M47" s="27">
        <f t="shared" si="7"/>
        <v>7129.88</v>
      </c>
      <c r="N47" s="27">
        <f t="shared" si="7"/>
        <v>17036.01</v>
      </c>
      <c r="O47" s="27">
        <f t="shared" si="7"/>
        <v>17066.24</v>
      </c>
      <c r="P47" s="27">
        <f t="shared" si="7"/>
        <v>17108.64</v>
      </c>
      <c r="Q47" s="27">
        <f t="shared" si="7"/>
        <v>8428.83</v>
      </c>
      <c r="R47" s="27">
        <f t="shared" si="7"/>
        <v>4217</v>
      </c>
      <c r="S47" s="27">
        <f t="shared" si="7"/>
        <v>10.9899999999998</v>
      </c>
      <c r="T47" s="27">
        <f t="shared" si="7"/>
        <v>1447.67</v>
      </c>
      <c r="U47" s="27">
        <f t="shared" si="7"/>
        <v>11848.3</v>
      </c>
      <c r="V47" s="27">
        <f t="shared" si="7"/>
        <v>12892.28</v>
      </c>
      <c r="W47" s="27">
        <f t="shared" si="7"/>
        <v>10619.67</v>
      </c>
      <c r="X47" s="27">
        <f t="shared" si="7"/>
        <v>14035.6</v>
      </c>
      <c r="Y47" s="27">
        <f t="shared" si="7"/>
        <v>5527.29</v>
      </c>
      <c r="Z47" s="27">
        <f t="shared" si="7"/>
        <v>1060.93</v>
      </c>
      <c r="AA47" s="27">
        <f t="shared" si="7"/>
        <v>6604.25</v>
      </c>
      <c r="AB47" s="27">
        <f t="shared" si="7"/>
        <v>9488.64</v>
      </c>
      <c r="AC47" s="27">
        <f t="shared" si="7"/>
        <v>10553.62</v>
      </c>
      <c r="AD47" s="27">
        <f t="shared" si="7"/>
        <v>12768.51</v>
      </c>
      <c r="AE47" s="27">
        <f t="shared" si="7"/>
        <v>9791.19</v>
      </c>
      <c r="AF47" s="27">
        <f t="shared" si="7"/>
        <v>4855.61</v>
      </c>
      <c r="AG47" s="27">
        <f t="shared" si="7"/>
        <v>0</v>
      </c>
      <c r="AH47" s="27">
        <f>ROUND(AH32-AH46,2)</f>
        <v>238135.45</v>
      </c>
    </row>
    <row r="48" s="9" customFormat="1" ht="222" customHeight="1" spans="1:35">
      <c r="A48" s="103" t="s">
        <v>48</v>
      </c>
      <c r="B48" s="103"/>
      <c r="C48" s="48" t="s">
        <v>115</v>
      </c>
      <c r="D48" s="48"/>
      <c r="E48" s="48" t="s">
        <v>116</v>
      </c>
      <c r="F48" s="48" t="s">
        <v>116</v>
      </c>
      <c r="G48" s="48"/>
      <c r="H48" s="48"/>
      <c r="I48" s="48" t="s">
        <v>117</v>
      </c>
      <c r="J48" s="48" t="s">
        <v>118</v>
      </c>
      <c r="K48" s="48" t="s">
        <v>118</v>
      </c>
      <c r="L48" s="48" t="s">
        <v>119</v>
      </c>
      <c r="M48" s="48" t="s">
        <v>120</v>
      </c>
      <c r="N48" s="48" t="s">
        <v>120</v>
      </c>
      <c r="O48" s="51" t="s">
        <v>121</v>
      </c>
      <c r="P48" s="51" t="s">
        <v>122</v>
      </c>
      <c r="Q48" s="51" t="s">
        <v>123</v>
      </c>
      <c r="R48" s="51" t="s">
        <v>124</v>
      </c>
      <c r="S48" s="51" t="s">
        <v>125</v>
      </c>
      <c r="T48" s="51" t="s">
        <v>126</v>
      </c>
      <c r="U48" s="51"/>
      <c r="V48" s="48"/>
      <c r="W48" s="51" t="s">
        <v>127</v>
      </c>
      <c r="X48" s="51"/>
      <c r="Y48" s="51" t="s">
        <v>128</v>
      </c>
      <c r="Z48" s="51" t="s">
        <v>129</v>
      </c>
      <c r="AA48" s="51" t="s">
        <v>128</v>
      </c>
      <c r="AB48" s="51" t="s">
        <v>128</v>
      </c>
      <c r="AC48" s="51" t="s">
        <v>128</v>
      </c>
      <c r="AD48" s="51" t="s">
        <v>128</v>
      </c>
      <c r="AE48" s="51" t="s">
        <v>128</v>
      </c>
      <c r="AF48" s="51" t="s">
        <v>128</v>
      </c>
      <c r="AG48" s="114"/>
      <c r="AH48" s="53"/>
    </row>
    <row r="49" customFormat="1" ht="15.6" spans="1:35">
      <c r="A49" s="104" t="s">
        <v>58</v>
      </c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9"/>
    </row>
    <row r="50" customFormat="1" ht="18" customHeight="1" spans="1:35">
      <c r="A50" s="9"/>
      <c r="B50" s="9"/>
      <c r="C50" s="106"/>
      <c r="D50" s="106"/>
      <c r="E50" s="106"/>
      <c r="F50" s="106"/>
      <c r="G50" s="106"/>
      <c r="H50" s="107"/>
      <c r="I50" s="108"/>
      <c r="J50" s="108"/>
      <c r="K50" s="108"/>
      <c r="L50" s="108"/>
      <c r="M50" s="10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customFormat="1" ht="18" customHeight="1" spans="1:35">
      <c r="A51" s="9"/>
      <c r="B51" s="9"/>
      <c r="X51" s="109" t="s">
        <v>59</v>
      </c>
      <c r="Y51" s="109"/>
      <c r="Z51" s="109"/>
      <c r="AA51" s="109"/>
      <c r="AB51" s="109"/>
      <c r="AG51" s="9"/>
      <c r="AH51" s="9"/>
      <c r="AI51" s="9"/>
    </row>
    <row r="52" customFormat="1" ht="18" customHeight="1" spans="1:35">
      <c r="A52" s="9"/>
      <c r="B52" s="9"/>
      <c r="X52" s="109" t="s">
        <v>60</v>
      </c>
      <c r="Y52" s="109"/>
      <c r="Z52" s="109" t="s">
        <v>61</v>
      </c>
      <c r="AA52" s="109"/>
      <c r="AB52" s="109"/>
      <c r="AG52" s="9"/>
      <c r="AH52" s="9"/>
      <c r="AI52" s="9"/>
    </row>
    <row r="53" customFormat="1" ht="18" customHeight="1" spans="1:35">
      <c r="A53" s="9"/>
      <c r="B53" s="9"/>
      <c r="X53" s="109" t="s">
        <v>62</v>
      </c>
      <c r="Y53" s="109"/>
      <c r="Z53" s="110">
        <v>45991</v>
      </c>
      <c r="AA53" s="110"/>
      <c r="AB53" s="110"/>
      <c r="AG53" s="9"/>
      <c r="AH53" s="9"/>
      <c r="AI53" s="9"/>
    </row>
    <row r="54" customFormat="1" ht="18" customHeight="1" spans="1:35">
      <c r="A54" s="9"/>
      <c r="B54" s="9"/>
      <c r="X54" s="109" t="s">
        <v>63</v>
      </c>
      <c r="Y54" s="109"/>
      <c r="Z54" s="109">
        <v>24</v>
      </c>
      <c r="AA54" s="109"/>
      <c r="AB54" s="109"/>
      <c r="AG54" s="9"/>
      <c r="AH54" s="9"/>
      <c r="AI54" s="9"/>
    </row>
    <row r="55" customFormat="1" ht="18" customHeight="1" spans="1:35">
      <c r="A55" s="9"/>
      <c r="B55" s="9"/>
      <c r="X55" s="109" t="s">
        <v>64</v>
      </c>
      <c r="Y55" s="109"/>
      <c r="Z55" s="109">
        <v>298</v>
      </c>
      <c r="AA55" s="109"/>
      <c r="AB55" s="109"/>
      <c r="AG55" s="9"/>
      <c r="AH55" s="9"/>
      <c r="AI55" s="9"/>
    </row>
    <row r="56" customFormat="1" ht="18" customHeight="1" spans="1:35">
      <c r="A56" s="105"/>
      <c r="B56" s="105"/>
      <c r="X56" s="109" t="s">
        <v>65</v>
      </c>
      <c r="Y56" s="109"/>
      <c r="Z56" s="109">
        <v>69</v>
      </c>
      <c r="AA56" s="109"/>
      <c r="AB56" s="109"/>
      <c r="AG56" s="105"/>
      <c r="AH56" s="105"/>
      <c r="AI56" s="9"/>
    </row>
    <row r="57" customFormat="1" ht="18" customHeight="1" spans="1:35">
      <c r="A57" s="9"/>
      <c r="B57" s="9"/>
      <c r="X57" s="111" t="s">
        <v>20</v>
      </c>
      <c r="Y57" s="111"/>
      <c r="Z57" s="111">
        <v>391</v>
      </c>
      <c r="AA57" s="111"/>
      <c r="AB57" s="111"/>
      <c r="AG57" s="9"/>
      <c r="AH57" s="9"/>
      <c r="AI57" s="9"/>
    </row>
    <row r="58" customFormat="1" ht="18" customHeight="1" spans="1:35">
      <c r="A58" s="9"/>
      <c r="B58" s="9"/>
      <c r="X58" s="109" t="s">
        <v>5</v>
      </c>
      <c r="Y58" s="109"/>
      <c r="Z58" s="109">
        <v>906980</v>
      </c>
      <c r="AA58" s="109"/>
      <c r="AB58" s="109"/>
      <c r="AG58" s="9"/>
      <c r="AH58" s="9"/>
      <c r="AI58" s="9"/>
    </row>
    <row r="59" customFormat="1" ht="18" customHeight="1" spans="1:35">
      <c r="A59" s="9"/>
      <c r="B59" s="9"/>
      <c r="X59" s="109" t="s">
        <v>21</v>
      </c>
      <c r="Y59" s="109"/>
      <c r="Z59" s="109">
        <v>3998.5</v>
      </c>
      <c r="AA59" s="109"/>
      <c r="AB59" s="109"/>
      <c r="AG59" s="9"/>
      <c r="AH59" s="9"/>
      <c r="AI59" s="9"/>
    </row>
    <row r="60" customFormat="1" spans="1:35">
      <c r="A60" s="9"/>
      <c r="B60" s="9"/>
      <c r="X60" s="109" t="s">
        <v>23</v>
      </c>
      <c r="Y60" s="109"/>
      <c r="Z60" s="112">
        <v>226.830061272977</v>
      </c>
      <c r="AA60" s="112"/>
      <c r="AB60" s="112"/>
      <c r="AG60" s="9"/>
      <c r="AH60" s="9"/>
      <c r="AI60" s="9"/>
    </row>
    <row r="61" customFormat="1" spans="1:35">
      <c r="A61" s="9"/>
      <c r="B61" s="9"/>
      <c r="C61" s="113"/>
      <c r="AF61" s="9"/>
      <c r="AG61" s="9"/>
      <c r="AH61" s="9"/>
      <c r="AI61" s="9"/>
    </row>
  </sheetData>
  <mergeCells count="31">
    <mergeCell ref="A3:B3"/>
    <mergeCell ref="A11:B11"/>
    <mergeCell ref="A17:B17"/>
    <mergeCell ref="A18:B18"/>
    <mergeCell ref="A19:B19"/>
    <mergeCell ref="A30:B30"/>
    <mergeCell ref="A31:B31"/>
    <mergeCell ref="A32:B32"/>
    <mergeCell ref="A46:B46"/>
    <mergeCell ref="A47:B47"/>
    <mergeCell ref="A48:B48"/>
    <mergeCell ref="C50:G50"/>
    <mergeCell ref="X51:AB51"/>
    <mergeCell ref="X52:Y52"/>
    <mergeCell ref="Z52:AB52"/>
    <mergeCell ref="X53:Y53"/>
    <mergeCell ref="Z53:AB53"/>
    <mergeCell ref="X54:Y54"/>
    <mergeCell ref="Z54:AB54"/>
    <mergeCell ref="X55:Y55"/>
    <mergeCell ref="Z55:AB55"/>
    <mergeCell ref="X56:Y56"/>
    <mergeCell ref="Z56:AB56"/>
    <mergeCell ref="X57:Y57"/>
    <mergeCell ref="Z57:AB57"/>
    <mergeCell ref="X58:Y58"/>
    <mergeCell ref="Z58:AB58"/>
    <mergeCell ref="X59:Y59"/>
    <mergeCell ref="Z59:AB59"/>
    <mergeCell ref="X60:Y60"/>
    <mergeCell ref="Z60:AB60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A1" sqref="$A1:$XFD1048576"/>
    </sheetView>
  </sheetViews>
  <sheetFormatPr defaultColWidth="19.3703703703704" defaultRowHeight="14.4"/>
  <cols>
    <col min="1" max="1" width="9.62962962962963" style="62" customWidth="1"/>
    <col min="2" max="9" width="19.3703703703704" style="62" customWidth="1"/>
    <col min="10" max="10" width="12.3703703703704" style="62" customWidth="1"/>
    <col min="11" max="16384" width="19.3703703703704" style="62" customWidth="1"/>
  </cols>
  <sheetData>
    <row r="1" s="62" customFormat="1" ht="32.4" spans="1:10">
      <c r="A1" s="63" t="s">
        <v>66</v>
      </c>
      <c r="B1" s="64" t="s">
        <v>67</v>
      </c>
      <c r="C1" s="64" t="s">
        <v>68</v>
      </c>
      <c r="D1" s="64" t="s">
        <v>69</v>
      </c>
      <c r="E1" s="65" t="s">
        <v>70</v>
      </c>
      <c r="F1" s="66" t="s">
        <v>71</v>
      </c>
    </row>
    <row r="2" s="62" customFormat="1" ht="15.6" spans="1:10">
      <c r="A2" s="67">
        <v>45962</v>
      </c>
      <c r="B2" s="68">
        <v>384801</v>
      </c>
      <c r="C2" s="68">
        <v>858657</v>
      </c>
      <c r="D2" s="68">
        <v>30388</v>
      </c>
      <c r="E2" s="69">
        <v>333557</v>
      </c>
      <c r="F2" s="68">
        <f t="shared" ref="F2:F32" si="0">SUM(B2:D2)-E2</f>
        <v>940289</v>
      </c>
    </row>
    <row r="3" s="62" customFormat="1" ht="15.6" spans="1:10">
      <c r="A3" s="67">
        <f t="shared" ref="A3:A32" si="1">A2+1</f>
        <v>45963</v>
      </c>
      <c r="B3" s="68">
        <v>418193</v>
      </c>
      <c r="C3" s="68">
        <v>672805</v>
      </c>
      <c r="D3" s="68">
        <v>30209</v>
      </c>
      <c r="E3" s="69">
        <v>132090</v>
      </c>
      <c r="F3" s="68">
        <f t="shared" si="0"/>
        <v>989117</v>
      </c>
    </row>
    <row r="4" s="62" customFormat="1" ht="15.6" spans="1:10">
      <c r="A4" s="67">
        <f t="shared" si="1"/>
        <v>45964</v>
      </c>
      <c r="B4" s="68">
        <v>384166</v>
      </c>
      <c r="C4" s="68">
        <v>603723</v>
      </c>
      <c r="D4" s="68">
        <v>33065</v>
      </c>
      <c r="E4" s="69">
        <v>90797</v>
      </c>
      <c r="F4" s="68">
        <f t="shared" si="0"/>
        <v>930157</v>
      </c>
    </row>
    <row r="5" s="62" customFormat="1" ht="15.6" spans="1:10">
      <c r="A5" s="67">
        <f t="shared" si="1"/>
        <v>45965</v>
      </c>
      <c r="B5" s="68">
        <v>392054</v>
      </c>
      <c r="C5" s="68">
        <v>585177</v>
      </c>
      <c r="D5" s="68">
        <v>35308</v>
      </c>
      <c r="E5" s="69">
        <v>45101</v>
      </c>
      <c r="F5" s="68">
        <f t="shared" si="0"/>
        <v>967438</v>
      </c>
    </row>
    <row r="6" s="62" customFormat="1" ht="15.6" spans="1:10">
      <c r="A6" s="67">
        <f t="shared" si="1"/>
        <v>45966</v>
      </c>
      <c r="B6" s="68">
        <v>401168</v>
      </c>
      <c r="C6" s="68">
        <v>607691</v>
      </c>
      <c r="D6" s="68">
        <v>35187</v>
      </c>
      <c r="E6" s="69">
        <v>58191</v>
      </c>
      <c r="F6" s="68">
        <f t="shared" si="0"/>
        <v>985855</v>
      </c>
    </row>
    <row r="7" s="62" customFormat="1" ht="15.6" spans="1:10">
      <c r="A7" s="67">
        <f t="shared" si="1"/>
        <v>45967</v>
      </c>
      <c r="B7" s="68">
        <v>411205</v>
      </c>
      <c r="C7" s="68">
        <v>624161</v>
      </c>
      <c r="D7" s="68">
        <v>35880</v>
      </c>
      <c r="E7" s="69">
        <v>68187</v>
      </c>
      <c r="F7" s="68">
        <f t="shared" si="0"/>
        <v>1003059</v>
      </c>
    </row>
    <row r="8" s="62" customFormat="1" ht="15.6" spans="1:10">
      <c r="A8" s="67">
        <f t="shared" si="1"/>
        <v>45968</v>
      </c>
      <c r="B8" s="68">
        <v>401598</v>
      </c>
      <c r="C8" s="68">
        <v>622484</v>
      </c>
      <c r="D8" s="68">
        <v>39517</v>
      </c>
      <c r="E8" s="69">
        <v>75922</v>
      </c>
      <c r="F8" s="68">
        <f t="shared" si="0"/>
        <v>987677</v>
      </c>
    </row>
    <row r="9" s="62" customFormat="1" ht="15.6" spans="1:10">
      <c r="A9" s="67">
        <f t="shared" si="1"/>
        <v>45969</v>
      </c>
      <c r="B9" s="68">
        <v>381131</v>
      </c>
      <c r="C9" s="68">
        <v>738028</v>
      </c>
      <c r="D9" s="68">
        <v>35033</v>
      </c>
      <c r="E9" s="69">
        <v>188853</v>
      </c>
      <c r="F9" s="68">
        <f t="shared" si="0"/>
        <v>965339</v>
      </c>
      <c r="I9" s="57"/>
      <c r="J9" s="57"/>
    </row>
    <row r="10" s="62" customFormat="1" ht="15.6" spans="1:10">
      <c r="A10" s="67">
        <f t="shared" si="1"/>
        <v>45970</v>
      </c>
      <c r="B10" s="68">
        <v>367018</v>
      </c>
      <c r="C10" s="68">
        <v>663690</v>
      </c>
      <c r="D10" s="68">
        <v>27068</v>
      </c>
      <c r="E10" s="69">
        <v>141967</v>
      </c>
      <c r="F10" s="68">
        <f t="shared" si="0"/>
        <v>915809</v>
      </c>
      <c r="I10" s="57"/>
      <c r="J10" s="57"/>
    </row>
    <row r="11" s="62" customFormat="1" ht="15.6" spans="1:10">
      <c r="A11" s="67">
        <f t="shared" si="1"/>
        <v>45971</v>
      </c>
      <c r="B11" s="68">
        <v>398014</v>
      </c>
      <c r="C11" s="68">
        <v>610304</v>
      </c>
      <c r="D11" s="68">
        <v>34811</v>
      </c>
      <c r="E11" s="69">
        <v>73304</v>
      </c>
      <c r="F11" s="68">
        <f t="shared" si="0"/>
        <v>969825</v>
      </c>
      <c r="I11" s="57"/>
      <c r="J11" s="57"/>
    </row>
    <row r="12" s="62" customFormat="1" ht="15.6" spans="1:10">
      <c r="A12" s="67">
        <f t="shared" si="1"/>
        <v>45972</v>
      </c>
      <c r="B12" s="68">
        <v>397323</v>
      </c>
      <c r="C12" s="68">
        <v>604493</v>
      </c>
      <c r="D12" s="68">
        <v>34928</v>
      </c>
      <c r="E12" s="69">
        <v>76041</v>
      </c>
      <c r="F12" s="68">
        <f t="shared" si="0"/>
        <v>960703</v>
      </c>
      <c r="I12" s="57"/>
      <c r="J12" s="57"/>
    </row>
    <row r="13" s="62" customFormat="1" ht="15.6" spans="1:10">
      <c r="A13" s="67">
        <f t="shared" si="1"/>
        <v>45973</v>
      </c>
      <c r="B13" s="68">
        <v>444999</v>
      </c>
      <c r="C13" s="68">
        <v>626550</v>
      </c>
      <c r="D13" s="68">
        <v>36995</v>
      </c>
      <c r="E13" s="69">
        <v>52360</v>
      </c>
      <c r="F13" s="68">
        <f t="shared" si="0"/>
        <v>1056184</v>
      </c>
      <c r="I13" s="57"/>
      <c r="J13" s="57"/>
    </row>
    <row r="14" s="62" customFormat="1" ht="15.6" spans="1:10">
      <c r="A14" s="67">
        <f t="shared" si="1"/>
        <v>45974</v>
      </c>
      <c r="B14" s="68">
        <v>430268</v>
      </c>
      <c r="C14" s="68">
        <v>649711</v>
      </c>
      <c r="D14" s="68">
        <v>34923</v>
      </c>
      <c r="E14" s="69">
        <v>62594</v>
      </c>
      <c r="F14" s="68">
        <f t="shared" si="0"/>
        <v>1052308</v>
      </c>
      <c r="I14" s="57"/>
      <c r="J14" s="57"/>
    </row>
    <row r="15" s="62" customFormat="1" ht="15.6" spans="1:10">
      <c r="A15" s="67">
        <f t="shared" si="1"/>
        <v>45975</v>
      </c>
      <c r="B15" s="68">
        <v>420965</v>
      </c>
      <c r="C15" s="68">
        <v>668123</v>
      </c>
      <c r="D15" s="68">
        <v>37673</v>
      </c>
      <c r="E15" s="69">
        <v>66283</v>
      </c>
      <c r="F15" s="68">
        <f t="shared" si="0"/>
        <v>1060478</v>
      </c>
      <c r="I15" s="57"/>
      <c r="J15" s="57"/>
    </row>
    <row r="16" s="62" customFormat="1" ht="15.6" spans="1:10">
      <c r="A16" s="67">
        <f t="shared" si="1"/>
        <v>45976</v>
      </c>
      <c r="B16" s="68">
        <v>390574</v>
      </c>
      <c r="C16" s="68">
        <v>772424</v>
      </c>
      <c r="D16" s="68">
        <v>30517</v>
      </c>
      <c r="E16" s="69">
        <v>225981</v>
      </c>
      <c r="F16" s="68">
        <f t="shared" si="0"/>
        <v>967534</v>
      </c>
      <c r="I16" s="57"/>
      <c r="J16" s="57"/>
    </row>
    <row r="17" s="62" customFormat="1" ht="15.6" spans="1:10">
      <c r="A17" s="67">
        <f t="shared" si="1"/>
        <v>45977</v>
      </c>
      <c r="B17" s="68">
        <v>373502</v>
      </c>
      <c r="C17" s="68">
        <v>691325</v>
      </c>
      <c r="D17" s="68">
        <v>26802</v>
      </c>
      <c r="E17" s="69">
        <v>189210</v>
      </c>
      <c r="F17" s="68">
        <f t="shared" si="0"/>
        <v>902419</v>
      </c>
      <c r="I17" s="57"/>
      <c r="J17" s="57"/>
    </row>
    <row r="18" s="62" customFormat="1" ht="15.6" spans="1:10">
      <c r="A18" s="67">
        <f t="shared" si="1"/>
        <v>45978</v>
      </c>
      <c r="B18" s="70">
        <v>356094</v>
      </c>
      <c r="C18" s="70">
        <v>578389</v>
      </c>
      <c r="D18" s="70">
        <v>32727</v>
      </c>
      <c r="E18" s="71">
        <v>89369</v>
      </c>
      <c r="F18" s="68">
        <f t="shared" si="0"/>
        <v>877841</v>
      </c>
      <c r="I18" s="57"/>
      <c r="J18" s="57"/>
    </row>
    <row r="19" s="62" customFormat="1" ht="15.6" spans="1:10">
      <c r="A19" s="67">
        <f t="shared" si="1"/>
        <v>45979</v>
      </c>
      <c r="B19" s="70">
        <v>376460</v>
      </c>
      <c r="C19" s="70">
        <v>577523</v>
      </c>
      <c r="D19" s="68">
        <v>35988</v>
      </c>
      <c r="E19" s="69">
        <v>74494</v>
      </c>
      <c r="F19" s="68">
        <f t="shared" si="0"/>
        <v>915477</v>
      </c>
    </row>
    <row r="20" s="62" customFormat="1" ht="15.6" spans="1:10">
      <c r="A20" s="67">
        <f t="shared" si="1"/>
        <v>45980</v>
      </c>
      <c r="B20" s="68">
        <v>402523</v>
      </c>
      <c r="C20" s="68">
        <v>604446</v>
      </c>
      <c r="D20" s="68">
        <v>39716</v>
      </c>
      <c r="E20" s="69">
        <v>57358</v>
      </c>
      <c r="F20" s="68">
        <f t="shared" si="0"/>
        <v>989327</v>
      </c>
      <c r="H20" s="72"/>
    </row>
    <row r="21" s="62" customFormat="1" ht="15.6" spans="1:10">
      <c r="A21" s="67">
        <f t="shared" si="1"/>
        <v>45981</v>
      </c>
      <c r="B21" s="68">
        <v>429029</v>
      </c>
      <c r="C21" s="68">
        <v>614378</v>
      </c>
      <c r="D21" s="68">
        <v>40570</v>
      </c>
      <c r="E21" s="69">
        <v>67949</v>
      </c>
      <c r="F21" s="68">
        <f t="shared" si="0"/>
        <v>1016028</v>
      </c>
    </row>
    <row r="22" s="62" customFormat="1" ht="15.6" spans="1:10">
      <c r="A22" s="67">
        <f t="shared" si="1"/>
        <v>45982</v>
      </c>
      <c r="B22" s="68">
        <v>408589</v>
      </c>
      <c r="C22" s="68">
        <v>613529</v>
      </c>
      <c r="D22" s="68">
        <v>43218</v>
      </c>
      <c r="E22" s="69">
        <v>66997</v>
      </c>
      <c r="F22" s="68">
        <f t="shared" si="0"/>
        <v>998339</v>
      </c>
    </row>
    <row r="23" s="62" customFormat="1" ht="15.6" spans="1:10">
      <c r="A23" s="67">
        <f t="shared" si="1"/>
        <v>45983</v>
      </c>
      <c r="B23" s="68">
        <v>400325</v>
      </c>
      <c r="C23" s="68">
        <v>927475</v>
      </c>
      <c r="D23" s="68">
        <v>37985</v>
      </c>
      <c r="E23" s="69">
        <v>371518</v>
      </c>
      <c r="F23" s="68">
        <f t="shared" si="0"/>
        <v>994267</v>
      </c>
    </row>
    <row r="24" s="62" customFormat="1" ht="15.6" spans="1:10">
      <c r="A24" s="67">
        <f t="shared" si="1"/>
        <v>45984</v>
      </c>
      <c r="B24" s="68">
        <v>389295</v>
      </c>
      <c r="C24" s="68">
        <v>618896</v>
      </c>
      <c r="D24" s="68">
        <v>30799</v>
      </c>
      <c r="E24" s="69">
        <v>117810</v>
      </c>
      <c r="F24" s="68">
        <f t="shared" si="0"/>
        <v>921180</v>
      </c>
    </row>
    <row r="25" s="62" customFormat="1" ht="15.6" spans="1:10">
      <c r="A25" s="67">
        <f t="shared" si="1"/>
        <v>45985</v>
      </c>
      <c r="B25" s="68">
        <v>369244</v>
      </c>
      <c r="C25" s="68">
        <v>590984</v>
      </c>
      <c r="D25" s="68">
        <v>32864</v>
      </c>
      <c r="E25" s="69">
        <v>104244</v>
      </c>
      <c r="F25" s="68">
        <f t="shared" si="0"/>
        <v>888848</v>
      </c>
    </row>
    <row r="26" s="62" customFormat="1" ht="15.6" spans="1:10">
      <c r="A26" s="67">
        <f t="shared" si="1"/>
        <v>45986</v>
      </c>
      <c r="B26" s="68">
        <v>386885</v>
      </c>
      <c r="C26" s="68">
        <v>580111</v>
      </c>
      <c r="D26" s="68">
        <v>37530</v>
      </c>
      <c r="E26" s="69">
        <v>60333</v>
      </c>
      <c r="F26" s="68">
        <f t="shared" si="0"/>
        <v>944193</v>
      </c>
    </row>
    <row r="27" s="62" customFormat="1" ht="15.6" spans="1:10">
      <c r="A27" s="67">
        <f t="shared" si="1"/>
        <v>45987</v>
      </c>
      <c r="B27" s="68">
        <v>401000</v>
      </c>
      <c r="C27" s="68">
        <v>576585</v>
      </c>
      <c r="D27" s="68">
        <v>36537</v>
      </c>
      <c r="E27" s="69">
        <v>58905</v>
      </c>
      <c r="F27" s="68">
        <f t="shared" si="0"/>
        <v>955217</v>
      </c>
    </row>
    <row r="28" s="62" customFormat="1" ht="15.6" spans="1:10">
      <c r="A28" s="67">
        <f t="shared" si="1"/>
        <v>45988</v>
      </c>
      <c r="B28" s="68">
        <v>397923</v>
      </c>
      <c r="C28" s="68">
        <v>611685</v>
      </c>
      <c r="D28" s="68">
        <v>35571</v>
      </c>
      <c r="E28" s="69">
        <v>75803</v>
      </c>
      <c r="F28" s="68">
        <f t="shared" si="0"/>
        <v>969376</v>
      </c>
    </row>
    <row r="29" s="62" customFormat="1" ht="15.6" spans="1:10">
      <c r="A29" s="67">
        <f t="shared" si="1"/>
        <v>45989</v>
      </c>
      <c r="B29" s="68">
        <v>406894</v>
      </c>
      <c r="C29" s="68">
        <v>595890</v>
      </c>
      <c r="D29" s="68">
        <v>39588</v>
      </c>
      <c r="E29" s="69">
        <v>62118</v>
      </c>
      <c r="F29" s="68">
        <f t="shared" si="0"/>
        <v>980254</v>
      </c>
    </row>
    <row r="30" s="62" customFormat="1" ht="15.6" spans="1:10">
      <c r="A30" s="67">
        <f t="shared" si="1"/>
        <v>45990</v>
      </c>
      <c r="B30" s="68">
        <v>399145</v>
      </c>
      <c r="C30" s="68">
        <v>808716</v>
      </c>
      <c r="D30" s="68">
        <v>32237</v>
      </c>
      <c r="E30" s="69">
        <v>285600</v>
      </c>
      <c r="F30" s="68">
        <f t="shared" si="0"/>
        <v>954498</v>
      </c>
    </row>
    <row r="31" s="62" customFormat="1" ht="15.6" spans="1:10">
      <c r="A31" s="67">
        <f t="shared" si="1"/>
        <v>45991</v>
      </c>
      <c r="B31" s="68">
        <v>381233</v>
      </c>
      <c r="C31" s="68">
        <v>629362</v>
      </c>
      <c r="D31" s="68">
        <v>28713</v>
      </c>
      <c r="E31" s="69">
        <v>132328</v>
      </c>
      <c r="F31" s="68">
        <f t="shared" si="0"/>
        <v>906980</v>
      </c>
    </row>
    <row r="32" s="62" customFormat="1" ht="15.6" hidden="1" spans="1:10">
      <c r="A32" s="67">
        <f t="shared" si="1"/>
        <v>45992</v>
      </c>
      <c r="B32" s="68"/>
      <c r="C32" s="68"/>
      <c r="D32" s="68"/>
      <c r="E32" s="69"/>
      <c r="F32" s="68">
        <f t="shared" si="0"/>
        <v>0</v>
      </c>
    </row>
    <row r="33" s="62" customFormat="1" ht="15.6" spans="1:6">
      <c r="A33" s="68" t="s">
        <v>71</v>
      </c>
      <c r="B33" s="68">
        <f t="shared" ref="B33:F33" si="2">SUM(B2:B32)</f>
        <v>11901618</v>
      </c>
      <c r="C33" s="68">
        <f t="shared" si="2"/>
        <v>19527315</v>
      </c>
      <c r="D33" s="68">
        <f t="shared" si="2"/>
        <v>1042347</v>
      </c>
      <c r="E33" s="69">
        <f t="shared" si="2"/>
        <v>3505264</v>
      </c>
      <c r="F33" s="68">
        <f t="shared" si="2"/>
        <v>28966016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2"/>
  <sheetViews>
    <sheetView workbookViewId="0">
      <selection activeCell="A1" sqref="$A1:$XFD1048576"/>
    </sheetView>
  </sheetViews>
  <sheetFormatPr defaultColWidth="9" defaultRowHeight="14.4"/>
  <cols>
    <col min="1" max="1" width="14.25" style="9" customWidth="1"/>
    <col min="2" max="2" width="18.75" style="9" customWidth="1"/>
    <col min="3" max="3" width="11.6296296296296" style="9" hidden="1" customWidth="1"/>
    <col min="4" max="4" width="12.1296296296296" style="9" hidden="1" customWidth="1"/>
    <col min="5" max="15" width="10.212962962963" style="9" hidden="1" customWidth="1"/>
    <col min="16" max="16" width="10.6296296296296" style="9" hidden="1" customWidth="1"/>
    <col min="17" max="18" width="10.212962962963" style="9" hidden="1" customWidth="1"/>
    <col min="19" max="19" width="11.3703703703704" style="9" hidden="1" customWidth="1"/>
    <col min="20" max="21" width="10.212962962963" style="9" hidden="1" customWidth="1"/>
    <col min="22" max="22" width="11.6296296296296" style="9" customWidth="1"/>
    <col min="23" max="23" width="10.212962962963" style="9" customWidth="1"/>
    <col min="24" max="24" width="11.4814814814815" style="9" customWidth="1"/>
    <col min="25" max="27" width="10.212962962963" style="9" customWidth="1"/>
    <col min="28" max="28" width="11.6296296296296" style="9" customWidth="1"/>
    <col min="29" max="33" width="10.212962962963" style="9" customWidth="1"/>
    <col min="34" max="34" width="13.8796296296296" style="9" customWidth="1"/>
    <col min="35" max="35" width="12.787037037037" style="9"/>
    <col min="36" max="36" width="12.6296296296296"/>
    <col min="38" max="39" width="12.6296296296296"/>
  </cols>
  <sheetData>
    <row r="1" customFormat="1" ht="17.4" spans="1:35">
      <c r="A1" s="73" t="s">
        <v>130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9"/>
    </row>
    <row r="2" customFormat="1" ht="17.4" spans="1:35">
      <c r="A2" s="74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9"/>
    </row>
    <row r="3" s="7" customFormat="1" ht="15.6" spans="1:35">
      <c r="A3" s="14" t="s">
        <v>1</v>
      </c>
      <c r="B3" s="14"/>
      <c r="C3" s="15">
        <v>45992</v>
      </c>
      <c r="D3" s="15">
        <f t="shared" ref="D3:AG3" si="0">C3+1</f>
        <v>45993</v>
      </c>
      <c r="E3" s="15">
        <f t="shared" si="0"/>
        <v>45994</v>
      </c>
      <c r="F3" s="15">
        <f t="shared" si="0"/>
        <v>45995</v>
      </c>
      <c r="G3" s="15">
        <f t="shared" si="0"/>
        <v>45996</v>
      </c>
      <c r="H3" s="15">
        <f t="shared" si="0"/>
        <v>45997</v>
      </c>
      <c r="I3" s="15">
        <f t="shared" si="0"/>
        <v>45998</v>
      </c>
      <c r="J3" s="15">
        <f t="shared" si="0"/>
        <v>45999</v>
      </c>
      <c r="K3" s="15">
        <f t="shared" si="0"/>
        <v>46000</v>
      </c>
      <c r="L3" s="15">
        <f t="shared" si="0"/>
        <v>46001</v>
      </c>
      <c r="M3" s="15">
        <f t="shared" si="0"/>
        <v>46002</v>
      </c>
      <c r="N3" s="15">
        <f t="shared" si="0"/>
        <v>46003</v>
      </c>
      <c r="O3" s="15">
        <f t="shared" si="0"/>
        <v>46004</v>
      </c>
      <c r="P3" s="15">
        <f t="shared" si="0"/>
        <v>46005</v>
      </c>
      <c r="Q3" s="15">
        <f t="shared" si="0"/>
        <v>46006</v>
      </c>
      <c r="R3" s="15">
        <f t="shared" si="0"/>
        <v>46007</v>
      </c>
      <c r="S3" s="15">
        <f t="shared" si="0"/>
        <v>46008</v>
      </c>
      <c r="T3" s="15">
        <f t="shared" si="0"/>
        <v>46009</v>
      </c>
      <c r="U3" s="15">
        <f t="shared" si="0"/>
        <v>46010</v>
      </c>
      <c r="V3" s="15">
        <f t="shared" si="0"/>
        <v>46011</v>
      </c>
      <c r="W3" s="15">
        <f t="shared" si="0"/>
        <v>46012</v>
      </c>
      <c r="X3" s="15">
        <f t="shared" si="0"/>
        <v>46013</v>
      </c>
      <c r="Y3" s="15">
        <f t="shared" si="0"/>
        <v>46014</v>
      </c>
      <c r="Z3" s="15">
        <f t="shared" si="0"/>
        <v>46015</v>
      </c>
      <c r="AA3" s="15">
        <f t="shared" si="0"/>
        <v>46016</v>
      </c>
      <c r="AB3" s="15">
        <f t="shared" si="0"/>
        <v>46017</v>
      </c>
      <c r="AC3" s="15">
        <f t="shared" si="0"/>
        <v>46018</v>
      </c>
      <c r="AD3" s="15">
        <f t="shared" si="0"/>
        <v>46019</v>
      </c>
      <c r="AE3" s="15">
        <f t="shared" si="0"/>
        <v>46020</v>
      </c>
      <c r="AF3" s="15">
        <f t="shared" si="0"/>
        <v>46021</v>
      </c>
      <c r="AG3" s="15">
        <f t="shared" si="0"/>
        <v>46022</v>
      </c>
      <c r="AH3" s="76" t="s">
        <v>2</v>
      </c>
    </row>
    <row r="4" s="7" customFormat="1" ht="15.6" spans="1:35">
      <c r="A4" s="14"/>
      <c r="B4" s="14"/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  <c r="K4" s="17" t="s">
        <v>3</v>
      </c>
      <c r="L4" s="17" t="s">
        <v>3</v>
      </c>
      <c r="M4" s="17" t="s">
        <v>3</v>
      </c>
      <c r="N4" s="17" t="s">
        <v>3</v>
      </c>
      <c r="O4" s="17" t="s">
        <v>3</v>
      </c>
      <c r="P4" s="17" t="s">
        <v>3</v>
      </c>
      <c r="Q4" s="17" t="s">
        <v>3</v>
      </c>
      <c r="R4" s="17" t="s">
        <v>3</v>
      </c>
      <c r="S4" s="17" t="s">
        <v>3</v>
      </c>
      <c r="T4" s="17" t="s">
        <v>3</v>
      </c>
      <c r="U4" s="17" t="s">
        <v>3</v>
      </c>
      <c r="V4" s="17" t="s">
        <v>3</v>
      </c>
      <c r="W4" s="17" t="s">
        <v>3</v>
      </c>
      <c r="X4" s="17" t="s">
        <v>3</v>
      </c>
      <c r="Y4" s="17" t="s">
        <v>3</v>
      </c>
      <c r="Z4" s="17" t="s">
        <v>3</v>
      </c>
      <c r="AA4" s="17" t="s">
        <v>3</v>
      </c>
      <c r="AB4" s="17" t="s">
        <v>3</v>
      </c>
      <c r="AC4" s="17" t="s">
        <v>3</v>
      </c>
      <c r="AD4" s="17" t="s">
        <v>3</v>
      </c>
      <c r="AE4" s="17" t="s">
        <v>3</v>
      </c>
      <c r="AF4" s="17" t="s">
        <v>3</v>
      </c>
      <c r="AG4" s="17" t="s">
        <v>3</v>
      </c>
      <c r="AH4" s="17" t="s">
        <v>3</v>
      </c>
    </row>
    <row r="5" customFormat="1" spans="1:35">
      <c r="A5" s="77" t="s">
        <v>4</v>
      </c>
      <c r="B5" s="78" t="s">
        <v>5</v>
      </c>
      <c r="C5" s="79">
        <f>SUMIFS('25年12月处理量'!$F:$F,'25年12月处理量'!$A:$A,C3)</f>
        <v>906218</v>
      </c>
      <c r="D5" s="79">
        <f>SUMIFS('25年12月处理量'!$F:$F,'25年12月处理量'!$A:$A,D3)</f>
        <v>918302</v>
      </c>
      <c r="E5" s="79">
        <f>SUMIFS('25年12月处理量'!$F:$F,'25年12月处理量'!$A:$A,E3)</f>
        <v>975475</v>
      </c>
      <c r="F5" s="79">
        <f>SUMIFS('25年12月处理量'!$F:$F,'25年12月处理量'!$A:$A,F3)</f>
        <v>1003189</v>
      </c>
      <c r="G5" s="79">
        <f>SUMIFS('25年12月处理量'!$F:$F,'25年12月处理量'!$A:$A,G3)</f>
        <v>1001950</v>
      </c>
      <c r="H5" s="79">
        <f>SUMIFS('25年12月处理量'!$F:$F,'25年12月处理量'!$A:$A,H3)</f>
        <v>959395</v>
      </c>
      <c r="I5" s="79">
        <f>SUMIFS('25年12月处理量'!$F:$F,'25年12月处理量'!$A:$A,I3)</f>
        <v>939991</v>
      </c>
      <c r="J5" s="79">
        <f>SUMIFS('25年12月处理量'!$F:$F,'25年12月处理量'!$A:$A,J3)</f>
        <v>888761</v>
      </c>
      <c r="K5" s="79">
        <f>SUMIFS('25年12月处理量'!$F:$F,'25年12月处理量'!$A:$A,K3)</f>
        <v>914476</v>
      </c>
      <c r="L5" s="79">
        <f>SUMIFS('25年12月处理量'!$F:$F,'25年12月处理量'!$A:$A,L3)</f>
        <v>983069</v>
      </c>
      <c r="M5" s="79">
        <f>SUMIFS('25年12月处理量'!$F:$F,'25年12月处理量'!$A:$A,M3)</f>
        <v>1027703</v>
      </c>
      <c r="N5" s="79">
        <f>SUMIFS('25年12月处理量'!$F:$F,'25年12月处理量'!$A:$A,N3)</f>
        <v>976335</v>
      </c>
      <c r="O5" s="79">
        <f>SUMIFS('25年12月处理量'!$F:$F,'25年12月处理量'!$A:$A,O3)</f>
        <v>926497</v>
      </c>
      <c r="P5" s="79">
        <f>SUMIFS('25年12月处理量'!$F:$F,'25年12月处理量'!$A:$A,P3)</f>
        <v>953341</v>
      </c>
      <c r="Q5" s="79">
        <f>SUMIFS('25年12月处理量'!$F:$F,'25年12月处理量'!$A:$A,Q3)</f>
        <v>932307</v>
      </c>
      <c r="R5" s="79">
        <f>SUMIFS('25年12月处理量'!$F:$F,'25年12月处理量'!$A:$A,R3)</f>
        <v>1011819</v>
      </c>
      <c r="S5" s="79">
        <f>SUMIFS('25年12月处理量'!$F:$F,'25年12月处理量'!$A:$A,S3)</f>
        <v>965394</v>
      </c>
      <c r="T5" s="79">
        <f>SUMIFS('25年12月处理量'!$F:$F,'25年12月处理量'!$A:$A,T3)</f>
        <v>982551</v>
      </c>
      <c r="U5" s="79">
        <f>SUMIFS('25年12月处理量'!$F:$F,'25年12月处理量'!$A:$A,U3)</f>
        <v>968328</v>
      </c>
      <c r="V5" s="79">
        <f>SUMIFS('25年12月处理量'!$F:$F,'25年12月处理量'!$A:$A,V3)</f>
        <v>963062</v>
      </c>
      <c r="W5" s="79">
        <f>SUMIFS('25年12月处理量'!$F:$F,'25年12月处理量'!$A:$A,W3)</f>
        <v>897372</v>
      </c>
      <c r="X5" s="79">
        <f>SUMIFS('25年12月处理量'!$F:$F,'25年12月处理量'!$A:$A,X3)</f>
        <v>908881</v>
      </c>
      <c r="Y5" s="79">
        <f>SUMIFS('25年12月处理量'!$F:$F,'25年12月处理量'!$A:$A,Y3)</f>
        <v>945098</v>
      </c>
      <c r="Z5" s="79">
        <f>SUMIFS('25年12月处理量'!$F:$F,'25年12月处理量'!$A:$A,Z3)</f>
        <v>913128</v>
      </c>
      <c r="AA5" s="79">
        <f>SUMIFS('25年12月处理量'!$F:$F,'25年12月处理量'!$A:$A,AA3)</f>
        <v>1036074</v>
      </c>
      <c r="AB5" s="79">
        <f>SUMIFS('25年12月处理量'!$F:$F,'25年12月处理量'!$A:$A,AB3)</f>
        <v>964183</v>
      </c>
      <c r="AC5" s="79">
        <f>SUMIFS('25年12月处理量'!$F:$F,'25年12月处理量'!$A:$A,AC3)</f>
        <v>894545</v>
      </c>
      <c r="AD5" s="79">
        <f>SUMIFS('25年12月处理量'!$F:$F,'25年12月处理量'!$A:$A,AD3)</f>
        <v>899790</v>
      </c>
      <c r="AE5" s="79">
        <f>SUMIFS('25年12月处理量'!$F:$F,'25年12月处理量'!$A:$A,AE3)</f>
        <v>919601</v>
      </c>
      <c r="AF5" s="79">
        <f>SUMIFS('25年12月处理量'!$F:$F,'25年12月处理量'!$A:$A,AF3)</f>
        <v>908861</v>
      </c>
      <c r="AG5" s="79">
        <f>SUMIFS('25年12月处理量'!$F:$F,'25年12月处理量'!$A:$A,AG3)</f>
        <v>941382</v>
      </c>
      <c r="AH5" s="79">
        <f t="shared" ref="AH5:AH16" si="1">SUM(C5:AG5)</f>
        <v>29427078</v>
      </c>
      <c r="AI5" s="9"/>
    </row>
    <row r="6" customFormat="1" spans="1:35">
      <c r="A6" s="77" t="s">
        <v>6</v>
      </c>
      <c r="B6" s="78" t="s">
        <v>7</v>
      </c>
      <c r="C6" s="80">
        <v>0.1667</v>
      </c>
      <c r="D6" s="80">
        <v>0.1667</v>
      </c>
      <c r="E6" s="80">
        <v>0.1667</v>
      </c>
      <c r="F6" s="80">
        <v>0.1667</v>
      </c>
      <c r="G6" s="80">
        <v>0.1667</v>
      </c>
      <c r="H6" s="80">
        <v>0.1667</v>
      </c>
      <c r="I6" s="80">
        <v>0.1667</v>
      </c>
      <c r="J6" s="80">
        <v>0.1667</v>
      </c>
      <c r="K6" s="80">
        <v>0.1667</v>
      </c>
      <c r="L6" s="80">
        <v>0.1667</v>
      </c>
      <c r="M6" s="80">
        <v>0.1667</v>
      </c>
      <c r="N6" s="80">
        <v>0.1667</v>
      </c>
      <c r="O6" s="80">
        <v>0.1667</v>
      </c>
      <c r="P6" s="80">
        <v>0.1667</v>
      </c>
      <c r="Q6" s="80">
        <v>0.1667</v>
      </c>
      <c r="R6" s="80">
        <v>0.1667</v>
      </c>
      <c r="S6" s="80">
        <v>0.1667</v>
      </c>
      <c r="T6" s="80">
        <v>0.1667</v>
      </c>
      <c r="U6" s="80">
        <v>0.1667</v>
      </c>
      <c r="V6" s="80">
        <v>0.1667</v>
      </c>
      <c r="W6" s="80">
        <v>0.1667</v>
      </c>
      <c r="X6" s="80">
        <v>0.1667</v>
      </c>
      <c r="Y6" s="80">
        <v>0.1667</v>
      </c>
      <c r="Z6" s="80">
        <v>0.1667</v>
      </c>
      <c r="AA6" s="80">
        <v>0.1667</v>
      </c>
      <c r="AB6" s="80">
        <v>0.1667</v>
      </c>
      <c r="AC6" s="80">
        <v>0.1667</v>
      </c>
      <c r="AD6" s="80">
        <v>0.1667</v>
      </c>
      <c r="AE6" s="80">
        <v>0.1667</v>
      </c>
      <c r="AF6" s="80">
        <v>0.1667</v>
      </c>
      <c r="AG6" s="80">
        <v>0.1667</v>
      </c>
      <c r="AH6" s="80">
        <v>0.1667</v>
      </c>
      <c r="AI6" s="9"/>
    </row>
    <row r="7" customFormat="1" spans="1:35">
      <c r="A7" s="77" t="s">
        <v>8</v>
      </c>
      <c r="B7" s="78" t="s">
        <v>9</v>
      </c>
      <c r="C7" s="81">
        <v>151066.54</v>
      </c>
      <c r="D7" s="81">
        <v>153080.94</v>
      </c>
      <c r="E7" s="81">
        <v>162611.68</v>
      </c>
      <c r="F7" s="81">
        <v>167231.61</v>
      </c>
      <c r="G7" s="81">
        <v>167025.07</v>
      </c>
      <c r="H7" s="81">
        <v>159931.15</v>
      </c>
      <c r="I7" s="81">
        <v>156696.5</v>
      </c>
      <c r="J7" s="81">
        <v>148156.46</v>
      </c>
      <c r="K7" s="81">
        <v>152443.15</v>
      </c>
      <c r="L7" s="81">
        <v>163877.6</v>
      </c>
      <c r="M7" s="81">
        <v>171318.09</v>
      </c>
      <c r="N7" s="81">
        <v>162755.04</v>
      </c>
      <c r="O7" s="81">
        <v>154447.05</v>
      </c>
      <c r="P7" s="81">
        <v>158921.94</v>
      </c>
      <c r="Q7" s="81">
        <v>155415.58</v>
      </c>
      <c r="R7" s="81">
        <v>168670.23</v>
      </c>
      <c r="S7" s="81">
        <v>160931.18</v>
      </c>
      <c r="T7" s="81">
        <v>163791.25</v>
      </c>
      <c r="U7" s="81">
        <v>161420.28</v>
      </c>
      <c r="V7" s="81">
        <v>160542.44</v>
      </c>
      <c r="W7" s="81">
        <v>149591.91</v>
      </c>
      <c r="X7" s="81">
        <v>151510.46</v>
      </c>
      <c r="Y7" s="81">
        <v>157547.84</v>
      </c>
      <c r="Z7" s="81">
        <v>152218.44</v>
      </c>
      <c r="AA7" s="81">
        <v>172713.54</v>
      </c>
      <c r="AB7" s="81">
        <v>160729.31</v>
      </c>
      <c r="AC7" s="81">
        <v>149120.65</v>
      </c>
      <c r="AD7" s="81">
        <v>149994.99</v>
      </c>
      <c r="AE7" s="81">
        <v>153297.49</v>
      </c>
      <c r="AF7" s="81">
        <v>151507.13</v>
      </c>
      <c r="AG7" s="81">
        <v>156928.38</v>
      </c>
      <c r="AH7" s="81">
        <f t="shared" si="1"/>
        <v>4905493.92</v>
      </c>
      <c r="AI7" s="9"/>
    </row>
    <row r="8" customFormat="1" spans="1:35">
      <c r="A8" s="77" t="s">
        <v>10</v>
      </c>
      <c r="B8" s="78" t="s">
        <v>11</v>
      </c>
      <c r="C8" s="81">
        <v>4000</v>
      </c>
      <c r="D8" s="81">
        <v>4000</v>
      </c>
      <c r="E8" s="81">
        <v>4000</v>
      </c>
      <c r="F8" s="81">
        <v>4000</v>
      </c>
      <c r="G8" s="81">
        <v>4000</v>
      </c>
      <c r="H8" s="81">
        <v>4000</v>
      </c>
      <c r="I8" s="81">
        <v>4000</v>
      </c>
      <c r="J8" s="81">
        <v>4000</v>
      </c>
      <c r="K8" s="81">
        <v>4000</v>
      </c>
      <c r="L8" s="81">
        <v>4000</v>
      </c>
      <c r="M8" s="81">
        <v>4000</v>
      </c>
      <c r="N8" s="81">
        <v>4000</v>
      </c>
      <c r="O8" s="81">
        <v>4000</v>
      </c>
      <c r="P8" s="81">
        <v>4000</v>
      </c>
      <c r="Q8" s="81">
        <v>4000</v>
      </c>
      <c r="R8" s="81">
        <v>4000</v>
      </c>
      <c r="S8" s="81">
        <v>4000</v>
      </c>
      <c r="T8" s="81">
        <v>4000</v>
      </c>
      <c r="U8" s="81">
        <v>4000</v>
      </c>
      <c r="V8" s="81">
        <v>4000</v>
      </c>
      <c r="W8" s="81">
        <v>4000</v>
      </c>
      <c r="X8" s="81">
        <v>4000</v>
      </c>
      <c r="Y8" s="81">
        <v>4000</v>
      </c>
      <c r="Z8" s="81">
        <v>4000</v>
      </c>
      <c r="AA8" s="81">
        <v>4000</v>
      </c>
      <c r="AB8" s="81">
        <v>4000</v>
      </c>
      <c r="AC8" s="81">
        <v>4000</v>
      </c>
      <c r="AD8" s="81">
        <v>4000</v>
      </c>
      <c r="AE8" s="81">
        <v>4000</v>
      </c>
      <c r="AF8" s="81">
        <v>4000</v>
      </c>
      <c r="AG8" s="81">
        <v>4000</v>
      </c>
      <c r="AH8" s="81">
        <f t="shared" si="1"/>
        <v>124000</v>
      </c>
      <c r="AI8" s="9"/>
    </row>
    <row r="9" customFormat="1" hidden="1" spans="1:35">
      <c r="A9" s="77" t="s">
        <v>12</v>
      </c>
      <c r="B9" s="78" t="s">
        <v>13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>
        <f t="shared" si="1"/>
        <v>0</v>
      </c>
      <c r="AI9" s="9"/>
    </row>
    <row r="10" customFormat="1" spans="1:35">
      <c r="A10" s="77" t="s">
        <v>14</v>
      </c>
      <c r="B10" s="78" t="s">
        <v>15</v>
      </c>
      <c r="C10" s="81">
        <v>147066.54</v>
      </c>
      <c r="D10" s="81">
        <v>149080.94</v>
      </c>
      <c r="E10" s="81">
        <v>158611.68</v>
      </c>
      <c r="F10" s="81">
        <v>163231.61</v>
      </c>
      <c r="G10" s="81">
        <v>163025.07</v>
      </c>
      <c r="H10" s="81">
        <v>155931.15</v>
      </c>
      <c r="I10" s="81">
        <v>152696.5</v>
      </c>
      <c r="J10" s="81">
        <v>144156.46</v>
      </c>
      <c r="K10" s="81">
        <v>148443.15</v>
      </c>
      <c r="L10" s="81">
        <v>159877.6</v>
      </c>
      <c r="M10" s="81">
        <v>167318.09</v>
      </c>
      <c r="N10" s="81">
        <v>158755.04</v>
      </c>
      <c r="O10" s="81">
        <v>150447.05</v>
      </c>
      <c r="P10" s="81">
        <v>154921.94</v>
      </c>
      <c r="Q10" s="81">
        <v>151415.58</v>
      </c>
      <c r="R10" s="81">
        <v>164670.23</v>
      </c>
      <c r="S10" s="81">
        <v>156931.18</v>
      </c>
      <c r="T10" s="81">
        <v>159791.25</v>
      </c>
      <c r="U10" s="81">
        <v>157420.28</v>
      </c>
      <c r="V10" s="81">
        <v>156542.44</v>
      </c>
      <c r="W10" s="81">
        <v>145591.91</v>
      </c>
      <c r="X10" s="81">
        <v>147510.46</v>
      </c>
      <c r="Y10" s="81">
        <v>153547.84</v>
      </c>
      <c r="Z10" s="81">
        <v>148218.44</v>
      </c>
      <c r="AA10" s="81">
        <v>168713.54</v>
      </c>
      <c r="AB10" s="81">
        <v>156729.31</v>
      </c>
      <c r="AC10" s="81">
        <v>145120.65</v>
      </c>
      <c r="AD10" s="81">
        <v>145994.99</v>
      </c>
      <c r="AE10" s="81">
        <v>149297.49</v>
      </c>
      <c r="AF10" s="81">
        <v>147507.13</v>
      </c>
      <c r="AG10" s="81">
        <v>152928.38</v>
      </c>
      <c r="AH10" s="81">
        <f t="shared" si="1"/>
        <v>4781493.92</v>
      </c>
      <c r="AI10" s="9"/>
    </row>
    <row r="11" s="7" customFormat="1" ht="15.6" spans="1:35">
      <c r="A11" s="82" t="s">
        <v>16</v>
      </c>
      <c r="B11" s="82"/>
      <c r="C11" s="27">
        <v>138742.02</v>
      </c>
      <c r="D11" s="27">
        <v>140642.4</v>
      </c>
      <c r="E11" s="27">
        <v>149633.66</v>
      </c>
      <c r="F11" s="27">
        <v>153992.08</v>
      </c>
      <c r="G11" s="27">
        <v>153797.24</v>
      </c>
      <c r="H11" s="27">
        <v>147104.86</v>
      </c>
      <c r="I11" s="27">
        <v>144053.3</v>
      </c>
      <c r="J11" s="27">
        <v>135996.66</v>
      </c>
      <c r="K11" s="27">
        <v>140040.71</v>
      </c>
      <c r="L11" s="27">
        <v>150827.92</v>
      </c>
      <c r="M11" s="27">
        <v>157847.25</v>
      </c>
      <c r="N11" s="27">
        <v>149768.91</v>
      </c>
      <c r="O11" s="27">
        <v>141931.18</v>
      </c>
      <c r="P11" s="27">
        <v>146152.77</v>
      </c>
      <c r="Q11" s="27">
        <v>142844.89</v>
      </c>
      <c r="R11" s="27">
        <v>155349.27</v>
      </c>
      <c r="S11" s="27">
        <v>148048.28</v>
      </c>
      <c r="T11" s="27">
        <v>150746.46</v>
      </c>
      <c r="U11" s="27">
        <v>148509.7</v>
      </c>
      <c r="V11" s="27">
        <v>147681.55</v>
      </c>
      <c r="W11" s="27">
        <v>137350.86</v>
      </c>
      <c r="X11" s="27">
        <v>139160.81</v>
      </c>
      <c r="Y11" s="27">
        <v>144856.45</v>
      </c>
      <c r="Z11" s="27">
        <v>139828.72</v>
      </c>
      <c r="AA11" s="27">
        <v>159163.72</v>
      </c>
      <c r="AB11" s="27">
        <v>147857.84</v>
      </c>
      <c r="AC11" s="27">
        <v>136906.27</v>
      </c>
      <c r="AD11" s="27">
        <v>137731.12</v>
      </c>
      <c r="AE11" s="27">
        <v>140846.69</v>
      </c>
      <c r="AF11" s="27">
        <v>139157.67</v>
      </c>
      <c r="AG11" s="27">
        <v>144272.06</v>
      </c>
      <c r="AH11" s="83">
        <f t="shared" si="1"/>
        <v>4510843.32</v>
      </c>
    </row>
    <row r="12" customFormat="1" ht="15.6" spans="1:35">
      <c r="A12" s="77">
        <v>1</v>
      </c>
      <c r="B12" s="84" t="s">
        <v>17</v>
      </c>
      <c r="C12" s="85">
        <v>23</v>
      </c>
      <c r="D12" s="86">
        <v>21</v>
      </c>
      <c r="E12" s="86">
        <v>23</v>
      </c>
      <c r="F12" s="86">
        <v>23</v>
      </c>
      <c r="G12" s="86">
        <v>22</v>
      </c>
      <c r="H12" s="86">
        <v>25</v>
      </c>
      <c r="I12" s="86">
        <v>25</v>
      </c>
      <c r="J12" s="86">
        <v>22</v>
      </c>
      <c r="K12" s="86">
        <v>22</v>
      </c>
      <c r="L12" s="86">
        <v>23</v>
      </c>
      <c r="M12" s="86">
        <v>22</v>
      </c>
      <c r="N12" s="86">
        <v>23</v>
      </c>
      <c r="O12" s="86">
        <v>24</v>
      </c>
      <c r="P12" s="86">
        <v>22</v>
      </c>
      <c r="Q12" s="86">
        <v>21</v>
      </c>
      <c r="R12" s="86">
        <v>21</v>
      </c>
      <c r="S12" s="86">
        <v>24</v>
      </c>
      <c r="T12" s="86">
        <v>22</v>
      </c>
      <c r="U12" s="86">
        <v>24</v>
      </c>
      <c r="V12" s="86">
        <v>24</v>
      </c>
      <c r="W12" s="86">
        <v>24</v>
      </c>
      <c r="X12" s="86">
        <v>21</v>
      </c>
      <c r="Y12" s="86">
        <v>21</v>
      </c>
      <c r="Z12" s="86">
        <v>21</v>
      </c>
      <c r="AA12" s="86">
        <v>22</v>
      </c>
      <c r="AB12" s="86">
        <v>21</v>
      </c>
      <c r="AC12" s="86">
        <v>23</v>
      </c>
      <c r="AD12" s="86">
        <v>23</v>
      </c>
      <c r="AE12" s="86">
        <v>23</v>
      </c>
      <c r="AF12" s="86">
        <v>23</v>
      </c>
      <c r="AG12" s="86">
        <v>20</v>
      </c>
      <c r="AH12" s="87">
        <f t="shared" si="1"/>
        <v>698</v>
      </c>
      <c r="AI12" s="9"/>
    </row>
    <row r="13" customFormat="1" ht="15.6" spans="1:35">
      <c r="A13" s="77">
        <v>2</v>
      </c>
      <c r="B13" s="84" t="s">
        <v>18</v>
      </c>
      <c r="C13" s="85">
        <v>287</v>
      </c>
      <c r="D13" s="86">
        <v>291</v>
      </c>
      <c r="E13" s="86">
        <v>294</v>
      </c>
      <c r="F13" s="86">
        <v>290</v>
      </c>
      <c r="G13" s="86">
        <v>290</v>
      </c>
      <c r="H13" s="86">
        <v>292</v>
      </c>
      <c r="I13" s="86">
        <v>308</v>
      </c>
      <c r="J13" s="86">
        <v>307</v>
      </c>
      <c r="K13" s="86">
        <v>302</v>
      </c>
      <c r="L13" s="86">
        <v>296</v>
      </c>
      <c r="M13" s="86">
        <v>308</v>
      </c>
      <c r="N13" s="86">
        <v>299</v>
      </c>
      <c r="O13" s="86">
        <v>294</v>
      </c>
      <c r="P13" s="86">
        <v>299</v>
      </c>
      <c r="Q13" s="86">
        <v>293</v>
      </c>
      <c r="R13" s="86">
        <v>298</v>
      </c>
      <c r="S13" s="86">
        <v>299</v>
      </c>
      <c r="T13" s="86">
        <v>302</v>
      </c>
      <c r="U13" s="86">
        <v>297</v>
      </c>
      <c r="V13" s="86">
        <v>297</v>
      </c>
      <c r="W13" s="86">
        <v>301</v>
      </c>
      <c r="X13" s="86">
        <v>302</v>
      </c>
      <c r="Y13" s="86">
        <v>299</v>
      </c>
      <c r="Z13" s="86">
        <v>295</v>
      </c>
      <c r="AA13" s="86">
        <v>303</v>
      </c>
      <c r="AB13" s="86">
        <v>298</v>
      </c>
      <c r="AC13" s="86">
        <v>304</v>
      </c>
      <c r="AD13" s="86">
        <v>309</v>
      </c>
      <c r="AE13" s="86">
        <v>305</v>
      </c>
      <c r="AF13" s="86">
        <v>309</v>
      </c>
      <c r="AG13" s="86">
        <v>288</v>
      </c>
      <c r="AH13" s="87">
        <f t="shared" si="1"/>
        <v>9256</v>
      </c>
      <c r="AI13" s="9"/>
    </row>
    <row r="14" customFormat="1" ht="15.6" spans="1:35">
      <c r="A14" s="77">
        <v>3</v>
      </c>
      <c r="B14" s="84" t="s">
        <v>19</v>
      </c>
      <c r="C14" s="85">
        <v>75</v>
      </c>
      <c r="D14" s="86">
        <v>79</v>
      </c>
      <c r="E14" s="86">
        <v>82</v>
      </c>
      <c r="F14" s="86">
        <v>87</v>
      </c>
      <c r="G14" s="86">
        <v>91</v>
      </c>
      <c r="H14" s="86">
        <v>93</v>
      </c>
      <c r="I14" s="86">
        <v>83</v>
      </c>
      <c r="J14" s="86">
        <v>73</v>
      </c>
      <c r="K14" s="86">
        <v>77</v>
      </c>
      <c r="L14" s="86">
        <v>88</v>
      </c>
      <c r="M14" s="86">
        <v>86</v>
      </c>
      <c r="N14" s="86">
        <v>86</v>
      </c>
      <c r="O14" s="86">
        <v>80</v>
      </c>
      <c r="P14" s="86">
        <v>80</v>
      </c>
      <c r="Q14" s="86">
        <v>77</v>
      </c>
      <c r="R14" s="86">
        <v>89</v>
      </c>
      <c r="S14" s="86">
        <v>86</v>
      </c>
      <c r="T14" s="86">
        <v>83</v>
      </c>
      <c r="U14" s="86">
        <v>81</v>
      </c>
      <c r="V14" s="86">
        <v>78</v>
      </c>
      <c r="W14" s="86">
        <v>66</v>
      </c>
      <c r="X14" s="86">
        <v>68</v>
      </c>
      <c r="Y14" s="86">
        <v>76</v>
      </c>
      <c r="Z14" s="86">
        <v>81</v>
      </c>
      <c r="AA14" s="86">
        <v>85</v>
      </c>
      <c r="AB14" s="86">
        <v>74</v>
      </c>
      <c r="AC14" s="86">
        <v>68</v>
      </c>
      <c r="AD14" s="86">
        <v>66</v>
      </c>
      <c r="AE14" s="86">
        <v>63</v>
      </c>
      <c r="AF14" s="86">
        <v>66</v>
      </c>
      <c r="AG14" s="86">
        <v>81</v>
      </c>
      <c r="AH14" s="87">
        <f t="shared" si="1"/>
        <v>2448</v>
      </c>
      <c r="AI14" s="9"/>
    </row>
    <row r="15" customFormat="1" ht="15.6" spans="1:35">
      <c r="A15" s="77">
        <v>4</v>
      </c>
      <c r="B15" s="84" t="s">
        <v>20</v>
      </c>
      <c r="C15" s="85">
        <v>385</v>
      </c>
      <c r="D15" s="86">
        <v>391</v>
      </c>
      <c r="E15" s="86">
        <v>399</v>
      </c>
      <c r="F15" s="86">
        <v>400</v>
      </c>
      <c r="G15" s="86">
        <v>403</v>
      </c>
      <c r="H15" s="86">
        <v>410</v>
      </c>
      <c r="I15" s="86">
        <v>416</v>
      </c>
      <c r="J15" s="86">
        <v>402</v>
      </c>
      <c r="K15" s="86">
        <v>401</v>
      </c>
      <c r="L15" s="86">
        <v>407</v>
      </c>
      <c r="M15" s="86">
        <v>416</v>
      </c>
      <c r="N15" s="86">
        <v>408</v>
      </c>
      <c r="O15" s="86">
        <v>398</v>
      </c>
      <c r="P15" s="86">
        <v>401</v>
      </c>
      <c r="Q15" s="86">
        <v>391</v>
      </c>
      <c r="R15" s="86">
        <v>408</v>
      </c>
      <c r="S15" s="86">
        <v>409</v>
      </c>
      <c r="T15" s="86">
        <v>407</v>
      </c>
      <c r="U15" s="86">
        <v>402</v>
      </c>
      <c r="V15" s="86">
        <v>399</v>
      </c>
      <c r="W15" s="86">
        <v>391</v>
      </c>
      <c r="X15" s="86">
        <v>391</v>
      </c>
      <c r="Y15" s="86">
        <v>396</v>
      </c>
      <c r="Z15" s="86">
        <v>397</v>
      </c>
      <c r="AA15" s="86">
        <v>410</v>
      </c>
      <c r="AB15" s="86">
        <v>393</v>
      </c>
      <c r="AC15" s="86">
        <v>395</v>
      </c>
      <c r="AD15" s="86">
        <v>398</v>
      </c>
      <c r="AE15" s="86">
        <v>391</v>
      </c>
      <c r="AF15" s="86">
        <v>398</v>
      </c>
      <c r="AG15" s="86">
        <v>389</v>
      </c>
      <c r="AH15" s="87">
        <f t="shared" si="1"/>
        <v>12402</v>
      </c>
      <c r="AI15" s="9"/>
    </row>
    <row r="16" customFormat="1" ht="15.6" spans="1:35">
      <c r="A16" s="77">
        <v>5</v>
      </c>
      <c r="B16" s="84" t="s">
        <v>21</v>
      </c>
      <c r="C16" s="88">
        <v>3956</v>
      </c>
      <c r="D16" s="88">
        <v>4053</v>
      </c>
      <c r="E16" s="88">
        <v>4215</v>
      </c>
      <c r="F16" s="88">
        <v>4319</v>
      </c>
      <c r="G16" s="88">
        <v>4322</v>
      </c>
      <c r="H16" s="88">
        <v>4335</v>
      </c>
      <c r="I16" s="88">
        <v>4268.5</v>
      </c>
      <c r="J16" s="88">
        <v>4122</v>
      </c>
      <c r="K16" s="88">
        <v>4112.5</v>
      </c>
      <c r="L16" s="88">
        <v>4306</v>
      </c>
      <c r="M16" s="88">
        <v>4444</v>
      </c>
      <c r="N16" s="88">
        <v>4274.5</v>
      </c>
      <c r="O16" s="88">
        <v>4142</v>
      </c>
      <c r="P16" s="88">
        <v>4236</v>
      </c>
      <c r="Q16" s="88">
        <v>4053.5</v>
      </c>
      <c r="R16" s="88">
        <v>4348</v>
      </c>
      <c r="S16" s="88">
        <v>4348.5</v>
      </c>
      <c r="T16" s="88">
        <v>4318</v>
      </c>
      <c r="U16" s="88">
        <v>4193</v>
      </c>
      <c r="V16" s="88">
        <v>4148.5</v>
      </c>
      <c r="W16" s="88">
        <v>4064</v>
      </c>
      <c r="X16" s="88">
        <v>4134.5</v>
      </c>
      <c r="Y16" s="88">
        <v>4166.5</v>
      </c>
      <c r="Z16" s="88">
        <v>4169.5</v>
      </c>
      <c r="AA16" s="88">
        <v>4446</v>
      </c>
      <c r="AB16" s="88">
        <v>4170.5</v>
      </c>
      <c r="AC16" s="88">
        <v>4130.5</v>
      </c>
      <c r="AD16" s="88">
        <v>4165.5</v>
      </c>
      <c r="AE16" s="88">
        <v>4085</v>
      </c>
      <c r="AF16" s="88">
        <v>4169.5</v>
      </c>
      <c r="AG16" s="88">
        <v>4088.5</v>
      </c>
      <c r="AH16" s="88">
        <f t="shared" si="1"/>
        <v>130305</v>
      </c>
      <c r="AI16" s="9"/>
    </row>
    <row r="17" s="7" customFormat="1" ht="15.6" spans="1:35">
      <c r="A17" s="31" t="s">
        <v>22</v>
      </c>
      <c r="B17" s="89"/>
      <c r="C17" s="33">
        <v>2353.81298701299</v>
      </c>
      <c r="D17" s="33">
        <v>2348.59846547315</v>
      </c>
      <c r="E17" s="33">
        <v>2444.79949874687</v>
      </c>
      <c r="F17" s="33">
        <v>2507.9725</v>
      </c>
      <c r="G17" s="33">
        <v>2486.22828784119</v>
      </c>
      <c r="H17" s="33">
        <v>2339.98780487805</v>
      </c>
      <c r="I17" s="33">
        <v>2259.59375</v>
      </c>
      <c r="J17" s="33">
        <v>2210.84825870647</v>
      </c>
      <c r="K17" s="33">
        <v>2280.48877805486</v>
      </c>
      <c r="L17" s="33">
        <v>2415.40294840295</v>
      </c>
      <c r="M17" s="33">
        <v>2470.43990384615</v>
      </c>
      <c r="N17" s="33">
        <v>2392.97794117647</v>
      </c>
      <c r="O17" s="33">
        <v>2327.88190954774</v>
      </c>
      <c r="P17" s="33">
        <v>2377.40897755611</v>
      </c>
      <c r="Q17" s="33">
        <v>2384.4168797954</v>
      </c>
      <c r="R17" s="33">
        <v>2479.94852941176</v>
      </c>
      <c r="S17" s="33">
        <v>2360.37652811736</v>
      </c>
      <c r="T17" s="33">
        <v>2414.13022113022</v>
      </c>
      <c r="U17" s="33">
        <v>2408.77611940298</v>
      </c>
      <c r="V17" s="33">
        <v>2413.68922305764</v>
      </c>
      <c r="W17" s="33">
        <v>2295.06905370844</v>
      </c>
      <c r="X17" s="33">
        <v>2324.50383631714</v>
      </c>
      <c r="Y17" s="33">
        <v>2386.61111111111</v>
      </c>
      <c r="Z17" s="33">
        <v>2300.07052896725</v>
      </c>
      <c r="AA17" s="33">
        <v>2527.00975609756</v>
      </c>
      <c r="AB17" s="33">
        <v>2453.39185750636</v>
      </c>
      <c r="AC17" s="33">
        <v>2264.67088607595</v>
      </c>
      <c r="AD17" s="33">
        <v>2260.77889447236</v>
      </c>
      <c r="AE17" s="33">
        <v>2351.92071611253</v>
      </c>
      <c r="AF17" s="33">
        <v>2283.57035175879</v>
      </c>
      <c r="AG17" s="90">
        <v>2420.00514138817</v>
      </c>
      <c r="AH17" s="33">
        <f>AH5/AH15</f>
        <v>2372.76874697629</v>
      </c>
    </row>
    <row r="18" s="7" customFormat="1" ht="15.6" spans="1:35">
      <c r="A18" s="31" t="s">
        <v>23</v>
      </c>
      <c r="B18" s="89"/>
      <c r="C18" s="34">
        <v>229.074317492417</v>
      </c>
      <c r="D18" s="34">
        <v>226.573402417962</v>
      </c>
      <c r="E18" s="34">
        <v>231.429418742586</v>
      </c>
      <c r="F18" s="34">
        <v>232.273442926603</v>
      </c>
      <c r="G18" s="34">
        <v>231.825543729755</v>
      </c>
      <c r="H18" s="34">
        <v>221.313725490196</v>
      </c>
      <c r="I18" s="34">
        <v>220.215766662762</v>
      </c>
      <c r="J18" s="34">
        <v>215.614022319262</v>
      </c>
      <c r="K18" s="34">
        <v>222.364984802432</v>
      </c>
      <c r="L18" s="34">
        <v>228.302136553646</v>
      </c>
      <c r="M18" s="34">
        <v>231.256300630063</v>
      </c>
      <c r="N18" s="34">
        <v>228.409170663235</v>
      </c>
      <c r="O18" s="34">
        <v>223.683486238532</v>
      </c>
      <c r="P18" s="34">
        <v>225.056893295562</v>
      </c>
      <c r="Q18" s="34">
        <v>230.000493400765</v>
      </c>
      <c r="R18" s="34">
        <v>232.709061637534</v>
      </c>
      <c r="S18" s="34">
        <v>222.006209037599</v>
      </c>
      <c r="T18" s="34">
        <v>227.547707271885</v>
      </c>
      <c r="U18" s="34">
        <v>230.939184354877</v>
      </c>
      <c r="V18" s="34">
        <v>232.147041099192</v>
      </c>
      <c r="W18" s="34">
        <v>220.810039370079</v>
      </c>
      <c r="X18" s="34">
        <v>219.828516144637</v>
      </c>
      <c r="Y18" s="34">
        <v>226.832593303732</v>
      </c>
      <c r="Z18" s="34">
        <v>219.001798776832</v>
      </c>
      <c r="AA18" s="34">
        <v>233.035087719298</v>
      </c>
      <c r="AB18" s="34">
        <v>231.191224073852</v>
      </c>
      <c r="AC18" s="34">
        <v>216.570633095267</v>
      </c>
      <c r="AD18" s="34">
        <v>216.01008282319</v>
      </c>
      <c r="AE18" s="34">
        <v>225.116523867809</v>
      </c>
      <c r="AF18" s="34">
        <v>217.978414678019</v>
      </c>
      <c r="AG18" s="34">
        <v>230.251192368839</v>
      </c>
      <c r="AH18" s="34">
        <f>AH5/AH16</f>
        <v>225.832301139634</v>
      </c>
    </row>
    <row r="19" s="7" customFormat="1" ht="15.6" spans="1:35">
      <c r="A19" s="31" t="s">
        <v>131</v>
      </c>
      <c r="B19" s="32"/>
      <c r="C19" s="38">
        <v>0.0867236139648517</v>
      </c>
      <c r="D19" s="38">
        <v>0.0875893769152196</v>
      </c>
      <c r="E19" s="38">
        <v>0.0857438683718189</v>
      </c>
      <c r="F19" s="38">
        <v>0.0854903712062234</v>
      </c>
      <c r="G19" s="38">
        <v>0.0858331254054594</v>
      </c>
      <c r="H19" s="38">
        <v>0.0899775379275481</v>
      </c>
      <c r="I19" s="38">
        <v>0.0900795858683753</v>
      </c>
      <c r="J19" s="38">
        <v>0.0916523114763137</v>
      </c>
      <c r="K19" s="38">
        <v>0.0891598029910025</v>
      </c>
      <c r="L19" s="38">
        <v>0.0870813747559937</v>
      </c>
      <c r="M19" s="38">
        <v>0.0856400146735</v>
      </c>
      <c r="N19" s="38">
        <v>0.0869875606221225</v>
      </c>
      <c r="O19" s="38">
        <v>0.0886764878893294</v>
      </c>
      <c r="P19" s="38">
        <v>0.0879464955351758</v>
      </c>
      <c r="Q19" s="38">
        <v>0.086174940228916</v>
      </c>
      <c r="R19" s="38">
        <v>0.0854639021406002</v>
      </c>
      <c r="S19" s="38">
        <v>0.0893961429219573</v>
      </c>
      <c r="T19" s="38">
        <v>0.0870484076653527</v>
      </c>
      <c r="U19" s="38">
        <v>0.0858701803521121</v>
      </c>
      <c r="V19" s="38">
        <v>0.0852930548604347</v>
      </c>
      <c r="W19" s="38">
        <v>0.0891380609156515</v>
      </c>
      <c r="X19" s="38">
        <v>0.0896140418822706</v>
      </c>
      <c r="Y19" s="38">
        <v>0.0871147753989533</v>
      </c>
      <c r="Z19" s="38">
        <v>0.0905798529888471</v>
      </c>
      <c r="AA19" s="38">
        <v>0.0849114059420466</v>
      </c>
      <c r="AB19" s="38">
        <v>0.08548740228774</v>
      </c>
      <c r="AC19" s="38">
        <v>0.0909350563694392</v>
      </c>
      <c r="AD19" s="38">
        <v>0.0910795852365552</v>
      </c>
      <c r="AE19" s="38">
        <v>0.0873541894800027</v>
      </c>
      <c r="AF19" s="38">
        <v>0.0901854078896553</v>
      </c>
      <c r="AG19" s="38">
        <v>0.0863825737054671</v>
      </c>
      <c r="AH19" s="38">
        <f>(AH21+AH27)/AH5</f>
        <v>0.0876982757173512</v>
      </c>
    </row>
    <row r="20" s="7" customFormat="1" ht="15.6" spans="1:35">
      <c r="A20" s="31" t="s">
        <v>132</v>
      </c>
      <c r="B20" s="32"/>
      <c r="C20" s="38">
        <v>0.0143623317440032</v>
      </c>
      <c r="D20" s="38">
        <v>0.0141733368198992</v>
      </c>
      <c r="E20" s="38">
        <v>0.0133426315880849</v>
      </c>
      <c r="F20" s="38">
        <v>0.0129740293687302</v>
      </c>
      <c r="G20" s="38">
        <v>0.01299007290622</v>
      </c>
      <c r="H20" s="38">
        <v>0.0135662616006828</v>
      </c>
      <c r="I20" s="38">
        <v>0.0138463065586661</v>
      </c>
      <c r="J20" s="38">
        <v>0.0146444359601592</v>
      </c>
      <c r="K20" s="38">
        <v>0.0142326354637925</v>
      </c>
      <c r="L20" s="38">
        <v>0.0132395625824709</v>
      </c>
      <c r="M20" s="38">
        <v>0.0126645573170333</v>
      </c>
      <c r="N20" s="38">
        <v>0.0133308787950725</v>
      </c>
      <c r="O20" s="38">
        <v>0.0140479716052908</v>
      </c>
      <c r="P20" s="38">
        <v>0.0136524114124821</v>
      </c>
      <c r="Q20" s="38">
        <v>0.0139604267139334</v>
      </c>
      <c r="R20" s="38">
        <v>0.0128633713622566</v>
      </c>
      <c r="S20" s="38">
        <v>0.0134819602653291</v>
      </c>
      <c r="T20" s="38">
        <v>0.0132465424679097</v>
      </c>
      <c r="U20" s="38">
        <v>0.013441110396877</v>
      </c>
      <c r="V20" s="38">
        <v>0.0135146060673011</v>
      </c>
      <c r="W20" s="38">
        <v>0.0145039109180887</v>
      </c>
      <c r="X20" s="38">
        <v>0.0143202504490545</v>
      </c>
      <c r="Y20" s="38">
        <v>0.0137714856537492</v>
      </c>
      <c r="Z20" s="38">
        <v>0.0142536463106893</v>
      </c>
      <c r="AA20" s="38">
        <v>0.0125622335358161</v>
      </c>
      <c r="AB20" s="38">
        <v>0.0134988934137888</v>
      </c>
      <c r="AC20" s="38">
        <v>0.0145497471322148</v>
      </c>
      <c r="AD20" s="38">
        <v>0.0144649346496261</v>
      </c>
      <c r="AE20" s="38">
        <v>0.0141533160015997</v>
      </c>
      <c r="AF20" s="38">
        <v>0.0143205655742595</v>
      </c>
      <c r="AG20" s="38">
        <v>0.0138258470508116</v>
      </c>
      <c r="AH20" s="38">
        <f>(AH34+AH36)/AH5</f>
        <v>0.0137110966301173</v>
      </c>
    </row>
    <row r="21" customFormat="1" ht="15" spans="1:35">
      <c r="A21" s="91">
        <v>1</v>
      </c>
      <c r="B21" s="78" t="s">
        <v>24</v>
      </c>
      <c r="C21" s="81">
        <v>58822</v>
      </c>
      <c r="D21" s="81">
        <v>59607</v>
      </c>
      <c r="E21" s="81">
        <v>62009.5</v>
      </c>
      <c r="F21" s="81">
        <v>62843.5</v>
      </c>
      <c r="G21" s="81">
        <v>62057.5</v>
      </c>
      <c r="H21" s="81">
        <v>61863.5</v>
      </c>
      <c r="I21" s="81">
        <v>62858.5</v>
      </c>
      <c r="J21" s="81">
        <v>62298</v>
      </c>
      <c r="K21" s="81">
        <v>61271.5</v>
      </c>
      <c r="L21" s="81">
        <v>62423</v>
      </c>
      <c r="M21" s="81">
        <v>65392</v>
      </c>
      <c r="N21" s="81">
        <v>62308.5</v>
      </c>
      <c r="O21" s="81">
        <v>61113.5</v>
      </c>
      <c r="P21" s="81">
        <v>62786.5</v>
      </c>
      <c r="Q21" s="81">
        <v>60078.5</v>
      </c>
      <c r="R21" s="81">
        <v>63071.5</v>
      </c>
      <c r="S21" s="81">
        <v>63705</v>
      </c>
      <c r="T21" s="81">
        <v>63714</v>
      </c>
      <c r="U21" s="81">
        <v>61852.5</v>
      </c>
      <c r="V21" s="81">
        <v>61626.5</v>
      </c>
      <c r="W21" s="81">
        <v>62636.5</v>
      </c>
      <c r="X21" s="81">
        <v>63554.5</v>
      </c>
      <c r="Y21" s="81">
        <v>62345</v>
      </c>
      <c r="Z21" s="81">
        <v>61401.5</v>
      </c>
      <c r="AA21" s="81">
        <v>65630</v>
      </c>
      <c r="AB21" s="81">
        <v>62979</v>
      </c>
      <c r="AC21" s="81">
        <v>63486</v>
      </c>
      <c r="AD21" s="81">
        <v>64587.5</v>
      </c>
      <c r="AE21" s="81">
        <v>63748</v>
      </c>
      <c r="AF21" s="81">
        <v>64612.5</v>
      </c>
      <c r="AG21" s="81">
        <v>60009.5</v>
      </c>
      <c r="AH21" s="87">
        <f t="shared" ref="AH21:AH30" si="2">SUM(C21:AG21)</f>
        <v>1936692.5</v>
      </c>
      <c r="AI21" s="9"/>
    </row>
    <row r="22" customFormat="1" ht="15" spans="1:35">
      <c r="A22" s="91">
        <v>2</v>
      </c>
      <c r="B22" s="78" t="s">
        <v>25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92">
        <f t="shared" si="2"/>
        <v>0</v>
      </c>
      <c r="AI22" s="9"/>
    </row>
    <row r="23" customFormat="1" ht="15" spans="1:35">
      <c r="A23" s="91">
        <v>3</v>
      </c>
      <c r="B23" s="78" t="s">
        <v>26</v>
      </c>
      <c r="C23" s="81">
        <v>390</v>
      </c>
      <c r="D23" s="81">
        <v>390</v>
      </c>
      <c r="E23" s="81">
        <v>390</v>
      </c>
      <c r="F23" s="81">
        <v>390</v>
      </c>
      <c r="G23" s="81">
        <v>390</v>
      </c>
      <c r="H23" s="81">
        <v>390</v>
      </c>
      <c r="I23" s="81">
        <v>390</v>
      </c>
      <c r="J23" s="81">
        <v>390</v>
      </c>
      <c r="K23" s="81">
        <v>390</v>
      </c>
      <c r="L23" s="81">
        <v>390</v>
      </c>
      <c r="M23" s="81">
        <v>390</v>
      </c>
      <c r="N23" s="81">
        <v>390</v>
      </c>
      <c r="O23" s="81">
        <v>390</v>
      </c>
      <c r="P23" s="81">
        <v>390</v>
      </c>
      <c r="Q23" s="81">
        <v>390</v>
      </c>
      <c r="R23" s="81">
        <v>390</v>
      </c>
      <c r="S23" s="81">
        <v>390</v>
      </c>
      <c r="T23" s="81">
        <v>390</v>
      </c>
      <c r="U23" s="81">
        <v>390</v>
      </c>
      <c r="V23" s="81">
        <v>390</v>
      </c>
      <c r="W23" s="81">
        <v>390</v>
      </c>
      <c r="X23" s="81">
        <v>390</v>
      </c>
      <c r="Y23" s="81">
        <v>390</v>
      </c>
      <c r="Z23" s="81">
        <v>390</v>
      </c>
      <c r="AA23" s="81">
        <v>390</v>
      </c>
      <c r="AB23" s="81">
        <v>390</v>
      </c>
      <c r="AC23" s="81">
        <v>390</v>
      </c>
      <c r="AD23" s="81">
        <v>390</v>
      </c>
      <c r="AE23" s="81">
        <v>390</v>
      </c>
      <c r="AF23" s="81">
        <v>390</v>
      </c>
      <c r="AG23" s="81">
        <v>390</v>
      </c>
      <c r="AH23" s="92">
        <f t="shared" si="2"/>
        <v>12090</v>
      </c>
      <c r="AI23" s="9"/>
    </row>
    <row r="24" customFormat="1" ht="15" spans="1:35">
      <c r="A24" s="91">
        <v>4</v>
      </c>
      <c r="B24" s="78" t="s">
        <v>27</v>
      </c>
      <c r="C24" s="81">
        <v>585</v>
      </c>
      <c r="D24" s="81">
        <v>585</v>
      </c>
      <c r="E24" s="81">
        <v>585</v>
      </c>
      <c r="F24" s="81">
        <v>585</v>
      </c>
      <c r="G24" s="81">
        <v>585</v>
      </c>
      <c r="H24" s="81">
        <v>585</v>
      </c>
      <c r="I24" s="81">
        <v>585</v>
      </c>
      <c r="J24" s="81">
        <v>585</v>
      </c>
      <c r="K24" s="81">
        <v>585</v>
      </c>
      <c r="L24" s="81">
        <v>585</v>
      </c>
      <c r="M24" s="81">
        <v>585</v>
      </c>
      <c r="N24" s="81">
        <v>585</v>
      </c>
      <c r="O24" s="81">
        <v>585</v>
      </c>
      <c r="P24" s="81">
        <v>585</v>
      </c>
      <c r="Q24" s="81">
        <v>585</v>
      </c>
      <c r="R24" s="81">
        <v>585</v>
      </c>
      <c r="S24" s="81">
        <v>585</v>
      </c>
      <c r="T24" s="81">
        <v>585</v>
      </c>
      <c r="U24" s="81">
        <v>585</v>
      </c>
      <c r="V24" s="81">
        <v>585</v>
      </c>
      <c r="W24" s="81">
        <v>585</v>
      </c>
      <c r="X24" s="81">
        <v>585</v>
      </c>
      <c r="Y24" s="81">
        <v>585</v>
      </c>
      <c r="Z24" s="81">
        <v>585</v>
      </c>
      <c r="AA24" s="81">
        <v>585</v>
      </c>
      <c r="AB24" s="81">
        <v>585</v>
      </c>
      <c r="AC24" s="81">
        <v>585</v>
      </c>
      <c r="AD24" s="81">
        <v>585</v>
      </c>
      <c r="AE24" s="81">
        <v>585</v>
      </c>
      <c r="AF24" s="81">
        <v>585</v>
      </c>
      <c r="AG24" s="81">
        <v>585</v>
      </c>
      <c r="AH24" s="92">
        <f t="shared" si="2"/>
        <v>18135</v>
      </c>
      <c r="AI24" s="9"/>
    </row>
    <row r="25" customFormat="1" ht="15" spans="1:35">
      <c r="A25" s="91">
        <v>5</v>
      </c>
      <c r="B25" s="78" t="s">
        <v>28</v>
      </c>
      <c r="C25" s="81">
        <v>2720</v>
      </c>
      <c r="D25" s="81">
        <v>2736</v>
      </c>
      <c r="E25" s="81">
        <v>2776</v>
      </c>
      <c r="F25" s="81">
        <v>2744</v>
      </c>
      <c r="G25" s="81">
        <v>2736</v>
      </c>
      <c r="H25" s="81">
        <v>2776</v>
      </c>
      <c r="I25" s="81">
        <v>2904</v>
      </c>
      <c r="J25" s="81">
        <v>2872</v>
      </c>
      <c r="K25" s="81">
        <v>2832</v>
      </c>
      <c r="L25" s="81">
        <v>2792</v>
      </c>
      <c r="M25" s="81">
        <v>2880</v>
      </c>
      <c r="N25" s="81">
        <v>2816</v>
      </c>
      <c r="O25" s="81">
        <v>2784</v>
      </c>
      <c r="P25" s="81">
        <v>2808</v>
      </c>
      <c r="Q25" s="81">
        <v>2752</v>
      </c>
      <c r="R25" s="81">
        <v>2792</v>
      </c>
      <c r="S25" s="81">
        <v>2824</v>
      </c>
      <c r="T25" s="81">
        <v>2832</v>
      </c>
      <c r="U25" s="81">
        <v>2808</v>
      </c>
      <c r="V25" s="81">
        <v>2808</v>
      </c>
      <c r="W25" s="81">
        <v>2840</v>
      </c>
      <c r="X25" s="81">
        <v>2824</v>
      </c>
      <c r="Y25" s="81">
        <v>2800</v>
      </c>
      <c r="Z25" s="81">
        <v>2768</v>
      </c>
      <c r="AA25" s="81">
        <v>2840</v>
      </c>
      <c r="AB25" s="81">
        <v>2792</v>
      </c>
      <c r="AC25" s="81">
        <v>2856</v>
      </c>
      <c r="AD25" s="81">
        <v>2896</v>
      </c>
      <c r="AE25" s="81">
        <v>2864</v>
      </c>
      <c r="AF25" s="81">
        <v>2896</v>
      </c>
      <c r="AG25" s="81">
        <v>2704</v>
      </c>
      <c r="AH25" s="92">
        <f t="shared" si="2"/>
        <v>87072</v>
      </c>
      <c r="AI25" s="9"/>
    </row>
    <row r="26" customFormat="1" ht="15" spans="1:35">
      <c r="A26" s="91">
        <v>6</v>
      </c>
      <c r="B26" s="78" t="s">
        <v>29</v>
      </c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92">
        <f t="shared" si="2"/>
        <v>0</v>
      </c>
      <c r="AI26" s="9"/>
    </row>
    <row r="27" customFormat="1" ht="15" spans="1:35">
      <c r="A27" s="91">
        <v>7</v>
      </c>
      <c r="B27" s="78" t="s">
        <v>30</v>
      </c>
      <c r="C27" s="81">
        <v>19768.5</v>
      </c>
      <c r="D27" s="81">
        <v>20826.5</v>
      </c>
      <c r="E27" s="81">
        <v>21631.5</v>
      </c>
      <c r="F27" s="81">
        <v>22919.5</v>
      </c>
      <c r="G27" s="81">
        <v>23943</v>
      </c>
      <c r="H27" s="81">
        <v>24460.5</v>
      </c>
      <c r="I27" s="81">
        <v>21815.5</v>
      </c>
      <c r="J27" s="81">
        <v>19159</v>
      </c>
      <c r="K27" s="81">
        <v>20263</v>
      </c>
      <c r="L27" s="81">
        <v>23184</v>
      </c>
      <c r="M27" s="81">
        <v>22620.5</v>
      </c>
      <c r="N27" s="81">
        <v>22620.5</v>
      </c>
      <c r="O27" s="81">
        <v>21045</v>
      </c>
      <c r="P27" s="81">
        <v>21056.5</v>
      </c>
      <c r="Q27" s="81">
        <v>20263</v>
      </c>
      <c r="R27" s="81">
        <v>23402.5</v>
      </c>
      <c r="S27" s="81">
        <v>22597.5</v>
      </c>
      <c r="T27" s="81">
        <v>21815.5</v>
      </c>
      <c r="U27" s="81">
        <v>21298</v>
      </c>
      <c r="V27" s="81">
        <v>20516</v>
      </c>
      <c r="W27" s="81">
        <v>17353.5</v>
      </c>
      <c r="X27" s="81">
        <v>17894</v>
      </c>
      <c r="Y27" s="81">
        <v>19987</v>
      </c>
      <c r="Z27" s="81">
        <v>21309.5</v>
      </c>
      <c r="AA27" s="81">
        <v>22344.5</v>
      </c>
      <c r="AB27" s="81">
        <v>19446.5</v>
      </c>
      <c r="AC27" s="81">
        <v>17859.5</v>
      </c>
      <c r="AD27" s="81">
        <v>17365</v>
      </c>
      <c r="AE27" s="81">
        <v>16583</v>
      </c>
      <c r="AF27" s="81">
        <v>17353.5</v>
      </c>
      <c r="AG27" s="81">
        <v>21309.5</v>
      </c>
      <c r="AH27" s="92">
        <f t="shared" si="2"/>
        <v>644011.5</v>
      </c>
      <c r="AI27" s="9"/>
    </row>
    <row r="28" customFormat="1" ht="15" spans="1:35">
      <c r="A28" s="91">
        <v>8</v>
      </c>
      <c r="B28" s="78" t="s">
        <v>31</v>
      </c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>
        <v>149.79</v>
      </c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92">
        <f t="shared" si="2"/>
        <v>149.79</v>
      </c>
      <c r="AI28" s="9"/>
    </row>
    <row r="29" customFormat="1" ht="15" spans="1:35">
      <c r="A29" s="91">
        <v>9</v>
      </c>
      <c r="B29" s="78" t="s">
        <v>32</v>
      </c>
      <c r="C29" s="81">
        <v>2000</v>
      </c>
      <c r="D29" s="81">
        <v>2000</v>
      </c>
      <c r="E29" s="81">
        <v>2000</v>
      </c>
      <c r="F29" s="81">
        <v>2000</v>
      </c>
      <c r="G29" s="81">
        <v>2000</v>
      </c>
      <c r="H29" s="81">
        <v>2000</v>
      </c>
      <c r="I29" s="81">
        <v>2000</v>
      </c>
      <c r="J29" s="81">
        <v>2000</v>
      </c>
      <c r="K29" s="81">
        <v>2000</v>
      </c>
      <c r="L29" s="81">
        <v>2000</v>
      </c>
      <c r="M29" s="81">
        <v>2000</v>
      </c>
      <c r="N29" s="81">
        <v>2000</v>
      </c>
      <c r="O29" s="81">
        <v>2000</v>
      </c>
      <c r="P29" s="81">
        <v>2000</v>
      </c>
      <c r="Q29" s="81">
        <v>2000</v>
      </c>
      <c r="R29" s="81">
        <v>2000</v>
      </c>
      <c r="S29" s="81">
        <v>2000</v>
      </c>
      <c r="T29" s="81">
        <v>2000</v>
      </c>
      <c r="U29" s="81">
        <v>2000</v>
      </c>
      <c r="V29" s="81">
        <v>2000</v>
      </c>
      <c r="W29" s="81">
        <v>2000</v>
      </c>
      <c r="X29" s="81">
        <v>2000</v>
      </c>
      <c r="Y29" s="81">
        <v>2000</v>
      </c>
      <c r="Z29" s="81">
        <v>2000</v>
      </c>
      <c r="AA29" s="81">
        <v>2000</v>
      </c>
      <c r="AB29" s="81">
        <v>2000</v>
      </c>
      <c r="AC29" s="81">
        <v>2000</v>
      </c>
      <c r="AD29" s="81">
        <v>2000</v>
      </c>
      <c r="AE29" s="81">
        <v>2000</v>
      </c>
      <c r="AF29" s="81">
        <v>2000</v>
      </c>
      <c r="AG29" s="81">
        <v>2000</v>
      </c>
      <c r="AH29" s="92">
        <f t="shared" si="2"/>
        <v>62000</v>
      </c>
      <c r="AI29" s="9"/>
    </row>
    <row r="30" customFormat="1" ht="15" spans="1:35">
      <c r="A30" s="91">
        <v>10</v>
      </c>
      <c r="B30" s="78" t="s">
        <v>33</v>
      </c>
      <c r="C30" s="81">
        <v>33651.8374193548</v>
      </c>
      <c r="D30" s="81">
        <v>33651.8374193548</v>
      </c>
      <c r="E30" s="81">
        <v>33651.8374193548</v>
      </c>
      <c r="F30" s="81">
        <v>33651.8374193548</v>
      </c>
      <c r="G30" s="81">
        <v>33651.8374193548</v>
      </c>
      <c r="H30" s="81">
        <v>33651.8374193548</v>
      </c>
      <c r="I30" s="81">
        <v>33651.8374193548</v>
      </c>
      <c r="J30" s="81">
        <v>33651.8374193548</v>
      </c>
      <c r="K30" s="81">
        <v>33651.8374193548</v>
      </c>
      <c r="L30" s="81">
        <v>33651.8374193548</v>
      </c>
      <c r="M30" s="81">
        <v>33651.8374193548</v>
      </c>
      <c r="N30" s="81">
        <v>33651.8374193548</v>
      </c>
      <c r="O30" s="81">
        <v>33651.8374193548</v>
      </c>
      <c r="P30" s="81">
        <v>33651.8374193548</v>
      </c>
      <c r="Q30" s="81">
        <v>33651.8374193548</v>
      </c>
      <c r="R30" s="81">
        <v>33651.8374193548</v>
      </c>
      <c r="S30" s="81">
        <v>33651.8374193548</v>
      </c>
      <c r="T30" s="81">
        <v>33651.8374193548</v>
      </c>
      <c r="U30" s="81">
        <v>33651.8374193548</v>
      </c>
      <c r="V30" s="81">
        <v>33651.8374193548</v>
      </c>
      <c r="W30" s="81">
        <v>33651.8374193548</v>
      </c>
      <c r="X30" s="81">
        <v>33651.8374193548</v>
      </c>
      <c r="Y30" s="81">
        <v>33651.8374193548</v>
      </c>
      <c r="Z30" s="81">
        <v>33651.8374193548</v>
      </c>
      <c r="AA30" s="81">
        <v>33651.8374193548</v>
      </c>
      <c r="AB30" s="81">
        <v>33651.8374193548</v>
      </c>
      <c r="AC30" s="81">
        <v>33651.8374193548</v>
      </c>
      <c r="AD30" s="81">
        <v>33651.8374193548</v>
      </c>
      <c r="AE30" s="81">
        <v>33651.8374193548</v>
      </c>
      <c r="AF30" s="81">
        <v>33651.8374193548</v>
      </c>
      <c r="AG30" s="81">
        <v>33651.8374193548</v>
      </c>
      <c r="AH30" s="92">
        <f t="shared" si="2"/>
        <v>1043206.96</v>
      </c>
    </row>
    <row r="31" s="7" customFormat="1" ht="15.6" spans="1:35">
      <c r="A31" s="93" t="s">
        <v>34</v>
      </c>
      <c r="B31" s="93"/>
      <c r="C31" s="27">
        <v>117937.337419355</v>
      </c>
      <c r="D31" s="27">
        <v>119796.337419355</v>
      </c>
      <c r="E31" s="27">
        <v>123043.837419355</v>
      </c>
      <c r="F31" s="27">
        <v>125133.837419355</v>
      </c>
      <c r="G31" s="27">
        <v>125363.337419355</v>
      </c>
      <c r="H31" s="27">
        <v>125726.837419355</v>
      </c>
      <c r="I31" s="27">
        <v>124204.837419355</v>
      </c>
      <c r="J31" s="27">
        <v>120955.837419355</v>
      </c>
      <c r="K31" s="27">
        <v>120993.337419355</v>
      </c>
      <c r="L31" s="27">
        <v>125025.837419355</v>
      </c>
      <c r="M31" s="27">
        <v>127519.337419355</v>
      </c>
      <c r="N31" s="27">
        <v>124371.837419355</v>
      </c>
      <c r="O31" s="27">
        <v>121569.337419355</v>
      </c>
      <c r="P31" s="27">
        <v>123277.837419355</v>
      </c>
      <c r="Q31" s="27">
        <v>119720.337419355</v>
      </c>
      <c r="R31" s="27">
        <v>125892.837419355</v>
      </c>
      <c r="S31" s="27">
        <v>125903.127419355</v>
      </c>
      <c r="T31" s="27">
        <v>124988.337419355</v>
      </c>
      <c r="U31" s="27">
        <v>122585.337419355</v>
      </c>
      <c r="V31" s="27">
        <v>121577.337419355</v>
      </c>
      <c r="W31" s="27">
        <v>119456.837419355</v>
      </c>
      <c r="X31" s="27">
        <v>120899.337419355</v>
      </c>
      <c r="Y31" s="27">
        <v>121758.837419355</v>
      </c>
      <c r="Z31" s="27">
        <v>122105.837419355</v>
      </c>
      <c r="AA31" s="27">
        <v>127441.337419355</v>
      </c>
      <c r="AB31" s="27">
        <v>121844.337419355</v>
      </c>
      <c r="AC31" s="27">
        <v>120828.337419355</v>
      </c>
      <c r="AD31" s="27">
        <v>121475.337419355</v>
      </c>
      <c r="AE31" s="27">
        <v>119821.837419355</v>
      </c>
      <c r="AF31" s="27">
        <v>121488.837419355</v>
      </c>
      <c r="AG31" s="27">
        <v>120649.837419355</v>
      </c>
      <c r="AH31" s="27">
        <f>SUM(AH21:AH30)</f>
        <v>3803357.75</v>
      </c>
    </row>
    <row r="32" s="7" customFormat="1" ht="15.6" spans="1:35">
      <c r="A32" s="39" t="s">
        <v>35</v>
      </c>
      <c r="B32" s="39"/>
      <c r="C32" s="27">
        <v>998.94</v>
      </c>
      <c r="D32" s="27">
        <v>1012.63</v>
      </c>
      <c r="E32" s="27">
        <v>1077.36</v>
      </c>
      <c r="F32" s="27">
        <v>1108.74</v>
      </c>
      <c r="G32" s="27">
        <v>1107.34</v>
      </c>
      <c r="H32" s="27">
        <v>1059.15</v>
      </c>
      <c r="I32" s="27">
        <v>1037.18</v>
      </c>
      <c r="J32" s="27">
        <v>979.18</v>
      </c>
      <c r="K32" s="27">
        <v>1008.29</v>
      </c>
      <c r="L32" s="27">
        <v>1085.96</v>
      </c>
      <c r="M32" s="27">
        <v>1136.5</v>
      </c>
      <c r="N32" s="27">
        <v>1078.34</v>
      </c>
      <c r="O32" s="27">
        <v>1021.9</v>
      </c>
      <c r="P32" s="27">
        <v>1052.3</v>
      </c>
      <c r="Q32" s="27">
        <v>1028.48</v>
      </c>
      <c r="R32" s="27">
        <v>1118.51</v>
      </c>
      <c r="S32" s="27">
        <v>1065.95</v>
      </c>
      <c r="T32" s="27">
        <v>1085.37</v>
      </c>
      <c r="U32" s="27">
        <v>1069.27</v>
      </c>
      <c r="V32" s="27">
        <v>1063.31</v>
      </c>
      <c r="W32" s="27">
        <v>988.93</v>
      </c>
      <c r="X32" s="27">
        <v>1001.96</v>
      </c>
      <c r="Y32" s="27">
        <v>1042.97</v>
      </c>
      <c r="Z32" s="27">
        <v>1006.77</v>
      </c>
      <c r="AA32" s="27">
        <v>1145.98</v>
      </c>
      <c r="AB32" s="27">
        <v>1064.58</v>
      </c>
      <c r="AC32" s="27">
        <v>985.73</v>
      </c>
      <c r="AD32" s="27">
        <v>991.66</v>
      </c>
      <c r="AE32" s="27">
        <v>1014.1</v>
      </c>
      <c r="AF32" s="27">
        <v>1001.94</v>
      </c>
      <c r="AG32" s="27">
        <v>1038.76</v>
      </c>
      <c r="AH32" s="27">
        <f t="shared" ref="AH32:AH35" si="3">SUM(C32:AG32)</f>
        <v>32478.08</v>
      </c>
    </row>
    <row r="33" s="7" customFormat="1" spans="1:35">
      <c r="A33" s="94" t="s">
        <v>36</v>
      </c>
      <c r="B33" s="94"/>
      <c r="C33" s="27">
        <v>19805.74</v>
      </c>
      <c r="D33" s="27">
        <v>19833.43</v>
      </c>
      <c r="E33" s="27">
        <v>25512.46</v>
      </c>
      <c r="F33" s="27">
        <v>27749.5</v>
      </c>
      <c r="G33" s="27">
        <v>27326.56</v>
      </c>
      <c r="H33" s="27">
        <v>20318.87</v>
      </c>
      <c r="I33" s="27">
        <v>18811.28</v>
      </c>
      <c r="J33" s="27">
        <v>14061.64</v>
      </c>
      <c r="K33" s="27">
        <v>18039.08</v>
      </c>
      <c r="L33" s="27">
        <v>24716.12</v>
      </c>
      <c r="M33" s="27">
        <v>29191.41</v>
      </c>
      <c r="N33" s="27">
        <v>24318.73</v>
      </c>
      <c r="O33" s="27">
        <v>19339.94</v>
      </c>
      <c r="P33" s="27">
        <v>21822.63</v>
      </c>
      <c r="Q33" s="27">
        <v>22096.07</v>
      </c>
      <c r="R33" s="27">
        <v>28337.92</v>
      </c>
      <c r="S33" s="27">
        <v>21079.2</v>
      </c>
      <c r="T33" s="27">
        <v>24672.75</v>
      </c>
      <c r="U33" s="27">
        <v>24855.09</v>
      </c>
      <c r="V33" s="27">
        <v>25040.9</v>
      </c>
      <c r="W33" s="27">
        <v>16905.09</v>
      </c>
      <c r="X33" s="27">
        <v>17259.51</v>
      </c>
      <c r="Y33" s="27">
        <v>22054.64</v>
      </c>
      <c r="Z33" s="27">
        <v>16716.11</v>
      </c>
      <c r="AA33" s="27">
        <v>30576.4</v>
      </c>
      <c r="AB33" s="27">
        <v>24948.92</v>
      </c>
      <c r="AC33" s="27">
        <v>15092.2</v>
      </c>
      <c r="AD33" s="27">
        <v>15264.12</v>
      </c>
      <c r="AE33" s="27">
        <v>20010.75</v>
      </c>
      <c r="AF33" s="27">
        <v>16666.89</v>
      </c>
      <c r="AG33" s="27">
        <v>22583.46</v>
      </c>
      <c r="AH33" s="27">
        <f>AH11-AH31-AH32</f>
        <v>675007.49</v>
      </c>
    </row>
    <row r="34" customFormat="1" ht="15" spans="1:35">
      <c r="A34" s="91">
        <v>1</v>
      </c>
      <c r="B34" s="95" t="s">
        <v>37</v>
      </c>
      <c r="C34" s="86">
        <v>11831.71</v>
      </c>
      <c r="D34" s="86">
        <v>11831.71</v>
      </c>
      <c r="E34" s="86">
        <v>11831.71</v>
      </c>
      <c r="F34" s="86">
        <v>11831.71</v>
      </c>
      <c r="G34" s="86">
        <v>11831.71</v>
      </c>
      <c r="H34" s="86">
        <v>11831.71</v>
      </c>
      <c r="I34" s="86">
        <v>11831.71</v>
      </c>
      <c r="J34" s="86">
        <v>11831.71</v>
      </c>
      <c r="K34" s="86">
        <v>11831.71</v>
      </c>
      <c r="L34" s="86">
        <v>11831.71</v>
      </c>
      <c r="M34" s="86">
        <v>11831.71</v>
      </c>
      <c r="N34" s="86">
        <v>11831.71</v>
      </c>
      <c r="O34" s="86">
        <v>11831.71</v>
      </c>
      <c r="P34" s="86">
        <v>11831.71</v>
      </c>
      <c r="Q34" s="86">
        <v>11831.71</v>
      </c>
      <c r="R34" s="86">
        <v>11831.71</v>
      </c>
      <c r="S34" s="86">
        <v>11831.71</v>
      </c>
      <c r="T34" s="86">
        <v>11831.71</v>
      </c>
      <c r="U34" s="86">
        <v>11831.71</v>
      </c>
      <c r="V34" s="86">
        <v>11831.71</v>
      </c>
      <c r="W34" s="86">
        <v>11831.71</v>
      </c>
      <c r="X34" s="86">
        <v>11831.71</v>
      </c>
      <c r="Y34" s="86">
        <v>11831.71</v>
      </c>
      <c r="Z34" s="86">
        <v>11831.71</v>
      </c>
      <c r="AA34" s="86">
        <v>11831.71</v>
      </c>
      <c r="AB34" s="86">
        <v>11831.71</v>
      </c>
      <c r="AC34" s="86">
        <v>11831.71</v>
      </c>
      <c r="AD34" s="86">
        <v>11831.71</v>
      </c>
      <c r="AE34" s="86">
        <v>11831.71</v>
      </c>
      <c r="AF34" s="86">
        <v>11831.71</v>
      </c>
      <c r="AG34" s="86">
        <v>11831.71</v>
      </c>
      <c r="AH34" s="87">
        <f t="shared" si="3"/>
        <v>366783.01</v>
      </c>
      <c r="AI34" s="9"/>
    </row>
    <row r="35" customFormat="1" ht="15" spans="1:35">
      <c r="A35" s="91">
        <v>2</v>
      </c>
      <c r="B35" s="95" t="s">
        <v>38</v>
      </c>
      <c r="C35" s="86">
        <v>680.65</v>
      </c>
      <c r="D35" s="86">
        <v>680.65</v>
      </c>
      <c r="E35" s="86">
        <v>680.65</v>
      </c>
      <c r="F35" s="86">
        <v>680.65</v>
      </c>
      <c r="G35" s="86">
        <v>680.65</v>
      </c>
      <c r="H35" s="86">
        <v>680.65</v>
      </c>
      <c r="I35" s="86">
        <v>680.65</v>
      </c>
      <c r="J35" s="86">
        <v>680.65</v>
      </c>
      <c r="K35" s="86">
        <v>680.65</v>
      </c>
      <c r="L35" s="86">
        <v>680.65</v>
      </c>
      <c r="M35" s="86">
        <v>680.65</v>
      </c>
      <c r="N35" s="86">
        <v>680.65</v>
      </c>
      <c r="O35" s="86">
        <v>680.65</v>
      </c>
      <c r="P35" s="86">
        <v>680.65</v>
      </c>
      <c r="Q35" s="86">
        <v>680.65</v>
      </c>
      <c r="R35" s="86">
        <v>680.65</v>
      </c>
      <c r="S35" s="86">
        <v>680.65</v>
      </c>
      <c r="T35" s="86">
        <v>680.65</v>
      </c>
      <c r="U35" s="86">
        <v>680.65</v>
      </c>
      <c r="V35" s="86">
        <v>680.65</v>
      </c>
      <c r="W35" s="86">
        <v>680.65</v>
      </c>
      <c r="X35" s="86">
        <v>680.65</v>
      </c>
      <c r="Y35" s="86">
        <v>680.65</v>
      </c>
      <c r="Z35" s="86">
        <v>680.65</v>
      </c>
      <c r="AA35" s="86">
        <v>680.65</v>
      </c>
      <c r="AB35" s="86">
        <v>680.65</v>
      </c>
      <c r="AC35" s="86">
        <v>680.65</v>
      </c>
      <c r="AD35" s="86">
        <v>680.65</v>
      </c>
      <c r="AE35" s="86">
        <v>680.65</v>
      </c>
      <c r="AF35" s="86">
        <v>680.65</v>
      </c>
      <c r="AG35" s="86">
        <v>680.65</v>
      </c>
      <c r="AH35" s="92">
        <f t="shared" si="3"/>
        <v>21100.15</v>
      </c>
      <c r="AI35" s="9"/>
    </row>
    <row r="36" customFormat="1" ht="15" spans="1:35">
      <c r="A36" s="91">
        <v>3</v>
      </c>
      <c r="B36" s="95" t="s">
        <v>39</v>
      </c>
      <c r="C36" s="86">
        <v>1183.6935483871</v>
      </c>
      <c r="D36" s="86">
        <v>1183.6935483871</v>
      </c>
      <c r="E36" s="86">
        <v>1183.6935483871</v>
      </c>
      <c r="F36" s="86">
        <v>1183.6935483871</v>
      </c>
      <c r="G36" s="86">
        <v>1183.6935483871</v>
      </c>
      <c r="H36" s="86">
        <v>1183.6935483871</v>
      </c>
      <c r="I36" s="86">
        <v>1183.6935483871</v>
      </c>
      <c r="J36" s="86">
        <v>1183.6935483871</v>
      </c>
      <c r="K36" s="86">
        <v>1183.6935483871</v>
      </c>
      <c r="L36" s="86">
        <v>1183.6935483871</v>
      </c>
      <c r="M36" s="86">
        <v>1183.6935483871</v>
      </c>
      <c r="N36" s="86">
        <v>1183.6935483871</v>
      </c>
      <c r="O36" s="86">
        <v>1183.6935483871</v>
      </c>
      <c r="P36" s="86">
        <v>1183.6935483871</v>
      </c>
      <c r="Q36" s="86">
        <v>1183.6935483871</v>
      </c>
      <c r="R36" s="86">
        <v>1183.6935483871</v>
      </c>
      <c r="S36" s="86">
        <v>1183.6935483871</v>
      </c>
      <c r="T36" s="86">
        <v>1183.6935483871</v>
      </c>
      <c r="U36" s="86">
        <v>1183.6935483871</v>
      </c>
      <c r="V36" s="86">
        <v>1183.6935483871</v>
      </c>
      <c r="W36" s="86">
        <v>1183.6935483871</v>
      </c>
      <c r="X36" s="86">
        <v>1183.6935483871</v>
      </c>
      <c r="Y36" s="86">
        <v>1183.6935483871</v>
      </c>
      <c r="Z36" s="86">
        <v>1183.6935483871</v>
      </c>
      <c r="AA36" s="86">
        <v>1183.6935483871</v>
      </c>
      <c r="AB36" s="86">
        <v>1183.6935483871</v>
      </c>
      <c r="AC36" s="86">
        <v>1183.6935483871</v>
      </c>
      <c r="AD36" s="86">
        <v>1183.6935483871</v>
      </c>
      <c r="AE36" s="86">
        <v>1183.6935483871</v>
      </c>
      <c r="AF36" s="86">
        <v>1183.6935483871</v>
      </c>
      <c r="AG36" s="86">
        <v>1183.6935483871</v>
      </c>
      <c r="AH36" s="92">
        <f>ROUND(SUM(C36:AG36),2)</f>
        <v>36694.5</v>
      </c>
      <c r="AI36" s="9"/>
    </row>
    <row r="37" customFormat="1" ht="15" spans="1:35">
      <c r="A37" s="91">
        <v>4</v>
      </c>
      <c r="B37" s="78" t="s">
        <v>26</v>
      </c>
      <c r="C37" s="81">
        <v>5</v>
      </c>
      <c r="D37" s="86">
        <v>5</v>
      </c>
      <c r="E37" s="86">
        <v>5</v>
      </c>
      <c r="F37" s="86">
        <v>5</v>
      </c>
      <c r="G37" s="86">
        <v>5</v>
      </c>
      <c r="H37" s="86">
        <v>5</v>
      </c>
      <c r="I37" s="86">
        <v>5</v>
      </c>
      <c r="J37" s="86">
        <v>5</v>
      </c>
      <c r="K37" s="86">
        <v>5</v>
      </c>
      <c r="L37" s="86">
        <v>5</v>
      </c>
      <c r="M37" s="86">
        <v>5</v>
      </c>
      <c r="N37" s="86">
        <v>5</v>
      </c>
      <c r="O37" s="86">
        <v>5</v>
      </c>
      <c r="P37" s="86">
        <v>5</v>
      </c>
      <c r="Q37" s="86">
        <v>5</v>
      </c>
      <c r="R37" s="86">
        <v>5</v>
      </c>
      <c r="S37" s="86">
        <v>5</v>
      </c>
      <c r="T37" s="86">
        <v>5</v>
      </c>
      <c r="U37" s="86">
        <v>5</v>
      </c>
      <c r="V37" s="86">
        <v>5</v>
      </c>
      <c r="W37" s="86">
        <v>5</v>
      </c>
      <c r="X37" s="86">
        <v>5</v>
      </c>
      <c r="Y37" s="86">
        <v>5</v>
      </c>
      <c r="Z37" s="86">
        <v>5</v>
      </c>
      <c r="AA37" s="86">
        <v>5</v>
      </c>
      <c r="AB37" s="86">
        <v>5</v>
      </c>
      <c r="AC37" s="86">
        <v>5</v>
      </c>
      <c r="AD37" s="86">
        <v>5</v>
      </c>
      <c r="AE37" s="86">
        <v>5</v>
      </c>
      <c r="AF37" s="86">
        <v>5</v>
      </c>
      <c r="AG37" s="86">
        <v>5</v>
      </c>
      <c r="AH37" s="87">
        <f t="shared" ref="AH37:AH44" si="4">SUM(C37:AG37)</f>
        <v>155</v>
      </c>
      <c r="AI37" s="9"/>
    </row>
    <row r="38" customFormat="1" ht="15" spans="1:35">
      <c r="A38" s="91">
        <v>5</v>
      </c>
      <c r="B38" s="78" t="s">
        <v>27</v>
      </c>
      <c r="C38" s="81">
        <v>7.5</v>
      </c>
      <c r="D38" s="86">
        <v>7.5</v>
      </c>
      <c r="E38" s="86">
        <v>7.5</v>
      </c>
      <c r="F38" s="86">
        <v>7.5</v>
      </c>
      <c r="G38" s="86">
        <v>7.5</v>
      </c>
      <c r="H38" s="86">
        <v>7.5</v>
      </c>
      <c r="I38" s="86">
        <v>7.5</v>
      </c>
      <c r="J38" s="86">
        <v>7.5</v>
      </c>
      <c r="K38" s="86">
        <v>7.5</v>
      </c>
      <c r="L38" s="86">
        <v>7.5</v>
      </c>
      <c r="M38" s="86">
        <v>7.5</v>
      </c>
      <c r="N38" s="86">
        <v>7.5</v>
      </c>
      <c r="O38" s="86">
        <v>7.5</v>
      </c>
      <c r="P38" s="86">
        <v>7.5</v>
      </c>
      <c r="Q38" s="86">
        <v>7.5</v>
      </c>
      <c r="R38" s="86">
        <v>7.5</v>
      </c>
      <c r="S38" s="86">
        <v>7.5</v>
      </c>
      <c r="T38" s="86">
        <v>7.5</v>
      </c>
      <c r="U38" s="86">
        <v>7.5</v>
      </c>
      <c r="V38" s="86">
        <v>7.5</v>
      </c>
      <c r="W38" s="86">
        <v>7.5</v>
      </c>
      <c r="X38" s="86">
        <v>7.5</v>
      </c>
      <c r="Y38" s="86">
        <v>7.5</v>
      </c>
      <c r="Z38" s="86">
        <v>7.5</v>
      </c>
      <c r="AA38" s="86">
        <v>7.5</v>
      </c>
      <c r="AB38" s="86">
        <v>7.5</v>
      </c>
      <c r="AC38" s="86">
        <v>7.5</v>
      </c>
      <c r="AD38" s="86">
        <v>7.5</v>
      </c>
      <c r="AE38" s="86">
        <v>7.5</v>
      </c>
      <c r="AF38" s="86">
        <v>7.5</v>
      </c>
      <c r="AG38" s="86">
        <v>7.5</v>
      </c>
      <c r="AH38" s="87">
        <f t="shared" si="4"/>
        <v>232.5</v>
      </c>
      <c r="AI38" s="9"/>
    </row>
    <row r="39" customFormat="1" ht="15" spans="1:35">
      <c r="A39" s="91">
        <v>6</v>
      </c>
      <c r="B39" s="95" t="s">
        <v>40</v>
      </c>
      <c r="C39" s="86"/>
      <c r="D39" s="86"/>
      <c r="E39" s="86"/>
      <c r="F39" s="86"/>
      <c r="G39" s="9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7">
        <f t="shared" si="4"/>
        <v>0</v>
      </c>
      <c r="AI39" s="9"/>
    </row>
    <row r="40" customFormat="1" ht="15" spans="1:35">
      <c r="A40" s="91">
        <v>7</v>
      </c>
      <c r="B40" s="96" t="s">
        <v>41</v>
      </c>
      <c r="C40" s="97">
        <v>180</v>
      </c>
      <c r="D40" s="97">
        <v>100</v>
      </c>
      <c r="E40" s="97">
        <v>200</v>
      </c>
      <c r="F40" s="97">
        <v>180</v>
      </c>
      <c r="G40" s="97">
        <v>160</v>
      </c>
      <c r="H40" s="97">
        <v>240</v>
      </c>
      <c r="I40" s="97">
        <v>140</v>
      </c>
      <c r="J40" s="97">
        <v>160</v>
      </c>
      <c r="K40" s="97">
        <v>160</v>
      </c>
      <c r="L40" s="97">
        <v>180</v>
      </c>
      <c r="M40" s="97">
        <v>200</v>
      </c>
      <c r="N40" s="97">
        <v>210</v>
      </c>
      <c r="O40" s="97">
        <v>180</v>
      </c>
      <c r="P40" s="97">
        <v>260</v>
      </c>
      <c r="Q40" s="97">
        <v>180</v>
      </c>
      <c r="R40" s="97">
        <v>260</v>
      </c>
      <c r="S40" s="97">
        <v>180</v>
      </c>
      <c r="T40" s="97">
        <v>240</v>
      </c>
      <c r="U40" s="97">
        <v>220</v>
      </c>
      <c r="V40" s="97">
        <v>240</v>
      </c>
      <c r="W40" s="97">
        <v>220</v>
      </c>
      <c r="X40" s="97">
        <v>200</v>
      </c>
      <c r="Y40" s="97">
        <v>220</v>
      </c>
      <c r="Z40" s="97">
        <v>200</v>
      </c>
      <c r="AA40" s="97">
        <v>260</v>
      </c>
      <c r="AB40" s="97">
        <v>280</v>
      </c>
      <c r="AC40" s="97">
        <v>260</v>
      </c>
      <c r="AD40" s="97">
        <v>240</v>
      </c>
      <c r="AE40" s="97">
        <v>280</v>
      </c>
      <c r="AF40" s="97">
        <v>240</v>
      </c>
      <c r="AG40" s="97">
        <v>240</v>
      </c>
      <c r="AH40" s="98">
        <f t="shared" si="4"/>
        <v>6510</v>
      </c>
      <c r="AI40" s="9"/>
    </row>
    <row r="41" customFormat="1" ht="15" spans="1:35">
      <c r="A41" s="91">
        <v>8</v>
      </c>
      <c r="B41" s="99" t="s">
        <v>42</v>
      </c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7">
        <f t="shared" si="4"/>
        <v>0</v>
      </c>
      <c r="AI41" s="9"/>
    </row>
    <row r="42" customFormat="1" ht="15" spans="1:35">
      <c r="A42" s="91">
        <v>9</v>
      </c>
      <c r="B42" s="99" t="s">
        <v>43</v>
      </c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7">
        <f t="shared" si="4"/>
        <v>0</v>
      </c>
      <c r="AI42" s="9"/>
    </row>
    <row r="43" customFormat="1" ht="15" spans="1:35">
      <c r="A43" s="91">
        <v>10</v>
      </c>
      <c r="B43" s="100" t="s">
        <v>44</v>
      </c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7">
        <f t="shared" si="4"/>
        <v>0</v>
      </c>
      <c r="AI43" s="9"/>
    </row>
    <row r="44" customFormat="1" ht="15" spans="1:35">
      <c r="A44" s="91">
        <v>11</v>
      </c>
      <c r="B44" s="95" t="s">
        <v>45</v>
      </c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7">
        <f t="shared" si="4"/>
        <v>0</v>
      </c>
      <c r="AI44" s="9"/>
    </row>
    <row r="45" customFormat="1" ht="13.5" hidden="1" customHeight="1" spans="1:35">
      <c r="A45" s="91">
        <v>13</v>
      </c>
      <c r="B45" s="95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7"/>
      <c r="AI45" s="9"/>
    </row>
    <row r="46" customFormat="1" ht="15" hidden="1" spans="1:35">
      <c r="A46" s="91">
        <v>14</v>
      </c>
      <c r="B46" s="10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7"/>
      <c r="AI46" s="9"/>
    </row>
    <row r="47" s="7" customFormat="1" ht="15.6" spans="1:35">
      <c r="A47" s="102" t="s">
        <v>46</v>
      </c>
      <c r="B47" s="102"/>
      <c r="C47" s="42">
        <f t="shared" ref="C47:AH47" si="5">SUM(C34:C46)</f>
        <v>13888.5535483871</v>
      </c>
      <c r="D47" s="42">
        <f t="shared" si="5"/>
        <v>13808.5535483871</v>
      </c>
      <c r="E47" s="42">
        <f t="shared" si="5"/>
        <v>13908.5535483871</v>
      </c>
      <c r="F47" s="42">
        <f t="shared" si="5"/>
        <v>13888.5535483871</v>
      </c>
      <c r="G47" s="42">
        <f t="shared" si="5"/>
        <v>13868.5535483871</v>
      </c>
      <c r="H47" s="42">
        <f t="shared" si="5"/>
        <v>13948.5535483871</v>
      </c>
      <c r="I47" s="42">
        <f t="shared" si="5"/>
        <v>13848.5535483871</v>
      </c>
      <c r="J47" s="42">
        <f t="shared" si="5"/>
        <v>13868.5535483871</v>
      </c>
      <c r="K47" s="42">
        <f t="shared" si="5"/>
        <v>13868.5535483871</v>
      </c>
      <c r="L47" s="42">
        <f t="shared" si="5"/>
        <v>13888.5535483871</v>
      </c>
      <c r="M47" s="42">
        <f t="shared" si="5"/>
        <v>13908.5535483871</v>
      </c>
      <c r="N47" s="42">
        <f t="shared" si="5"/>
        <v>13918.5535483871</v>
      </c>
      <c r="O47" s="42">
        <f t="shared" si="5"/>
        <v>13888.5535483871</v>
      </c>
      <c r="P47" s="42">
        <f t="shared" si="5"/>
        <v>13968.5535483871</v>
      </c>
      <c r="Q47" s="42">
        <f t="shared" si="5"/>
        <v>13888.5535483871</v>
      </c>
      <c r="R47" s="42">
        <f t="shared" si="5"/>
        <v>13968.5535483871</v>
      </c>
      <c r="S47" s="42">
        <f t="shared" si="5"/>
        <v>13888.5535483871</v>
      </c>
      <c r="T47" s="42">
        <f t="shared" si="5"/>
        <v>13948.5535483871</v>
      </c>
      <c r="U47" s="42">
        <f t="shared" si="5"/>
        <v>13928.5535483871</v>
      </c>
      <c r="V47" s="42">
        <f t="shared" si="5"/>
        <v>13948.5535483871</v>
      </c>
      <c r="W47" s="42">
        <f t="shared" si="5"/>
        <v>13928.5535483871</v>
      </c>
      <c r="X47" s="42">
        <f t="shared" si="5"/>
        <v>13908.5535483871</v>
      </c>
      <c r="Y47" s="42">
        <f t="shared" si="5"/>
        <v>13928.5535483871</v>
      </c>
      <c r="Z47" s="42">
        <f t="shared" si="5"/>
        <v>13908.5535483871</v>
      </c>
      <c r="AA47" s="42">
        <f t="shared" si="5"/>
        <v>13968.5535483871</v>
      </c>
      <c r="AB47" s="42">
        <f t="shared" si="5"/>
        <v>13988.5535483871</v>
      </c>
      <c r="AC47" s="42">
        <f t="shared" si="5"/>
        <v>13968.5535483871</v>
      </c>
      <c r="AD47" s="42">
        <f t="shared" si="5"/>
        <v>13948.5535483871</v>
      </c>
      <c r="AE47" s="42">
        <f t="shared" si="5"/>
        <v>13988.5535483871</v>
      </c>
      <c r="AF47" s="42">
        <f t="shared" si="5"/>
        <v>13948.5535483871</v>
      </c>
      <c r="AG47" s="42">
        <f t="shared" si="5"/>
        <v>13948.5535483871</v>
      </c>
      <c r="AH47" s="42">
        <f t="shared" si="5"/>
        <v>431475.16</v>
      </c>
    </row>
    <row r="48" s="7" customFormat="1" ht="15.6" spans="1:35">
      <c r="A48" s="102" t="s">
        <v>47</v>
      </c>
      <c r="B48" s="102"/>
      <c r="C48" s="27">
        <f>ROUND(C33-C47,2)</f>
        <v>5917.19</v>
      </c>
      <c r="D48" s="27">
        <f t="shared" ref="D48:AG48" si="6">D33-D47</f>
        <v>6024.8764516129</v>
      </c>
      <c r="E48" s="27">
        <f t="shared" si="6"/>
        <v>11603.9064516129</v>
      </c>
      <c r="F48" s="27">
        <f t="shared" si="6"/>
        <v>13860.9464516129</v>
      </c>
      <c r="G48" s="27">
        <f t="shared" si="6"/>
        <v>13458.0064516129</v>
      </c>
      <c r="H48" s="27">
        <f t="shared" si="6"/>
        <v>6370.3164516129</v>
      </c>
      <c r="I48" s="27">
        <f t="shared" si="6"/>
        <v>4962.7264516129</v>
      </c>
      <c r="J48" s="27">
        <f t="shared" si="6"/>
        <v>193.0864516129</v>
      </c>
      <c r="K48" s="27">
        <f t="shared" si="6"/>
        <v>4170.5264516129</v>
      </c>
      <c r="L48" s="27">
        <f t="shared" si="6"/>
        <v>10827.5664516129</v>
      </c>
      <c r="M48" s="27">
        <f t="shared" si="6"/>
        <v>15282.8564516129</v>
      </c>
      <c r="N48" s="27">
        <f t="shared" si="6"/>
        <v>10400.1764516129</v>
      </c>
      <c r="O48" s="27">
        <f t="shared" si="6"/>
        <v>5451.3864516129</v>
      </c>
      <c r="P48" s="27">
        <f t="shared" si="6"/>
        <v>7854.0764516129</v>
      </c>
      <c r="Q48" s="27">
        <f t="shared" si="6"/>
        <v>8207.5164516129</v>
      </c>
      <c r="R48" s="27">
        <f t="shared" si="6"/>
        <v>14369.3664516129</v>
      </c>
      <c r="S48" s="27">
        <f t="shared" si="6"/>
        <v>7190.6464516129</v>
      </c>
      <c r="T48" s="27">
        <f t="shared" si="6"/>
        <v>10724.1964516129</v>
      </c>
      <c r="U48" s="27">
        <f t="shared" si="6"/>
        <v>10926.5364516129</v>
      </c>
      <c r="V48" s="27">
        <f t="shared" si="6"/>
        <v>11092.3464516129</v>
      </c>
      <c r="W48" s="27">
        <f t="shared" si="6"/>
        <v>2976.5364516129</v>
      </c>
      <c r="X48" s="27">
        <f t="shared" si="6"/>
        <v>3350.9564516129</v>
      </c>
      <c r="Y48" s="27">
        <f t="shared" si="6"/>
        <v>8126.0864516129</v>
      </c>
      <c r="Z48" s="27">
        <f t="shared" si="6"/>
        <v>2807.5564516129</v>
      </c>
      <c r="AA48" s="27">
        <f t="shared" si="6"/>
        <v>16607.8464516129</v>
      </c>
      <c r="AB48" s="27">
        <f t="shared" si="6"/>
        <v>10960.3664516129</v>
      </c>
      <c r="AC48" s="27">
        <f t="shared" si="6"/>
        <v>1123.6464516129</v>
      </c>
      <c r="AD48" s="27">
        <f t="shared" si="6"/>
        <v>1315.5664516129</v>
      </c>
      <c r="AE48" s="27">
        <f t="shared" si="6"/>
        <v>6022.1964516129</v>
      </c>
      <c r="AF48" s="27">
        <f t="shared" si="6"/>
        <v>2718.3364516129</v>
      </c>
      <c r="AG48" s="27">
        <f t="shared" si="6"/>
        <v>8634.9064516129</v>
      </c>
      <c r="AH48" s="27">
        <f>ROUND(AH33-AH47,2)</f>
        <v>243532.33</v>
      </c>
    </row>
    <row r="49" s="9" customFormat="1" ht="252" customHeight="1" spans="1:35">
      <c r="A49" s="103" t="s">
        <v>48</v>
      </c>
      <c r="B49" s="103"/>
      <c r="C49" s="51" t="s">
        <v>133</v>
      </c>
      <c r="D49" s="51" t="s">
        <v>133</v>
      </c>
      <c r="E49" s="48"/>
      <c r="F49" s="48" t="s">
        <v>134</v>
      </c>
      <c r="G49" s="48"/>
      <c r="H49" s="48" t="s">
        <v>135</v>
      </c>
      <c r="I49" s="48" t="s">
        <v>136</v>
      </c>
      <c r="J49" s="48" t="s">
        <v>137</v>
      </c>
      <c r="K49" s="48" t="s">
        <v>128</v>
      </c>
      <c r="L49" s="48" t="s">
        <v>138</v>
      </c>
      <c r="M49" s="48"/>
      <c r="N49" s="48"/>
      <c r="O49" s="51" t="s">
        <v>139</v>
      </c>
      <c r="P49" s="51"/>
      <c r="Q49" s="51"/>
      <c r="R49" s="51"/>
      <c r="S49" s="51" t="s">
        <v>140</v>
      </c>
      <c r="T49" s="51" t="s">
        <v>141</v>
      </c>
      <c r="U49" s="51"/>
      <c r="V49" s="48"/>
      <c r="W49" s="48" t="s">
        <v>142</v>
      </c>
      <c r="X49" s="51" t="s">
        <v>143</v>
      </c>
      <c r="Y49" s="51" t="s">
        <v>143</v>
      </c>
      <c r="Z49" s="51" t="s">
        <v>143</v>
      </c>
      <c r="AA49" s="51"/>
      <c r="AB49" s="51"/>
      <c r="AC49" s="51" t="s">
        <v>143</v>
      </c>
      <c r="AD49" s="51" t="s">
        <v>144</v>
      </c>
      <c r="AE49" s="51" t="s">
        <v>143</v>
      </c>
      <c r="AF49" s="51" t="s">
        <v>143</v>
      </c>
      <c r="AG49" s="51" t="s">
        <v>143</v>
      </c>
      <c r="AH49" s="53"/>
    </row>
    <row r="50" customFormat="1" ht="15.6" spans="1:35">
      <c r="A50" s="104" t="s">
        <v>58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9"/>
    </row>
    <row r="51" customFormat="1" ht="18" customHeight="1" spans="1:35">
      <c r="A51" s="9"/>
      <c r="B51" s="9"/>
      <c r="C51" s="106"/>
      <c r="D51" s="106"/>
      <c r="E51" s="106"/>
      <c r="F51" s="106"/>
      <c r="G51" s="106"/>
      <c r="H51" s="107"/>
      <c r="I51" s="108"/>
      <c r="J51" s="108"/>
      <c r="K51" s="108"/>
      <c r="L51" s="108"/>
      <c r="M51" s="10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 customFormat="1" ht="18" customHeight="1" spans="1:35">
      <c r="A52" s="9"/>
      <c r="B52" s="9"/>
      <c r="Y52" s="109" t="s">
        <v>59</v>
      </c>
      <c r="Z52" s="109"/>
      <c r="AA52" s="109"/>
      <c r="AB52" s="109"/>
      <c r="AC52" s="109"/>
      <c r="AG52" s="9"/>
      <c r="AH52" s="9"/>
      <c r="AI52" s="9"/>
    </row>
    <row r="53" customFormat="1" ht="18" customHeight="1" spans="1:35">
      <c r="A53" s="9"/>
      <c r="B53" s="9"/>
      <c r="Y53" s="109" t="s">
        <v>60</v>
      </c>
      <c r="Z53" s="109"/>
      <c r="AA53" s="109" t="s">
        <v>61</v>
      </c>
      <c r="AB53" s="109"/>
      <c r="AC53" s="109"/>
      <c r="AG53" s="9"/>
      <c r="AH53" s="9"/>
      <c r="AI53" s="9"/>
    </row>
    <row r="54" customFormat="1" ht="18" customHeight="1" spans="1:35">
      <c r="A54" s="9"/>
      <c r="B54" s="9"/>
      <c r="Y54" s="109" t="s">
        <v>62</v>
      </c>
      <c r="Z54" s="109"/>
      <c r="AA54" s="110">
        <v>46022</v>
      </c>
      <c r="AB54" s="110"/>
      <c r="AC54" s="110"/>
      <c r="AG54" s="9"/>
      <c r="AH54" s="9"/>
      <c r="AI54" s="9"/>
    </row>
    <row r="55" customFormat="1" ht="18" customHeight="1" spans="1:35">
      <c r="A55" s="9"/>
      <c r="B55" s="9"/>
      <c r="Y55" s="109" t="s">
        <v>63</v>
      </c>
      <c r="Z55" s="109"/>
      <c r="AA55" s="109">
        <v>20</v>
      </c>
      <c r="AB55" s="109"/>
      <c r="AC55" s="109"/>
      <c r="AG55" s="9"/>
      <c r="AH55" s="9"/>
      <c r="AI55" s="9"/>
    </row>
    <row r="56" customFormat="1" ht="18" customHeight="1" spans="1:35">
      <c r="A56" s="9"/>
      <c r="B56" s="9"/>
      <c r="Y56" s="109" t="s">
        <v>64</v>
      </c>
      <c r="Z56" s="109"/>
      <c r="AA56" s="109">
        <v>288</v>
      </c>
      <c r="AB56" s="109"/>
      <c r="AC56" s="109"/>
      <c r="AG56" s="9"/>
      <c r="AH56" s="9"/>
      <c r="AI56" s="9"/>
    </row>
    <row r="57" customFormat="1" ht="18" customHeight="1" spans="1:35">
      <c r="A57" s="105"/>
      <c r="B57" s="105"/>
      <c r="Y57" s="109" t="s">
        <v>65</v>
      </c>
      <c r="Z57" s="109"/>
      <c r="AA57" s="109">
        <v>81</v>
      </c>
      <c r="AB57" s="109"/>
      <c r="AC57" s="109"/>
      <c r="AG57" s="105"/>
      <c r="AH57" s="105"/>
      <c r="AI57" s="9"/>
    </row>
    <row r="58" customFormat="1" ht="18" customHeight="1" spans="1:35">
      <c r="A58" s="9"/>
      <c r="B58" s="9"/>
      <c r="Y58" s="111" t="s">
        <v>20</v>
      </c>
      <c r="Z58" s="111"/>
      <c r="AA58" s="111">
        <v>389</v>
      </c>
      <c r="AB58" s="111"/>
      <c r="AC58" s="111"/>
      <c r="AG58" s="9"/>
      <c r="AH58" s="9"/>
      <c r="AI58" s="9"/>
    </row>
    <row r="59" customFormat="1" ht="18" customHeight="1" spans="1:35">
      <c r="A59" s="9"/>
      <c r="B59" s="9"/>
      <c r="Y59" s="109" t="s">
        <v>5</v>
      </c>
      <c r="Z59" s="109"/>
      <c r="AA59" s="109">
        <v>941382</v>
      </c>
      <c r="AB59" s="109"/>
      <c r="AC59" s="109"/>
      <c r="AG59" s="9"/>
      <c r="AH59" s="9"/>
      <c r="AI59" s="9"/>
    </row>
    <row r="60" customFormat="1" ht="18" customHeight="1" spans="1:35">
      <c r="A60" s="9"/>
      <c r="B60" s="9"/>
      <c r="Y60" s="109" t="s">
        <v>21</v>
      </c>
      <c r="Z60" s="109"/>
      <c r="AA60" s="109">
        <v>4088.5</v>
      </c>
      <c r="AB60" s="109"/>
      <c r="AC60" s="109"/>
      <c r="AG60" s="9"/>
      <c r="AH60" s="9"/>
      <c r="AI60" s="9"/>
    </row>
    <row r="61" customFormat="1" spans="1:35">
      <c r="A61" s="9"/>
      <c r="B61" s="9"/>
      <c r="Y61" s="109" t="s">
        <v>23</v>
      </c>
      <c r="Z61" s="109"/>
      <c r="AA61" s="112">
        <v>230.251192368839</v>
      </c>
      <c r="AB61" s="112"/>
      <c r="AC61" s="112"/>
      <c r="AG61" s="9"/>
      <c r="AH61" s="9"/>
      <c r="AI61" s="9"/>
    </row>
    <row r="62" customFormat="1" spans="1:35">
      <c r="A62" s="9"/>
      <c r="B62" s="9"/>
      <c r="C62" s="113"/>
      <c r="AF62" s="9"/>
      <c r="AG62" s="9"/>
      <c r="AH62" s="9"/>
      <c r="AI62" s="9"/>
    </row>
  </sheetData>
  <mergeCells count="32">
    <mergeCell ref="A3:B3"/>
    <mergeCell ref="A11:B11"/>
    <mergeCell ref="A17:B17"/>
    <mergeCell ref="A18:B18"/>
    <mergeCell ref="A19:B19"/>
    <mergeCell ref="A20:B20"/>
    <mergeCell ref="A31:B31"/>
    <mergeCell ref="A32:B32"/>
    <mergeCell ref="A33:B33"/>
    <mergeCell ref="A47:B47"/>
    <mergeCell ref="A48:B48"/>
    <mergeCell ref="A49:B49"/>
    <mergeCell ref="C51:G51"/>
    <mergeCell ref="Y52:AC52"/>
    <mergeCell ref="Y53:Z53"/>
    <mergeCell ref="AA53:AC53"/>
    <mergeCell ref="Y54:Z54"/>
    <mergeCell ref="AA54:AC54"/>
    <mergeCell ref="Y55:Z55"/>
    <mergeCell ref="AA55:AC55"/>
    <mergeCell ref="Y56:Z56"/>
    <mergeCell ref="AA56:AC56"/>
    <mergeCell ref="Y57:Z57"/>
    <mergeCell ref="AA57:AC57"/>
    <mergeCell ref="Y58:Z58"/>
    <mergeCell ref="AA58:AC58"/>
    <mergeCell ref="Y59:Z59"/>
    <mergeCell ref="AA59:AC59"/>
    <mergeCell ref="Y60:Z60"/>
    <mergeCell ref="AA60:AC60"/>
    <mergeCell ref="Y61:Z61"/>
    <mergeCell ref="AA61:AC61"/>
  </mergeCell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A1" sqref="$A1:$XFD1048576"/>
    </sheetView>
  </sheetViews>
  <sheetFormatPr defaultColWidth="19.3703703703704" defaultRowHeight="14.4"/>
  <cols>
    <col min="1" max="1" width="9.62962962962963" style="62" customWidth="1"/>
    <col min="2" max="9" width="19.3703703703704" style="62" customWidth="1"/>
    <col min="10" max="10" width="12.3703703703704" style="62" customWidth="1"/>
    <col min="11" max="16384" width="19.3703703703704" style="62" customWidth="1"/>
  </cols>
  <sheetData>
    <row r="1" s="62" customFormat="1" ht="32.4" spans="1:10">
      <c r="A1" s="63" t="s">
        <v>66</v>
      </c>
      <c r="B1" s="64" t="s">
        <v>67</v>
      </c>
      <c r="C1" s="64" t="s">
        <v>68</v>
      </c>
      <c r="D1" s="64" t="s">
        <v>69</v>
      </c>
      <c r="E1" s="65" t="s">
        <v>70</v>
      </c>
      <c r="F1" s="66" t="s">
        <v>71</v>
      </c>
    </row>
    <row r="2" s="62" customFormat="1" ht="15.6" spans="1:10">
      <c r="A2" s="67">
        <v>45992</v>
      </c>
      <c r="B2" s="68">
        <v>381060</v>
      </c>
      <c r="C2" s="68">
        <v>553654</v>
      </c>
      <c r="D2" s="68">
        <v>32908</v>
      </c>
      <c r="E2" s="69">
        <v>61404</v>
      </c>
      <c r="F2" s="68">
        <f t="shared" ref="F2:F32" si="0">SUM(B2:D2)-E2</f>
        <v>906218</v>
      </c>
    </row>
    <row r="3" s="62" customFormat="1" ht="15.6" spans="1:10">
      <c r="A3" s="67">
        <f t="shared" ref="A3:A32" si="1">A2+1</f>
        <v>45993</v>
      </c>
      <c r="B3" s="68">
        <v>386741</v>
      </c>
      <c r="C3" s="68">
        <v>547727</v>
      </c>
      <c r="D3" s="68">
        <v>34409</v>
      </c>
      <c r="E3" s="69">
        <v>50575</v>
      </c>
      <c r="F3" s="68">
        <f t="shared" si="0"/>
        <v>918302</v>
      </c>
    </row>
    <row r="4" s="62" customFormat="1" ht="15.6" spans="1:10">
      <c r="A4" s="67">
        <f t="shared" si="1"/>
        <v>45994</v>
      </c>
      <c r="B4" s="68">
        <v>410480</v>
      </c>
      <c r="C4" s="68">
        <v>586194</v>
      </c>
      <c r="D4" s="68">
        <v>37111</v>
      </c>
      <c r="E4" s="69">
        <v>58310</v>
      </c>
      <c r="F4" s="68">
        <f t="shared" si="0"/>
        <v>975475</v>
      </c>
    </row>
    <row r="5" s="62" customFormat="1" ht="15.6" spans="1:10">
      <c r="A5" s="67">
        <f t="shared" si="1"/>
        <v>45995</v>
      </c>
      <c r="B5" s="68">
        <v>429043</v>
      </c>
      <c r="C5" s="68">
        <v>594720</v>
      </c>
      <c r="D5" s="68">
        <v>38093</v>
      </c>
      <c r="E5" s="69">
        <v>58667</v>
      </c>
      <c r="F5" s="68">
        <f t="shared" si="0"/>
        <v>1003189</v>
      </c>
    </row>
    <row r="6" s="62" customFormat="1" ht="15.6" spans="1:10">
      <c r="A6" s="67">
        <f t="shared" si="1"/>
        <v>45996</v>
      </c>
      <c r="B6" s="68">
        <v>415044</v>
      </c>
      <c r="C6" s="68">
        <v>620822</v>
      </c>
      <c r="D6" s="68">
        <v>42720</v>
      </c>
      <c r="E6" s="69">
        <v>76636</v>
      </c>
      <c r="F6" s="68">
        <f t="shared" si="0"/>
        <v>1001950</v>
      </c>
    </row>
    <row r="7" s="62" customFormat="1" ht="15.6" spans="1:10">
      <c r="A7" s="67">
        <f t="shared" si="1"/>
        <v>45997</v>
      </c>
      <c r="B7" s="68">
        <v>392108</v>
      </c>
      <c r="C7" s="68">
        <v>730638</v>
      </c>
      <c r="D7" s="68">
        <v>37997</v>
      </c>
      <c r="E7" s="69">
        <v>201348</v>
      </c>
      <c r="F7" s="68">
        <f t="shared" si="0"/>
        <v>959395</v>
      </c>
    </row>
    <row r="8" s="62" customFormat="1" ht="15.6" spans="1:10">
      <c r="A8" s="67">
        <f t="shared" si="1"/>
        <v>45998</v>
      </c>
      <c r="B8" s="68">
        <v>386877</v>
      </c>
      <c r="C8" s="68">
        <v>666009</v>
      </c>
      <c r="D8" s="68">
        <v>29905</v>
      </c>
      <c r="E8" s="69">
        <v>142800</v>
      </c>
      <c r="F8" s="68">
        <f t="shared" si="0"/>
        <v>939991</v>
      </c>
    </row>
    <row r="9" s="62" customFormat="1" ht="15.6" spans="1:10">
      <c r="A9" s="67">
        <f t="shared" si="1"/>
        <v>45999</v>
      </c>
      <c r="B9" s="68">
        <v>377486</v>
      </c>
      <c r="C9" s="68">
        <v>539229</v>
      </c>
      <c r="D9" s="68">
        <v>33688</v>
      </c>
      <c r="E9" s="69">
        <v>61642</v>
      </c>
      <c r="F9" s="68">
        <f t="shared" si="0"/>
        <v>888761</v>
      </c>
      <c r="I9" s="57"/>
      <c r="J9" s="57"/>
    </row>
    <row r="10" s="62" customFormat="1" ht="15.6" spans="1:10">
      <c r="A10" s="67">
        <f t="shared" si="1"/>
        <v>46000</v>
      </c>
      <c r="B10" s="68">
        <v>375948</v>
      </c>
      <c r="C10" s="68">
        <v>537566</v>
      </c>
      <c r="D10" s="68">
        <v>36206</v>
      </c>
      <c r="E10" s="69">
        <v>35244</v>
      </c>
      <c r="F10" s="68">
        <f t="shared" si="0"/>
        <v>914476</v>
      </c>
      <c r="I10" s="57"/>
      <c r="J10" s="57"/>
    </row>
    <row r="11" s="62" customFormat="1" ht="15.6" spans="1:10">
      <c r="A11" s="67">
        <f t="shared" si="1"/>
        <v>46001</v>
      </c>
      <c r="B11" s="68">
        <v>412152</v>
      </c>
      <c r="C11" s="68">
        <v>573724</v>
      </c>
      <c r="D11" s="68">
        <v>38367</v>
      </c>
      <c r="E11" s="69">
        <v>41174</v>
      </c>
      <c r="F11" s="68">
        <f t="shared" si="0"/>
        <v>983069</v>
      </c>
      <c r="I11" s="57"/>
      <c r="J11" s="57"/>
    </row>
    <row r="12" s="62" customFormat="1" ht="15.6" spans="1:10">
      <c r="A12" s="67">
        <f t="shared" si="1"/>
        <v>46002</v>
      </c>
      <c r="B12" s="68">
        <v>433954</v>
      </c>
      <c r="C12" s="68">
        <v>618264</v>
      </c>
      <c r="D12" s="68">
        <v>37008</v>
      </c>
      <c r="E12" s="69">
        <v>61523</v>
      </c>
      <c r="F12" s="68">
        <f t="shared" si="0"/>
        <v>1027703</v>
      </c>
      <c r="I12" s="57"/>
      <c r="J12" s="57"/>
    </row>
    <row r="13" s="62" customFormat="1" ht="15.6" spans="1:10">
      <c r="A13" s="67">
        <f t="shared" si="1"/>
        <v>46003</v>
      </c>
      <c r="B13" s="68">
        <v>408055</v>
      </c>
      <c r="C13" s="68">
        <v>612576</v>
      </c>
      <c r="D13" s="68">
        <v>39123</v>
      </c>
      <c r="E13" s="69">
        <v>83419</v>
      </c>
      <c r="F13" s="68">
        <f t="shared" si="0"/>
        <v>976335</v>
      </c>
      <c r="I13" s="57"/>
      <c r="J13" s="57"/>
    </row>
    <row r="14" s="62" customFormat="1" ht="15.6" spans="1:10">
      <c r="A14" s="67">
        <f t="shared" si="1"/>
        <v>46004</v>
      </c>
      <c r="B14" s="68">
        <v>389690</v>
      </c>
      <c r="C14" s="68">
        <v>804845</v>
      </c>
      <c r="D14" s="68">
        <v>31961</v>
      </c>
      <c r="E14" s="69">
        <v>299999</v>
      </c>
      <c r="F14" s="68">
        <f t="shared" si="0"/>
        <v>926497</v>
      </c>
      <c r="I14" s="57"/>
      <c r="J14" s="57"/>
    </row>
    <row r="15" s="62" customFormat="1" ht="15.6" spans="1:10">
      <c r="A15" s="67">
        <f t="shared" si="1"/>
        <v>46005</v>
      </c>
      <c r="B15" s="68">
        <v>397017</v>
      </c>
      <c r="C15" s="68">
        <v>651846</v>
      </c>
      <c r="D15" s="68">
        <v>30023</v>
      </c>
      <c r="E15" s="69">
        <v>125545</v>
      </c>
      <c r="F15" s="68">
        <f t="shared" si="0"/>
        <v>953341</v>
      </c>
      <c r="I15" s="57"/>
      <c r="J15" s="57"/>
    </row>
    <row r="16" s="62" customFormat="1" ht="15.6" spans="1:10">
      <c r="A16" s="67">
        <f t="shared" si="1"/>
        <v>46006</v>
      </c>
      <c r="B16" s="68">
        <v>386850</v>
      </c>
      <c r="C16" s="68">
        <v>654586</v>
      </c>
      <c r="D16" s="68">
        <v>34028</v>
      </c>
      <c r="E16" s="69">
        <v>143157</v>
      </c>
      <c r="F16" s="68">
        <f t="shared" si="0"/>
        <v>932307</v>
      </c>
      <c r="I16" s="57"/>
      <c r="J16" s="57"/>
    </row>
    <row r="17" s="62" customFormat="1" ht="15.6" spans="1:10">
      <c r="A17" s="67">
        <f t="shared" si="1"/>
        <v>46007</v>
      </c>
      <c r="B17" s="68">
        <v>421383</v>
      </c>
      <c r="C17" s="68">
        <v>592733</v>
      </c>
      <c r="D17" s="68">
        <v>38044</v>
      </c>
      <c r="E17" s="69">
        <v>40341</v>
      </c>
      <c r="F17" s="68">
        <f t="shared" si="0"/>
        <v>1011819</v>
      </c>
      <c r="I17" s="57"/>
      <c r="J17" s="57"/>
    </row>
    <row r="18" s="62" customFormat="1" ht="15.6" spans="1:10">
      <c r="A18" s="67">
        <f t="shared" si="1"/>
        <v>46008</v>
      </c>
      <c r="B18" s="70">
        <v>401007</v>
      </c>
      <c r="C18" s="70">
        <v>617886</v>
      </c>
      <c r="D18" s="70">
        <v>36941</v>
      </c>
      <c r="E18" s="71">
        <v>90440</v>
      </c>
      <c r="F18" s="68">
        <f t="shared" si="0"/>
        <v>965394</v>
      </c>
      <c r="I18" s="57"/>
      <c r="J18" s="57"/>
    </row>
    <row r="19" s="62" customFormat="1" ht="15.6" spans="1:10">
      <c r="A19" s="67">
        <f t="shared" si="1"/>
        <v>46009</v>
      </c>
      <c r="B19" s="70">
        <v>392310</v>
      </c>
      <c r="C19" s="70">
        <v>619728</v>
      </c>
      <c r="D19" s="68">
        <v>37629</v>
      </c>
      <c r="E19" s="69">
        <v>67116</v>
      </c>
      <c r="F19" s="68">
        <f t="shared" si="0"/>
        <v>982551</v>
      </c>
    </row>
    <row r="20" s="62" customFormat="1" ht="15.6" spans="1:10">
      <c r="A20" s="67">
        <f t="shared" si="1"/>
        <v>46010</v>
      </c>
      <c r="B20" s="68">
        <v>405967</v>
      </c>
      <c r="C20" s="68">
        <v>603563</v>
      </c>
      <c r="D20" s="68">
        <v>38290</v>
      </c>
      <c r="E20" s="69">
        <v>79492</v>
      </c>
      <c r="F20" s="68">
        <f t="shared" si="0"/>
        <v>968328</v>
      </c>
      <c r="H20" s="72"/>
    </row>
    <row r="21" s="62" customFormat="1" ht="15.6" spans="1:10">
      <c r="A21" s="67">
        <f t="shared" si="1"/>
        <v>46011</v>
      </c>
      <c r="B21" s="68">
        <v>423942</v>
      </c>
      <c r="C21" s="68">
        <v>700852</v>
      </c>
      <c r="D21" s="68">
        <v>31881</v>
      </c>
      <c r="E21" s="69">
        <v>193613</v>
      </c>
      <c r="F21" s="68">
        <f t="shared" si="0"/>
        <v>963062</v>
      </c>
    </row>
    <row r="22" s="62" customFormat="1" ht="15.6" spans="1:10">
      <c r="A22" s="67">
        <f t="shared" si="1"/>
        <v>46012</v>
      </c>
      <c r="B22" s="68">
        <v>381360</v>
      </c>
      <c r="C22" s="68">
        <v>632767</v>
      </c>
      <c r="D22" s="68">
        <v>31162</v>
      </c>
      <c r="E22" s="69">
        <v>147917</v>
      </c>
      <c r="F22" s="68">
        <f t="shared" si="0"/>
        <v>897372</v>
      </c>
    </row>
    <row r="23" s="62" customFormat="1" ht="15.6" spans="1:10">
      <c r="A23" s="67">
        <f t="shared" si="1"/>
        <v>46013</v>
      </c>
      <c r="B23" s="68">
        <v>383791</v>
      </c>
      <c r="C23" s="68">
        <v>543966</v>
      </c>
      <c r="D23" s="68">
        <v>35983</v>
      </c>
      <c r="E23" s="69">
        <v>54859</v>
      </c>
      <c r="F23" s="68">
        <f t="shared" si="0"/>
        <v>908881</v>
      </c>
    </row>
    <row r="24" s="62" customFormat="1" ht="15.6" spans="1:10">
      <c r="A24" s="67">
        <f t="shared" si="1"/>
        <v>46014</v>
      </c>
      <c r="B24" s="68">
        <v>403813</v>
      </c>
      <c r="C24" s="68">
        <v>570333</v>
      </c>
      <c r="D24" s="68">
        <v>36640</v>
      </c>
      <c r="E24" s="69">
        <v>65688</v>
      </c>
      <c r="F24" s="68">
        <f t="shared" si="0"/>
        <v>945098</v>
      </c>
    </row>
    <row r="25" s="62" customFormat="1" ht="15.6" spans="1:10">
      <c r="A25" s="67">
        <f t="shared" si="1"/>
        <v>46015</v>
      </c>
      <c r="B25" s="68">
        <v>387474</v>
      </c>
      <c r="C25" s="68">
        <v>554158</v>
      </c>
      <c r="D25" s="68">
        <v>35518</v>
      </c>
      <c r="E25" s="69">
        <v>64022</v>
      </c>
      <c r="F25" s="68">
        <f t="shared" si="0"/>
        <v>913128</v>
      </c>
    </row>
    <row r="26" s="62" customFormat="1" ht="15.6" spans="1:10">
      <c r="A26" s="67">
        <f t="shared" si="1"/>
        <v>46016</v>
      </c>
      <c r="B26" s="68">
        <v>438812</v>
      </c>
      <c r="C26" s="68">
        <v>637684</v>
      </c>
      <c r="D26" s="68">
        <v>37642</v>
      </c>
      <c r="E26" s="69">
        <v>78064</v>
      </c>
      <c r="F26" s="68">
        <f t="shared" si="0"/>
        <v>1036074</v>
      </c>
    </row>
    <row r="27" s="62" customFormat="1" ht="15.6" spans="1:10">
      <c r="A27" s="67">
        <f t="shared" si="1"/>
        <v>46017</v>
      </c>
      <c r="B27" s="68">
        <v>401493</v>
      </c>
      <c r="C27" s="68">
        <v>573154</v>
      </c>
      <c r="D27" s="68">
        <v>37850</v>
      </c>
      <c r="E27" s="69">
        <v>48314</v>
      </c>
      <c r="F27" s="68">
        <f t="shared" si="0"/>
        <v>964183</v>
      </c>
    </row>
    <row r="28" s="62" customFormat="1" ht="15.6" spans="1:10">
      <c r="A28" s="67">
        <f t="shared" si="1"/>
        <v>46018</v>
      </c>
      <c r="B28" s="68">
        <v>382695</v>
      </c>
      <c r="C28" s="68">
        <v>786784</v>
      </c>
      <c r="D28" s="68">
        <v>29468</v>
      </c>
      <c r="E28" s="69">
        <v>304402</v>
      </c>
      <c r="F28" s="68">
        <f t="shared" si="0"/>
        <v>894545</v>
      </c>
    </row>
    <row r="29" s="62" customFormat="1" ht="15.6" spans="1:10">
      <c r="A29" s="67">
        <f t="shared" si="1"/>
        <v>46019</v>
      </c>
      <c r="B29" s="68">
        <v>383363</v>
      </c>
      <c r="C29" s="68">
        <v>612160</v>
      </c>
      <c r="D29" s="68">
        <v>28146</v>
      </c>
      <c r="E29" s="69">
        <v>123879</v>
      </c>
      <c r="F29" s="68">
        <f t="shared" si="0"/>
        <v>899790</v>
      </c>
    </row>
    <row r="30" s="62" customFormat="1" ht="15.6" spans="1:10">
      <c r="A30" s="67">
        <f t="shared" si="1"/>
        <v>46020</v>
      </c>
      <c r="B30" s="68">
        <v>393197</v>
      </c>
      <c r="C30" s="68">
        <v>623985</v>
      </c>
      <c r="D30" s="68">
        <v>34271</v>
      </c>
      <c r="E30" s="69">
        <v>131852</v>
      </c>
      <c r="F30" s="68">
        <f t="shared" si="0"/>
        <v>919601</v>
      </c>
    </row>
    <row r="31" s="62" customFormat="1" ht="15.6" spans="1:10">
      <c r="A31" s="67">
        <f t="shared" si="1"/>
        <v>46021</v>
      </c>
      <c r="B31" s="68">
        <v>380857</v>
      </c>
      <c r="C31" s="68">
        <v>522541</v>
      </c>
      <c r="D31" s="68">
        <v>34975</v>
      </c>
      <c r="E31" s="69">
        <v>29512</v>
      </c>
      <c r="F31" s="68">
        <f t="shared" si="0"/>
        <v>908861</v>
      </c>
    </row>
    <row r="32" s="62" customFormat="1" ht="15.6" spans="1:10">
      <c r="A32" s="67">
        <f t="shared" si="1"/>
        <v>46022</v>
      </c>
      <c r="B32" s="68">
        <v>393628</v>
      </c>
      <c r="C32" s="68">
        <v>563544</v>
      </c>
      <c r="D32" s="68">
        <v>37879</v>
      </c>
      <c r="E32" s="69">
        <v>53669</v>
      </c>
      <c r="F32" s="68">
        <f t="shared" si="0"/>
        <v>941382</v>
      </c>
    </row>
    <row r="33" s="62" customFormat="1" ht="15.6" spans="1:6">
      <c r="A33" s="68" t="s">
        <v>71</v>
      </c>
      <c r="B33" s="68">
        <f t="shared" ref="B33:F33" si="2">SUM(B2:B32)</f>
        <v>12357597</v>
      </c>
      <c r="C33" s="68">
        <f t="shared" si="2"/>
        <v>19048238</v>
      </c>
      <c r="D33" s="68">
        <f t="shared" si="2"/>
        <v>1095866</v>
      </c>
      <c r="E33" s="69">
        <f t="shared" si="2"/>
        <v>3074623</v>
      </c>
      <c r="F33" s="68">
        <f t="shared" si="2"/>
        <v>29427078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4"/>
  <sheetViews>
    <sheetView tabSelected="1" workbookViewId="0">
      <pane xSplit="2" ySplit="4" topLeftCell="H55" activePane="bottomRight" state="frozen"/>
      <selection/>
      <selection pane="topRight"/>
      <selection pane="bottomLeft"/>
      <selection pane="bottomRight" activeCell="O63" sqref="O63"/>
    </sheetView>
  </sheetViews>
  <sheetFormatPr defaultColWidth="9" defaultRowHeight="14.4"/>
  <cols>
    <col min="1" max="1" width="14.25" style="10" customWidth="1"/>
    <col min="2" max="2" width="18.75" style="10" customWidth="1"/>
    <col min="3" max="3" width="15.1111111111111" style="9" customWidth="1"/>
    <col min="4" max="4" width="12.1296296296296" style="9" customWidth="1"/>
    <col min="5" max="5" width="12.8888888888889" style="9" customWidth="1"/>
    <col min="6" max="6" width="12.2222222222222" style="9" customWidth="1"/>
    <col min="7" max="7" width="12.6666666666667" style="9" customWidth="1"/>
    <col min="8" max="8" width="13.2222222222222" style="9" customWidth="1"/>
    <col min="9" max="9" width="12.4444444444444" style="9" customWidth="1"/>
    <col min="10" max="10" width="12.3333333333333" style="9" customWidth="1"/>
    <col min="11" max="11" width="12.2222222222222" style="9" customWidth="1"/>
    <col min="12" max="12" width="11.5555555555556" style="9" customWidth="1"/>
    <col min="13" max="13" width="12.1111111111111" style="9" customWidth="1"/>
    <col min="14" max="14" width="12.5555555555556" style="9" customWidth="1"/>
    <col min="15" max="15" width="13.6666666666667" style="9" customWidth="1"/>
    <col min="16" max="16" width="13" style="9" customWidth="1"/>
    <col min="17" max="17" width="13.2222222222222" style="9" customWidth="1"/>
    <col min="18" max="18" width="13" style="9" customWidth="1"/>
    <col min="19" max="19" width="12.1111111111111" style="9" customWidth="1"/>
    <col min="20" max="20" width="12.5555555555556" style="9" customWidth="1"/>
    <col min="21" max="21" width="13.8888888888889" style="9" customWidth="1"/>
    <col min="22" max="22" width="12.5555555555556" style="9" customWidth="1"/>
    <col min="23" max="23" width="11.8888888888889" style="9" customWidth="1"/>
    <col min="24" max="24" width="12.5555555555556" style="9" customWidth="1"/>
    <col min="25" max="25" width="11.4444444444444" style="9" customWidth="1"/>
    <col min="26" max="27" width="12.3333333333333" style="9" customWidth="1"/>
    <col min="28" max="28" width="11.7777777777778" style="9" customWidth="1"/>
    <col min="29" max="32" width="12" style="9" customWidth="1"/>
    <col min="33" max="33" width="16.5555555555556" style="9" customWidth="1"/>
    <col min="34" max="34" width="12.8888888888889" style="9"/>
    <col min="35" max="35" width="12.6296296296296"/>
    <col min="37" max="38" width="12.6296296296296"/>
  </cols>
  <sheetData>
    <row r="1" s="6" customFormat="1" ht="17.4" spans="1:33">
      <c r="A1" s="11" t="s">
        <v>145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="6" customFormat="1" ht="17.4" spans="1:33">
      <c r="A2" s="11"/>
      <c r="B2" s="1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="7" customFormat="1" ht="15.6" spans="1:33">
      <c r="A3" s="14" t="s">
        <v>1</v>
      </c>
      <c r="B3" s="14"/>
      <c r="C3" s="15">
        <v>46113</v>
      </c>
      <c r="D3" s="15">
        <v>46114</v>
      </c>
      <c r="E3" s="15">
        <v>46115</v>
      </c>
      <c r="F3" s="15">
        <v>46116</v>
      </c>
      <c r="G3" s="15">
        <v>46117</v>
      </c>
      <c r="H3" s="15">
        <v>46118</v>
      </c>
      <c r="I3" s="15">
        <v>46119</v>
      </c>
      <c r="J3" s="15">
        <v>46120</v>
      </c>
      <c r="K3" s="15">
        <v>46121</v>
      </c>
      <c r="L3" s="15">
        <v>46122</v>
      </c>
      <c r="M3" s="15">
        <v>46123</v>
      </c>
      <c r="N3" s="15">
        <v>46124</v>
      </c>
      <c r="O3" s="15">
        <v>46125</v>
      </c>
      <c r="P3" s="15">
        <v>46126</v>
      </c>
      <c r="Q3" s="15">
        <v>46127</v>
      </c>
      <c r="R3" s="15">
        <v>46128</v>
      </c>
      <c r="S3" s="15">
        <v>46129</v>
      </c>
      <c r="T3" s="15">
        <v>46130</v>
      </c>
      <c r="U3" s="15">
        <v>46131</v>
      </c>
      <c r="V3" s="15">
        <v>46132</v>
      </c>
      <c r="W3" s="15">
        <v>46133</v>
      </c>
      <c r="X3" s="15">
        <v>46134</v>
      </c>
      <c r="Y3" s="15">
        <v>46135</v>
      </c>
      <c r="Z3" s="15">
        <v>46136</v>
      </c>
      <c r="AA3" s="15">
        <v>46137</v>
      </c>
      <c r="AB3" s="15">
        <v>46138</v>
      </c>
      <c r="AC3" s="15">
        <v>46139</v>
      </c>
      <c r="AD3" s="15">
        <v>46140</v>
      </c>
      <c r="AE3" s="15">
        <v>46141</v>
      </c>
      <c r="AF3" s="15">
        <v>46142</v>
      </c>
      <c r="AG3" s="16" t="s">
        <v>2</v>
      </c>
    </row>
    <row r="4" s="7" customFormat="1" ht="15.6" spans="1:33">
      <c r="A4" s="14"/>
      <c r="B4" s="14"/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  <c r="K4" s="17" t="s">
        <v>3</v>
      </c>
      <c r="L4" s="17" t="s">
        <v>3</v>
      </c>
      <c r="M4" s="17" t="s">
        <v>3</v>
      </c>
      <c r="N4" s="17" t="s">
        <v>3</v>
      </c>
      <c r="O4" s="17" t="s">
        <v>3</v>
      </c>
      <c r="P4" s="17" t="s">
        <v>3</v>
      </c>
      <c r="Q4" s="17" t="s">
        <v>3</v>
      </c>
      <c r="R4" s="17" t="s">
        <v>3</v>
      </c>
      <c r="S4" s="17" t="s">
        <v>3</v>
      </c>
      <c r="T4" s="17" t="s">
        <v>3</v>
      </c>
      <c r="U4" s="17" t="s">
        <v>3</v>
      </c>
      <c r="V4" s="17" t="s">
        <v>3</v>
      </c>
      <c r="W4" s="17" t="s">
        <v>3</v>
      </c>
      <c r="X4" s="17" t="s">
        <v>3</v>
      </c>
      <c r="Y4" s="17" t="s">
        <v>3</v>
      </c>
      <c r="Z4" s="17" t="s">
        <v>3</v>
      </c>
      <c r="AA4" s="17" t="s">
        <v>3</v>
      </c>
      <c r="AB4" s="17" t="s">
        <v>3</v>
      </c>
      <c r="AC4" s="17" t="s">
        <v>3</v>
      </c>
      <c r="AD4" s="17" t="s">
        <v>3</v>
      </c>
      <c r="AE4" s="17" t="s">
        <v>3</v>
      </c>
      <c r="AF4" s="17" t="s">
        <v>3</v>
      </c>
      <c r="AG4" s="18" t="s">
        <v>3</v>
      </c>
    </row>
    <row r="5" s="6" customFormat="1" ht="18" customHeight="1" spans="1:33">
      <c r="A5" s="19" t="s">
        <v>4</v>
      </c>
      <c r="B5" s="19" t="s">
        <v>5</v>
      </c>
      <c r="C5" s="20">
        <f>'26年4月处理量'!D3</f>
        <v>190399</v>
      </c>
      <c r="D5" s="20">
        <f>'26年4月处理量'!D4</f>
        <v>166604</v>
      </c>
      <c r="E5" s="20">
        <f>'26年4月处理量'!D5</f>
        <v>171010</v>
      </c>
      <c r="F5" s="20">
        <f>'26年4月处理量'!D6</f>
        <v>175028</v>
      </c>
      <c r="G5" s="20">
        <f>'26年4月处理量'!D7</f>
        <v>160677</v>
      </c>
      <c r="H5" s="20">
        <f>'26年4月处理量'!D8</f>
        <v>162166</v>
      </c>
      <c r="I5" s="20">
        <f>'26年4月处理量'!D9</f>
        <v>171401</v>
      </c>
      <c r="J5" s="20">
        <f>'26年4月处理量'!D10</f>
        <v>149607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>
        <f t="shared" ref="AG5:AG14" si="0">SUM(C5:AF5)</f>
        <v>1346892</v>
      </c>
    </row>
    <row r="6" s="6" customFormat="1" ht="18" customHeight="1" spans="1:33">
      <c r="A6" s="19" t="s">
        <v>6</v>
      </c>
      <c r="B6" s="19" t="s">
        <v>146</v>
      </c>
      <c r="C6" s="20">
        <f>'26年4月处理量'!C3</f>
        <v>88239</v>
      </c>
      <c r="D6" s="20">
        <f>'26年4月处理量'!C4</f>
        <v>86437</v>
      </c>
      <c r="E6" s="20">
        <f>'26年4月处理量'!C5</f>
        <v>82874</v>
      </c>
      <c r="F6" s="20">
        <f>'26年4月处理量'!C6</f>
        <v>78969</v>
      </c>
      <c r="G6" s="20">
        <f>'26年4月处理量'!C7</f>
        <v>68918</v>
      </c>
      <c r="H6" s="20">
        <f>'26年4月处理量'!C8</f>
        <v>66287</v>
      </c>
      <c r="I6" s="20">
        <f>'26年4月处理量'!C9</f>
        <v>73270</v>
      </c>
      <c r="J6" s="20">
        <f>'26年4月处理量'!C10</f>
        <v>83645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1">
        <f t="shared" si="0"/>
        <v>628639</v>
      </c>
    </row>
    <row r="7" s="6" customFormat="1" ht="18" customHeight="1" spans="1:33">
      <c r="A7" s="19" t="s">
        <v>8</v>
      </c>
      <c r="B7" s="19" t="s">
        <v>7</v>
      </c>
      <c r="C7" s="22">
        <f t="shared" ref="C7:J7" si="1">0.0722*0.95</f>
        <v>0.06859</v>
      </c>
      <c r="D7" s="22">
        <f t="shared" si="1"/>
        <v>0.06859</v>
      </c>
      <c r="E7" s="22">
        <f t="shared" si="1"/>
        <v>0.06859</v>
      </c>
      <c r="F7" s="22">
        <f t="shared" si="1"/>
        <v>0.06859</v>
      </c>
      <c r="G7" s="22">
        <f t="shared" si="1"/>
        <v>0.06859</v>
      </c>
      <c r="H7" s="22">
        <f t="shared" si="1"/>
        <v>0.06859</v>
      </c>
      <c r="I7" s="22">
        <f t="shared" si="1"/>
        <v>0.06859</v>
      </c>
      <c r="J7" s="22">
        <f t="shared" si="1"/>
        <v>0.06859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3">
        <f t="shared" si="0"/>
        <v>0.54872</v>
      </c>
    </row>
    <row r="8" s="6" customFormat="1" ht="18" customHeight="1" spans="1:33">
      <c r="A8" s="19" t="s">
        <v>10</v>
      </c>
      <c r="B8" s="19" t="s">
        <v>147</v>
      </c>
      <c r="C8" s="22">
        <f t="shared" ref="C8:J8" si="2">0.2911*0.95</f>
        <v>0.276545</v>
      </c>
      <c r="D8" s="22">
        <f t="shared" si="2"/>
        <v>0.276545</v>
      </c>
      <c r="E8" s="22">
        <f t="shared" si="2"/>
        <v>0.276545</v>
      </c>
      <c r="F8" s="22">
        <f t="shared" si="2"/>
        <v>0.276545</v>
      </c>
      <c r="G8" s="22">
        <f t="shared" si="2"/>
        <v>0.276545</v>
      </c>
      <c r="H8" s="22">
        <f t="shared" si="2"/>
        <v>0.276545</v>
      </c>
      <c r="I8" s="22">
        <f t="shared" si="2"/>
        <v>0.276545</v>
      </c>
      <c r="J8" s="22">
        <f t="shared" si="2"/>
        <v>0.276545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3">
        <f t="shared" si="0"/>
        <v>2.21236</v>
      </c>
    </row>
    <row r="9" s="6" customFormat="1" ht="18" customHeight="1" spans="1:33">
      <c r="A9" s="19" t="s">
        <v>12</v>
      </c>
      <c r="B9" s="19" t="s">
        <v>9</v>
      </c>
      <c r="C9" s="24">
        <f t="shared" ref="C9:J9" si="3">ROUND(C5*C7,2)</f>
        <v>13059.47</v>
      </c>
      <c r="D9" s="24">
        <f t="shared" si="3"/>
        <v>11427.37</v>
      </c>
      <c r="E9" s="24">
        <f t="shared" si="3"/>
        <v>11729.58</v>
      </c>
      <c r="F9" s="24">
        <f t="shared" si="3"/>
        <v>12005.17</v>
      </c>
      <c r="G9" s="24">
        <f t="shared" si="3"/>
        <v>11020.84</v>
      </c>
      <c r="H9" s="24">
        <f t="shared" si="3"/>
        <v>11122.97</v>
      </c>
      <c r="I9" s="24">
        <f t="shared" si="3"/>
        <v>11756.39</v>
      </c>
      <c r="J9" s="24">
        <f t="shared" si="3"/>
        <v>10261.54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5">
        <f t="shared" si="0"/>
        <v>92383.33</v>
      </c>
    </row>
    <row r="10" s="6" customFormat="1" ht="18" customHeight="1" spans="1:33">
      <c r="A10" s="19" t="s">
        <v>14</v>
      </c>
      <c r="B10" s="19" t="s">
        <v>148</v>
      </c>
      <c r="C10" s="24">
        <f t="shared" ref="C10:J10" si="4">C6*C8</f>
        <v>24402.054255</v>
      </c>
      <c r="D10" s="24">
        <f t="shared" si="4"/>
        <v>23903.720165</v>
      </c>
      <c r="E10" s="24">
        <f t="shared" si="4"/>
        <v>22918.39033</v>
      </c>
      <c r="F10" s="24">
        <f t="shared" si="4"/>
        <v>21838.482105</v>
      </c>
      <c r="G10" s="24">
        <f t="shared" si="4"/>
        <v>19058.92831</v>
      </c>
      <c r="H10" s="24">
        <f t="shared" si="4"/>
        <v>18331.338415</v>
      </c>
      <c r="I10" s="24">
        <f t="shared" si="4"/>
        <v>20262.45215</v>
      </c>
      <c r="J10" s="24">
        <f t="shared" si="4"/>
        <v>23131.606525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5">
        <f t="shared" si="0"/>
        <v>173846.972255</v>
      </c>
    </row>
    <row r="11" s="6" customFormat="1" ht="18" customHeight="1" spans="1:33">
      <c r="A11" s="19" t="s">
        <v>149</v>
      </c>
      <c r="B11" s="19" t="s">
        <v>11</v>
      </c>
      <c r="C11" s="24">
        <v>1500</v>
      </c>
      <c r="D11" s="24">
        <v>1500</v>
      </c>
      <c r="E11" s="24">
        <v>1500</v>
      </c>
      <c r="F11" s="24">
        <v>1500</v>
      </c>
      <c r="G11" s="24">
        <v>1500</v>
      </c>
      <c r="H11" s="24">
        <v>1500</v>
      </c>
      <c r="I11" s="24">
        <v>1500</v>
      </c>
      <c r="J11" s="24">
        <v>1500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5">
        <f t="shared" si="0"/>
        <v>12000</v>
      </c>
    </row>
    <row r="12" s="6" customFormat="1" ht="18" customHeight="1" spans="1:33">
      <c r="A12" s="19" t="s">
        <v>150</v>
      </c>
      <c r="B12" s="19" t="s">
        <v>13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5">
        <f t="shared" si="0"/>
        <v>0</v>
      </c>
    </row>
    <row r="13" s="6" customFormat="1" ht="18" customHeight="1" spans="1:33">
      <c r="A13" s="19" t="s">
        <v>151</v>
      </c>
      <c r="B13" s="19" t="s">
        <v>15</v>
      </c>
      <c r="C13" s="24">
        <f t="shared" ref="C13:J13" si="5">C9+C10-C11</f>
        <v>35961.524255</v>
      </c>
      <c r="D13" s="24">
        <f t="shared" si="5"/>
        <v>33831.090165</v>
      </c>
      <c r="E13" s="24">
        <f t="shared" si="5"/>
        <v>33147.97033</v>
      </c>
      <c r="F13" s="24">
        <f t="shared" si="5"/>
        <v>32343.652105</v>
      </c>
      <c r="G13" s="24">
        <f t="shared" si="5"/>
        <v>28579.76831</v>
      </c>
      <c r="H13" s="24">
        <f t="shared" si="5"/>
        <v>27954.308415</v>
      </c>
      <c r="I13" s="24">
        <f t="shared" si="5"/>
        <v>30518.84215</v>
      </c>
      <c r="J13" s="24">
        <f t="shared" si="5"/>
        <v>31893.146525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5">
        <f t="shared" si="0"/>
        <v>254230.302255</v>
      </c>
    </row>
    <row r="14" s="7" customFormat="1" ht="18" customHeight="1" spans="1:33">
      <c r="A14" s="26" t="s">
        <v>16</v>
      </c>
      <c r="B14" s="26"/>
      <c r="C14" s="27">
        <f t="shared" ref="C14:J14" si="6">C13/1.06</f>
        <v>33925.9662783019</v>
      </c>
      <c r="D14" s="27">
        <f t="shared" si="6"/>
        <v>31916.1227971698</v>
      </c>
      <c r="E14" s="27">
        <f t="shared" si="6"/>
        <v>31271.6701226415</v>
      </c>
      <c r="F14" s="27">
        <f t="shared" si="6"/>
        <v>30512.8793443396</v>
      </c>
      <c r="G14" s="27">
        <f t="shared" si="6"/>
        <v>26962.0455754717</v>
      </c>
      <c r="H14" s="27">
        <f t="shared" si="6"/>
        <v>26371.9890707547</v>
      </c>
      <c r="I14" s="27">
        <f t="shared" si="6"/>
        <v>28791.3605188679</v>
      </c>
      <c r="J14" s="27">
        <f t="shared" si="6"/>
        <v>30087.8740801887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8">
        <f t="shared" si="0"/>
        <v>239839.907787736</v>
      </c>
    </row>
    <row r="15" s="6" customFormat="1" ht="18" customHeight="1" spans="1:33">
      <c r="A15" s="19">
        <v>1</v>
      </c>
      <c r="B15" s="29" t="s">
        <v>17</v>
      </c>
      <c r="C15" s="24">
        <v>11</v>
      </c>
      <c r="D15" s="24">
        <v>11</v>
      </c>
      <c r="E15" s="24">
        <v>11</v>
      </c>
      <c r="F15" s="24">
        <v>11</v>
      </c>
      <c r="G15" s="24">
        <v>10</v>
      </c>
      <c r="H15" s="24">
        <v>10</v>
      </c>
      <c r="I15" s="24">
        <v>11</v>
      </c>
      <c r="J15" s="24">
        <v>11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1">
        <f t="shared" ref="AG15:AG58" si="7">SUM(C15:AF15)</f>
        <v>86</v>
      </c>
    </row>
    <row r="16" s="6" customFormat="1" ht="18" customHeight="1" spans="1:33">
      <c r="A16" s="19">
        <v>2</v>
      </c>
      <c r="B16" s="29" t="s">
        <v>18</v>
      </c>
      <c r="C16" s="24">
        <f>47+13+43+17+6+3+5</f>
        <v>134</v>
      </c>
      <c r="D16" s="24">
        <f>47+11+44+22+8+2+5</f>
        <v>139</v>
      </c>
      <c r="E16" s="24">
        <f>46+11+41+19+6+4+5</f>
        <v>132</v>
      </c>
      <c r="F16" s="24">
        <f>38+12+36+14+3+7+5</f>
        <v>115</v>
      </c>
      <c r="G16" s="24">
        <f>40+11+36+17+6+4+5</f>
        <v>119</v>
      </c>
      <c r="H16" s="24">
        <f>41+11+40+14+6+3+6</f>
        <v>121</v>
      </c>
      <c r="I16" s="24">
        <f>45+10+45+12+4+5+6</f>
        <v>127</v>
      </c>
      <c r="J16" s="24">
        <f>45+8+46+10+5+4+5</f>
        <v>123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1">
        <f t="shared" si="7"/>
        <v>1010</v>
      </c>
    </row>
    <row r="17" s="6" customFormat="1" ht="18" customHeight="1" spans="1:33">
      <c r="A17" s="19">
        <v>3</v>
      </c>
      <c r="B17" s="29" t="s">
        <v>19</v>
      </c>
      <c r="C17" s="24">
        <f>28</f>
        <v>28</v>
      </c>
      <c r="D17" s="24">
        <f>18</f>
        <v>18</v>
      </c>
      <c r="E17" s="24">
        <f t="shared" ref="E17:J17" si="8">26</f>
        <v>26</v>
      </c>
      <c r="F17" s="24">
        <f>4+34</f>
        <v>38</v>
      </c>
      <c r="G17" s="24">
        <f>3+28</f>
        <v>31</v>
      </c>
      <c r="H17" s="24">
        <f t="shared" si="8"/>
        <v>26</v>
      </c>
      <c r="I17" s="24">
        <f t="shared" si="8"/>
        <v>26</v>
      </c>
      <c r="J17" s="24">
        <f>25</f>
        <v>25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3">
        <f t="shared" si="7"/>
        <v>218</v>
      </c>
    </row>
    <row r="18" s="6" customFormat="1" ht="18" customHeight="1" spans="1:33">
      <c r="A18" s="19">
        <v>4</v>
      </c>
      <c r="B18" s="29" t="s">
        <v>20</v>
      </c>
      <c r="C18" s="24">
        <f t="shared" ref="C18:J18" si="9">SUM(C15:C17)</f>
        <v>173</v>
      </c>
      <c r="D18" s="24">
        <f t="shared" si="9"/>
        <v>168</v>
      </c>
      <c r="E18" s="24">
        <f t="shared" si="9"/>
        <v>169</v>
      </c>
      <c r="F18" s="24">
        <f t="shared" si="9"/>
        <v>164</v>
      </c>
      <c r="G18" s="24">
        <f t="shared" si="9"/>
        <v>160</v>
      </c>
      <c r="H18" s="24">
        <f t="shared" si="9"/>
        <v>157</v>
      </c>
      <c r="I18" s="24">
        <f t="shared" si="9"/>
        <v>164</v>
      </c>
      <c r="J18" s="24">
        <f t="shared" si="9"/>
        <v>159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3">
        <f t="shared" si="7"/>
        <v>1314</v>
      </c>
    </row>
    <row r="19" s="6" customFormat="1" ht="18" customHeight="1" spans="1:33">
      <c r="A19" s="19">
        <v>5</v>
      </c>
      <c r="B19" s="29" t="s">
        <v>21</v>
      </c>
      <c r="C19" s="30">
        <f>(65*11)+((64+28)*13)+(6*12.5)+(3*6)</f>
        <v>2004</v>
      </c>
      <c r="D19" s="30">
        <f>(61*11)+((69+18)*13)+(8*12.5)+(2*6)</f>
        <v>1914</v>
      </c>
      <c r="E19" s="30">
        <f>(62*11)+((63+26)*13)+(6*12.5)+(4*6)</f>
        <v>1938</v>
      </c>
      <c r="F19" s="30">
        <f>((56+4)*11)+((53+34)*13)+(3*12.5)+(7*6)</f>
        <v>1870.5</v>
      </c>
      <c r="G19" s="30">
        <f>((56+3)*11)+((60+28)*13)+(6*12.5)+(4*6)</f>
        <v>1892</v>
      </c>
      <c r="H19" s="30">
        <f t="shared" ref="H19:J19" si="10">(57*11)+((59+26)*13)+(6*12.5)+(3*6)</f>
        <v>1825</v>
      </c>
      <c r="I19" s="30">
        <f t="shared" si="10"/>
        <v>1825</v>
      </c>
      <c r="J19" s="30">
        <f>(53*11)+((56+25)*13)+(5*12.5)+(4*6)</f>
        <v>1722.5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25">
        <f t="shared" si="7"/>
        <v>14991</v>
      </c>
    </row>
    <row r="20" s="7" customFormat="1" ht="18" customHeight="1" spans="1:33">
      <c r="A20" s="31" t="s">
        <v>22</v>
      </c>
      <c r="B20" s="32"/>
      <c r="C20" s="33">
        <f t="shared" ref="C20:R20" si="11">SUM(C5:C6)/C18</f>
        <v>1610.62427745665</v>
      </c>
      <c r="D20" s="33">
        <f t="shared" si="11"/>
        <v>1506.19642857143</v>
      </c>
      <c r="E20" s="33">
        <f t="shared" si="11"/>
        <v>1502.27218934911</v>
      </c>
      <c r="F20" s="33">
        <f t="shared" si="11"/>
        <v>1548.76219512195</v>
      </c>
      <c r="G20" s="33">
        <f t="shared" si="11"/>
        <v>1434.96875</v>
      </c>
      <c r="H20" s="33">
        <f t="shared" si="11"/>
        <v>1455.11464968153</v>
      </c>
      <c r="I20" s="33">
        <f t="shared" si="11"/>
        <v>1491.89634146341</v>
      </c>
      <c r="J20" s="33">
        <f t="shared" si="11"/>
        <v>1466.99371069182</v>
      </c>
      <c r="K20" s="33" t="e">
        <f t="shared" si="11"/>
        <v>#DIV/0!</v>
      </c>
      <c r="L20" s="33" t="e">
        <f t="shared" si="11"/>
        <v>#DIV/0!</v>
      </c>
      <c r="M20" s="33" t="e">
        <f t="shared" si="11"/>
        <v>#DIV/0!</v>
      </c>
      <c r="N20" s="33" t="e">
        <f t="shared" si="11"/>
        <v>#DIV/0!</v>
      </c>
      <c r="O20" s="33" t="e">
        <f t="shared" si="11"/>
        <v>#DIV/0!</v>
      </c>
      <c r="P20" s="33" t="e">
        <f t="shared" si="11"/>
        <v>#DIV/0!</v>
      </c>
      <c r="Q20" s="33" t="e">
        <f t="shared" si="11"/>
        <v>#DIV/0!</v>
      </c>
      <c r="R20" s="33" t="e">
        <f t="shared" si="11"/>
        <v>#DIV/0!</v>
      </c>
      <c r="S20" s="33" t="e">
        <f t="shared" ref="S20:AG20" si="12">SUM(S5:S6)/S18</f>
        <v>#DIV/0!</v>
      </c>
      <c r="T20" s="33" t="e">
        <f t="shared" si="12"/>
        <v>#DIV/0!</v>
      </c>
      <c r="U20" s="33" t="e">
        <f t="shared" si="12"/>
        <v>#DIV/0!</v>
      </c>
      <c r="V20" s="33" t="e">
        <f t="shared" si="12"/>
        <v>#DIV/0!</v>
      </c>
      <c r="W20" s="33" t="e">
        <f t="shared" si="12"/>
        <v>#DIV/0!</v>
      </c>
      <c r="X20" s="33" t="e">
        <f t="shared" si="12"/>
        <v>#DIV/0!</v>
      </c>
      <c r="Y20" s="33" t="e">
        <f t="shared" si="12"/>
        <v>#DIV/0!</v>
      </c>
      <c r="Z20" s="33" t="e">
        <f t="shared" si="12"/>
        <v>#DIV/0!</v>
      </c>
      <c r="AA20" s="33" t="e">
        <f t="shared" si="12"/>
        <v>#DIV/0!</v>
      </c>
      <c r="AB20" s="33" t="e">
        <f t="shared" si="12"/>
        <v>#DIV/0!</v>
      </c>
      <c r="AC20" s="33" t="e">
        <f t="shared" si="12"/>
        <v>#DIV/0!</v>
      </c>
      <c r="AD20" s="33" t="e">
        <f t="shared" si="12"/>
        <v>#DIV/0!</v>
      </c>
      <c r="AE20" s="33" t="e">
        <f t="shared" si="12"/>
        <v>#DIV/0!</v>
      </c>
      <c r="AF20" s="33" t="e">
        <f t="shared" si="12"/>
        <v>#DIV/0!</v>
      </c>
      <c r="AG20" s="25" t="e">
        <f t="shared" si="7"/>
        <v>#DIV/0!</v>
      </c>
    </row>
    <row r="21" s="7" customFormat="1" ht="18" customHeight="1" spans="1:33">
      <c r="A21" s="31" t="s">
        <v>23</v>
      </c>
      <c r="B21" s="32"/>
      <c r="C21" s="34">
        <f t="shared" ref="C21:R21" si="13">(C5+C6)/C19</f>
        <v>139.040918163673</v>
      </c>
      <c r="D21" s="34">
        <f t="shared" si="13"/>
        <v>132.205329153605</v>
      </c>
      <c r="E21" s="34">
        <f t="shared" si="13"/>
        <v>131.003095975232</v>
      </c>
      <c r="F21" s="34">
        <f t="shared" si="13"/>
        <v>135.790964982625</v>
      </c>
      <c r="G21" s="34">
        <f t="shared" si="13"/>
        <v>121.350422832981</v>
      </c>
      <c r="H21" s="34">
        <f t="shared" si="13"/>
        <v>125.179726027397</v>
      </c>
      <c r="I21" s="34">
        <f t="shared" si="13"/>
        <v>134.066301369863</v>
      </c>
      <c r="J21" s="34">
        <f t="shared" si="13"/>
        <v>135.414804063861</v>
      </c>
      <c r="K21" s="34" t="e">
        <f t="shared" si="13"/>
        <v>#DIV/0!</v>
      </c>
      <c r="L21" s="34" t="e">
        <f t="shared" si="13"/>
        <v>#DIV/0!</v>
      </c>
      <c r="M21" s="34" t="e">
        <f t="shared" si="13"/>
        <v>#DIV/0!</v>
      </c>
      <c r="N21" s="34" t="e">
        <f t="shared" si="13"/>
        <v>#DIV/0!</v>
      </c>
      <c r="O21" s="34" t="e">
        <f t="shared" si="13"/>
        <v>#DIV/0!</v>
      </c>
      <c r="P21" s="34" t="e">
        <f t="shared" si="13"/>
        <v>#DIV/0!</v>
      </c>
      <c r="Q21" s="34" t="e">
        <f t="shared" si="13"/>
        <v>#DIV/0!</v>
      </c>
      <c r="R21" s="34" t="e">
        <f t="shared" si="13"/>
        <v>#DIV/0!</v>
      </c>
      <c r="S21" s="34" t="e">
        <f t="shared" ref="S21:AG21" si="14">(S5+S6)/S19</f>
        <v>#DIV/0!</v>
      </c>
      <c r="T21" s="34" t="e">
        <f t="shared" si="14"/>
        <v>#DIV/0!</v>
      </c>
      <c r="U21" s="34" t="e">
        <f t="shared" si="14"/>
        <v>#DIV/0!</v>
      </c>
      <c r="V21" s="34" t="e">
        <f t="shared" si="14"/>
        <v>#DIV/0!</v>
      </c>
      <c r="W21" s="34" t="e">
        <f t="shared" si="14"/>
        <v>#DIV/0!</v>
      </c>
      <c r="X21" s="34" t="e">
        <f t="shared" si="14"/>
        <v>#DIV/0!</v>
      </c>
      <c r="Y21" s="34" t="e">
        <f t="shared" si="14"/>
        <v>#DIV/0!</v>
      </c>
      <c r="Z21" s="34" t="e">
        <f t="shared" si="14"/>
        <v>#DIV/0!</v>
      </c>
      <c r="AA21" s="34" t="e">
        <f t="shared" si="14"/>
        <v>#DIV/0!</v>
      </c>
      <c r="AB21" s="34" t="e">
        <f t="shared" si="14"/>
        <v>#DIV/0!</v>
      </c>
      <c r="AC21" s="34" t="e">
        <f t="shared" si="14"/>
        <v>#DIV/0!</v>
      </c>
      <c r="AD21" s="34" t="e">
        <f t="shared" si="14"/>
        <v>#DIV/0!</v>
      </c>
      <c r="AE21" s="34" t="e">
        <f t="shared" si="14"/>
        <v>#DIV/0!</v>
      </c>
      <c r="AF21" s="34" t="e">
        <f t="shared" si="14"/>
        <v>#DIV/0!</v>
      </c>
      <c r="AG21" s="25" t="e">
        <f t="shared" si="7"/>
        <v>#DIV/0!</v>
      </c>
    </row>
    <row r="22" s="6" customFormat="1" ht="18" customHeight="1" spans="1:33">
      <c r="A22" s="35" t="s">
        <v>152</v>
      </c>
      <c r="B22" s="19" t="s">
        <v>24</v>
      </c>
      <c r="C22" s="24">
        <f>(47*160)+(42*190)+6122+(4400/28*3)+(4900/28*2)+200</f>
        <v>22643.4285714286</v>
      </c>
      <c r="D22" s="24">
        <f>(45*160)+(42*190)+7232.46+(4400/28*3)+(4900/28*2)+200</f>
        <v>23433.8885714286</v>
      </c>
      <c r="E22" s="24">
        <f>(46*160)+(39*190)+6367+(4400/28*3)+(4900/28*2)+200</f>
        <v>22158.4285714286</v>
      </c>
      <c r="F22" s="24">
        <f>(39*160)+(34*190)+5031+(4400/28*3)+(4900/28*2)+200</f>
        <v>18752.4285714286</v>
      </c>
      <c r="G22" s="24">
        <f>(40*160)+(36*190)+6013+(4400/28*3)+(4900/28*2)+200</f>
        <v>20274.4285714286</v>
      </c>
      <c r="H22" s="24">
        <f>(41*160)+(40*190)+5310+(4400/28*3)+(4900/28*2)+200</f>
        <v>20491.4285714286</v>
      </c>
      <c r="I22" s="24">
        <f>(45*160)+(45*190)+4702+(4400/28*3)+(4900/28*2)+200</f>
        <v>21473.4285714286</v>
      </c>
      <c r="J22" s="24">
        <f>(45*160)+(46*190)+4241+(4400/28*3)+(4900/28*2)+200</f>
        <v>21202.4285714286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5">
        <f t="shared" si="7"/>
        <v>170429.888571429</v>
      </c>
    </row>
    <row r="23" s="6" customFormat="1" ht="18" customHeight="1" spans="1:33">
      <c r="A23" s="35"/>
      <c r="B23" s="19" t="s">
        <v>30</v>
      </c>
      <c r="C23" s="24">
        <f>(28*18*13)</f>
        <v>6552</v>
      </c>
      <c r="D23" s="24">
        <f>(18*18*13)</f>
        <v>4212</v>
      </c>
      <c r="E23" s="24">
        <f t="shared" ref="E23:I23" si="15">(26*18*13)</f>
        <v>6084</v>
      </c>
      <c r="F23" s="24">
        <f>(4*18*11)+(34*18*13)</f>
        <v>8748</v>
      </c>
      <c r="G23" s="24">
        <f>(3*18*11)+(28*18*13)</f>
        <v>7146</v>
      </c>
      <c r="H23" s="24">
        <f t="shared" si="15"/>
        <v>6084</v>
      </c>
      <c r="I23" s="24">
        <f>(24*18*13)</f>
        <v>5616</v>
      </c>
      <c r="J23" s="24">
        <f>(24*18*13)+(18*6)</f>
        <v>5724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5">
        <f t="shared" si="7"/>
        <v>50166</v>
      </c>
    </row>
    <row r="24" s="6" customFormat="1" ht="18" customHeight="1" spans="1:33">
      <c r="A24" s="35" t="s">
        <v>153</v>
      </c>
      <c r="B24" s="35"/>
      <c r="C24" s="24">
        <f t="shared" ref="C24:J24" si="16">C22+C23</f>
        <v>29195.4285714286</v>
      </c>
      <c r="D24" s="24">
        <f t="shared" si="16"/>
        <v>27645.8885714286</v>
      </c>
      <c r="E24" s="24">
        <f t="shared" si="16"/>
        <v>28242.4285714286</v>
      </c>
      <c r="F24" s="24">
        <f t="shared" si="16"/>
        <v>27500.4285714286</v>
      </c>
      <c r="G24" s="24">
        <f t="shared" si="16"/>
        <v>27420.4285714286</v>
      </c>
      <c r="H24" s="24">
        <f t="shared" si="16"/>
        <v>26575.4285714286</v>
      </c>
      <c r="I24" s="24">
        <f t="shared" si="16"/>
        <v>27089.4285714286</v>
      </c>
      <c r="J24" s="24">
        <f t="shared" si="16"/>
        <v>26926.4285714286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8">
        <f t="shared" si="7"/>
        <v>220595.888571429</v>
      </c>
    </row>
    <row r="25" s="8" customFormat="1" ht="18" customHeight="1" spans="1:33">
      <c r="A25" s="36" t="s">
        <v>154</v>
      </c>
      <c r="B25" s="37"/>
      <c r="C25" s="38">
        <f t="shared" ref="C25:R25" si="17">C24/(C5+C6)</f>
        <v>0.104779063054675</v>
      </c>
      <c r="D25" s="38">
        <f t="shared" si="17"/>
        <v>0.109254581555671</v>
      </c>
      <c r="E25" s="38">
        <f t="shared" si="17"/>
        <v>0.11124146685663</v>
      </c>
      <c r="F25" s="38">
        <f t="shared" si="17"/>
        <v>0.108270682612112</v>
      </c>
      <c r="G25" s="38">
        <f t="shared" si="17"/>
        <v>0.119429554526138</v>
      </c>
      <c r="H25" s="38">
        <f t="shared" si="17"/>
        <v>0.116327772327037</v>
      </c>
      <c r="I25" s="38">
        <f t="shared" si="17"/>
        <v>0.110717774364059</v>
      </c>
      <c r="J25" s="38">
        <f t="shared" si="17"/>
        <v>0.115439218405109</v>
      </c>
      <c r="K25" s="38" t="e">
        <f t="shared" si="17"/>
        <v>#DIV/0!</v>
      </c>
      <c r="L25" s="38" t="e">
        <f t="shared" si="17"/>
        <v>#DIV/0!</v>
      </c>
      <c r="M25" s="38" t="e">
        <f t="shared" si="17"/>
        <v>#DIV/0!</v>
      </c>
      <c r="N25" s="38" t="e">
        <f t="shared" si="17"/>
        <v>#DIV/0!</v>
      </c>
      <c r="O25" s="38" t="e">
        <f t="shared" si="17"/>
        <v>#DIV/0!</v>
      </c>
      <c r="P25" s="38" t="e">
        <f t="shared" si="17"/>
        <v>#DIV/0!</v>
      </c>
      <c r="Q25" s="38" t="e">
        <f t="shared" si="17"/>
        <v>#DIV/0!</v>
      </c>
      <c r="R25" s="38" t="e">
        <f t="shared" si="17"/>
        <v>#DIV/0!</v>
      </c>
      <c r="S25" s="38" t="e">
        <f t="shared" ref="S25:AG25" si="18">S24/(S5+S6)</f>
        <v>#DIV/0!</v>
      </c>
      <c r="T25" s="38" t="e">
        <f t="shared" si="18"/>
        <v>#DIV/0!</v>
      </c>
      <c r="U25" s="38" t="e">
        <f t="shared" si="18"/>
        <v>#DIV/0!</v>
      </c>
      <c r="V25" s="38" t="e">
        <f t="shared" si="18"/>
        <v>#DIV/0!</v>
      </c>
      <c r="W25" s="38" t="e">
        <f t="shared" si="18"/>
        <v>#DIV/0!</v>
      </c>
      <c r="X25" s="38" t="e">
        <f t="shared" si="18"/>
        <v>#DIV/0!</v>
      </c>
      <c r="Y25" s="38" t="e">
        <f t="shared" si="18"/>
        <v>#DIV/0!</v>
      </c>
      <c r="Z25" s="38" t="e">
        <f t="shared" si="18"/>
        <v>#DIV/0!</v>
      </c>
      <c r="AA25" s="38" t="e">
        <f t="shared" si="18"/>
        <v>#DIV/0!</v>
      </c>
      <c r="AB25" s="38" t="e">
        <f t="shared" si="18"/>
        <v>#DIV/0!</v>
      </c>
      <c r="AC25" s="38" t="e">
        <f t="shared" si="18"/>
        <v>#DIV/0!</v>
      </c>
      <c r="AD25" s="38" t="e">
        <f t="shared" si="18"/>
        <v>#DIV/0!</v>
      </c>
      <c r="AE25" s="38" t="e">
        <f t="shared" si="18"/>
        <v>#DIV/0!</v>
      </c>
      <c r="AF25" s="38" t="e">
        <f t="shared" si="18"/>
        <v>#DIV/0!</v>
      </c>
      <c r="AG25" s="21" t="e">
        <f t="shared" si="7"/>
        <v>#DIV/0!</v>
      </c>
    </row>
    <row r="26" s="6" customFormat="1" ht="18" customHeight="1" spans="1:33">
      <c r="A26" s="35" t="s">
        <v>155</v>
      </c>
      <c r="B26" s="19" t="s">
        <v>32</v>
      </c>
      <c r="C26" s="24">
        <f t="shared" ref="C26:J26" si="19">20000/30</f>
        <v>666.666666666667</v>
      </c>
      <c r="D26" s="24">
        <f t="shared" si="19"/>
        <v>666.666666666667</v>
      </c>
      <c r="E26" s="24">
        <f t="shared" si="19"/>
        <v>666.666666666667</v>
      </c>
      <c r="F26" s="24">
        <f t="shared" si="19"/>
        <v>666.666666666667</v>
      </c>
      <c r="G26" s="24">
        <f t="shared" si="19"/>
        <v>666.666666666667</v>
      </c>
      <c r="H26" s="24">
        <f t="shared" si="19"/>
        <v>666.666666666667</v>
      </c>
      <c r="I26" s="24">
        <f t="shared" si="19"/>
        <v>666.666666666667</v>
      </c>
      <c r="J26" s="24">
        <f t="shared" si="19"/>
        <v>666.666666666667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1">
        <f t="shared" si="7"/>
        <v>5333.33333333334</v>
      </c>
    </row>
    <row r="27" s="6" customFormat="1" ht="18" customHeight="1" spans="1:33">
      <c r="A27" s="35"/>
      <c r="B27" s="19" t="s">
        <v>28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3">
        <f t="shared" si="7"/>
        <v>0</v>
      </c>
    </row>
    <row r="28" s="6" customFormat="1" ht="18" customHeight="1" spans="1:33">
      <c r="A28" s="35"/>
      <c r="B28" s="19" t="s">
        <v>156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3">
        <f t="shared" si="7"/>
        <v>0</v>
      </c>
    </row>
    <row r="29" s="6" customFormat="1" ht="18" customHeight="1" spans="1:33">
      <c r="A29" s="35"/>
      <c r="B29" s="19" t="s">
        <v>26</v>
      </c>
      <c r="C29" s="24">
        <f t="shared" ref="C29:J29" si="20">2*200</f>
        <v>400</v>
      </c>
      <c r="D29" s="24">
        <f t="shared" si="20"/>
        <v>400</v>
      </c>
      <c r="E29" s="24">
        <f t="shared" si="20"/>
        <v>400</v>
      </c>
      <c r="F29" s="24">
        <f t="shared" si="20"/>
        <v>400</v>
      </c>
      <c r="G29" s="24">
        <f t="shared" si="20"/>
        <v>400</v>
      </c>
      <c r="H29" s="24">
        <f t="shared" si="20"/>
        <v>400</v>
      </c>
      <c r="I29" s="24">
        <f t="shared" si="20"/>
        <v>400</v>
      </c>
      <c r="J29" s="24">
        <f t="shared" si="20"/>
        <v>400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5">
        <f t="shared" si="7"/>
        <v>3200</v>
      </c>
    </row>
    <row r="30" s="6" customFormat="1" ht="18" customHeight="1" spans="1:33">
      <c r="A30" s="35"/>
      <c r="B30" s="19" t="s">
        <v>27</v>
      </c>
      <c r="C30" s="24">
        <f t="shared" ref="C30:J30" si="21">2.5*200</f>
        <v>500</v>
      </c>
      <c r="D30" s="24">
        <f t="shared" si="21"/>
        <v>500</v>
      </c>
      <c r="E30" s="24">
        <f t="shared" si="21"/>
        <v>500</v>
      </c>
      <c r="F30" s="24">
        <f t="shared" si="21"/>
        <v>500</v>
      </c>
      <c r="G30" s="24">
        <f t="shared" si="21"/>
        <v>500</v>
      </c>
      <c r="H30" s="24">
        <f t="shared" si="21"/>
        <v>500</v>
      </c>
      <c r="I30" s="24">
        <f t="shared" si="21"/>
        <v>500</v>
      </c>
      <c r="J30" s="24">
        <f t="shared" si="21"/>
        <v>500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5">
        <f t="shared" si="7"/>
        <v>4000</v>
      </c>
    </row>
    <row r="31" s="6" customFormat="1" ht="18" customHeight="1" spans="1:33">
      <c r="A31" s="35"/>
      <c r="B31" s="19" t="s">
        <v>157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5">
        <f t="shared" si="7"/>
        <v>0</v>
      </c>
    </row>
    <row r="32" s="6" customFormat="1" ht="18" customHeight="1" spans="1:33">
      <c r="A32" s="35"/>
      <c r="B32" s="19" t="s">
        <v>158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5">
        <f t="shared" si="7"/>
        <v>0</v>
      </c>
    </row>
    <row r="33" s="6" customFormat="1" ht="18" customHeight="1" spans="1:33">
      <c r="A33" s="35"/>
      <c r="B33" s="19" t="s">
        <v>25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5">
        <f t="shared" si="7"/>
        <v>0</v>
      </c>
    </row>
    <row r="34" s="6" customFormat="1" ht="18" customHeight="1" spans="1:33">
      <c r="A34" s="35"/>
      <c r="B34" s="19" t="s">
        <v>159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8">
        <f t="shared" si="7"/>
        <v>0</v>
      </c>
    </row>
    <row r="35" s="6" customFormat="1" ht="18" customHeight="1" spans="1:33">
      <c r="A35" s="35"/>
      <c r="B35" s="19" t="s">
        <v>160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1">
        <f t="shared" si="7"/>
        <v>0</v>
      </c>
    </row>
    <row r="36" s="6" customFormat="1" ht="18" customHeight="1" spans="1:33">
      <c r="A36" s="35"/>
      <c r="B36" s="19" t="s">
        <v>161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1">
        <f t="shared" si="7"/>
        <v>0</v>
      </c>
    </row>
    <row r="37" s="6" customFormat="1" ht="18" customHeight="1" spans="1:33">
      <c r="A37" s="35"/>
      <c r="B37" s="19" t="s">
        <v>41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3">
        <f t="shared" si="7"/>
        <v>0</v>
      </c>
    </row>
    <row r="38" s="6" customFormat="1" ht="18" customHeight="1" spans="1:33">
      <c r="A38" s="35"/>
      <c r="B38" s="19" t="s">
        <v>44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3">
        <f t="shared" si="7"/>
        <v>0</v>
      </c>
    </row>
    <row r="39" s="6" customFormat="1" ht="18" customHeight="1" spans="1:33">
      <c r="A39" s="35"/>
      <c r="B39" s="19" t="s">
        <v>162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5">
        <f t="shared" si="7"/>
        <v>0</v>
      </c>
    </row>
    <row r="40" s="6" customFormat="1" ht="18" customHeight="1" spans="1:33">
      <c r="A40" s="35"/>
      <c r="B40" s="19" t="s">
        <v>42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5">
        <f t="shared" si="7"/>
        <v>0</v>
      </c>
    </row>
    <row r="41" s="6" customFormat="1" ht="18" customHeight="1" spans="1:33">
      <c r="A41" s="35" t="s">
        <v>153</v>
      </c>
      <c r="B41" s="35"/>
      <c r="C41" s="24">
        <f t="shared" ref="C41:J41" si="22">SUM(C26:C40)</f>
        <v>1566.66666666667</v>
      </c>
      <c r="D41" s="24">
        <f t="shared" si="22"/>
        <v>1566.66666666667</v>
      </c>
      <c r="E41" s="24">
        <f t="shared" si="22"/>
        <v>1566.66666666667</v>
      </c>
      <c r="F41" s="24">
        <f t="shared" si="22"/>
        <v>1566.66666666667</v>
      </c>
      <c r="G41" s="24">
        <f t="shared" si="22"/>
        <v>1566.66666666667</v>
      </c>
      <c r="H41" s="24">
        <f t="shared" si="22"/>
        <v>1566.66666666667</v>
      </c>
      <c r="I41" s="24">
        <f t="shared" si="22"/>
        <v>1566.66666666667</v>
      </c>
      <c r="J41" s="24">
        <f t="shared" si="22"/>
        <v>1566.66666666667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5">
        <f t="shared" si="7"/>
        <v>12533.3333333333</v>
      </c>
    </row>
    <row r="42" s="8" customFormat="1" ht="18" customHeight="1" spans="1:33">
      <c r="A42" s="36" t="s">
        <v>163</v>
      </c>
      <c r="B42" s="37"/>
      <c r="C42" s="38">
        <f t="shared" ref="C42:AG42" si="23">C41/(C5+C6)</f>
        <v>0.00562258796957582</v>
      </c>
      <c r="D42" s="38">
        <f t="shared" si="23"/>
        <v>0.00619135502415287</v>
      </c>
      <c r="E42" s="38">
        <f t="shared" si="23"/>
        <v>0.00617079716195848</v>
      </c>
      <c r="F42" s="38">
        <f t="shared" si="23"/>
        <v>0.00616805185363082</v>
      </c>
      <c r="G42" s="38">
        <f t="shared" si="23"/>
        <v>0.00682360968952576</v>
      </c>
      <c r="H42" s="38">
        <f t="shared" si="23"/>
        <v>0.00685771982274983</v>
      </c>
      <c r="I42" s="38">
        <f t="shared" si="23"/>
        <v>0.00640315634736715</v>
      </c>
      <c r="J42" s="38">
        <f t="shared" si="23"/>
        <v>0.00671662693853286</v>
      </c>
      <c r="K42" s="38" t="e">
        <f t="shared" si="23"/>
        <v>#DIV/0!</v>
      </c>
      <c r="L42" s="38" t="e">
        <f t="shared" si="23"/>
        <v>#DIV/0!</v>
      </c>
      <c r="M42" s="38" t="e">
        <f t="shared" si="23"/>
        <v>#DIV/0!</v>
      </c>
      <c r="N42" s="38" t="e">
        <f t="shared" si="23"/>
        <v>#DIV/0!</v>
      </c>
      <c r="O42" s="38" t="e">
        <f t="shared" si="23"/>
        <v>#DIV/0!</v>
      </c>
      <c r="P42" s="38" t="e">
        <f t="shared" si="23"/>
        <v>#DIV/0!</v>
      </c>
      <c r="Q42" s="38" t="e">
        <f t="shared" si="23"/>
        <v>#DIV/0!</v>
      </c>
      <c r="R42" s="38" t="e">
        <f t="shared" si="23"/>
        <v>#DIV/0!</v>
      </c>
      <c r="S42" s="38" t="e">
        <f t="shared" si="23"/>
        <v>#DIV/0!</v>
      </c>
      <c r="T42" s="38" t="e">
        <f t="shared" si="23"/>
        <v>#DIV/0!</v>
      </c>
      <c r="U42" s="38" t="e">
        <f t="shared" si="23"/>
        <v>#DIV/0!</v>
      </c>
      <c r="V42" s="38" t="e">
        <f t="shared" si="23"/>
        <v>#DIV/0!</v>
      </c>
      <c r="W42" s="38" t="e">
        <f t="shared" si="23"/>
        <v>#DIV/0!</v>
      </c>
      <c r="X42" s="38" t="e">
        <f t="shared" si="23"/>
        <v>#DIV/0!</v>
      </c>
      <c r="Y42" s="38" t="e">
        <f t="shared" si="23"/>
        <v>#DIV/0!</v>
      </c>
      <c r="Z42" s="38" t="e">
        <f t="shared" si="23"/>
        <v>#DIV/0!</v>
      </c>
      <c r="AA42" s="38" t="e">
        <f t="shared" si="23"/>
        <v>#DIV/0!</v>
      </c>
      <c r="AB42" s="38" t="e">
        <f t="shared" si="23"/>
        <v>#DIV/0!</v>
      </c>
      <c r="AC42" s="38" t="e">
        <f t="shared" si="23"/>
        <v>#DIV/0!</v>
      </c>
      <c r="AD42" s="38" t="e">
        <f t="shared" si="23"/>
        <v>#DIV/0!</v>
      </c>
      <c r="AE42" s="38" t="e">
        <f t="shared" si="23"/>
        <v>#DIV/0!</v>
      </c>
      <c r="AF42" s="38" t="e">
        <f t="shared" si="23"/>
        <v>#DIV/0!</v>
      </c>
      <c r="AG42" s="25" t="e">
        <f t="shared" si="7"/>
        <v>#DIV/0!</v>
      </c>
    </row>
    <row r="43" s="6" customFormat="1" ht="18" customHeight="1" spans="1:33">
      <c r="A43" s="35" t="s">
        <v>164</v>
      </c>
      <c r="B43" s="19" t="s">
        <v>33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5">
        <f t="shared" si="7"/>
        <v>0</v>
      </c>
    </row>
    <row r="44" s="6" customFormat="1" ht="18" customHeight="1" spans="1:33">
      <c r="A44" s="35"/>
      <c r="B44" s="19" t="s">
        <v>165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8">
        <f t="shared" si="7"/>
        <v>0</v>
      </c>
    </row>
    <row r="45" s="6" customFormat="1" ht="18" customHeight="1" spans="1:33">
      <c r="A45" s="35" t="s">
        <v>153</v>
      </c>
      <c r="B45" s="35"/>
      <c r="C45" s="24">
        <f t="shared" ref="C45:AG45" si="24">SUM(C43:C44)</f>
        <v>0</v>
      </c>
      <c r="D45" s="24">
        <f t="shared" si="24"/>
        <v>0</v>
      </c>
      <c r="E45" s="24">
        <f t="shared" si="24"/>
        <v>0</v>
      </c>
      <c r="F45" s="24">
        <f t="shared" si="24"/>
        <v>0</v>
      </c>
      <c r="G45" s="24">
        <f t="shared" si="24"/>
        <v>0</v>
      </c>
      <c r="H45" s="24">
        <f t="shared" si="24"/>
        <v>0</v>
      </c>
      <c r="I45" s="24">
        <f t="shared" si="24"/>
        <v>0</v>
      </c>
      <c r="J45" s="24">
        <f t="shared" si="24"/>
        <v>0</v>
      </c>
      <c r="K45" s="24">
        <f t="shared" si="24"/>
        <v>0</v>
      </c>
      <c r="L45" s="24">
        <f t="shared" si="24"/>
        <v>0</v>
      </c>
      <c r="M45" s="24">
        <f t="shared" si="24"/>
        <v>0</v>
      </c>
      <c r="N45" s="24">
        <f t="shared" si="24"/>
        <v>0</v>
      </c>
      <c r="O45" s="24">
        <f t="shared" si="24"/>
        <v>0</v>
      </c>
      <c r="P45" s="24">
        <f t="shared" si="24"/>
        <v>0</v>
      </c>
      <c r="Q45" s="24">
        <f t="shared" si="24"/>
        <v>0</v>
      </c>
      <c r="R45" s="24">
        <f t="shared" si="24"/>
        <v>0</v>
      </c>
      <c r="S45" s="24">
        <f t="shared" si="24"/>
        <v>0</v>
      </c>
      <c r="T45" s="24">
        <f t="shared" si="24"/>
        <v>0</v>
      </c>
      <c r="U45" s="24">
        <f t="shared" si="24"/>
        <v>0</v>
      </c>
      <c r="V45" s="24">
        <f t="shared" si="24"/>
        <v>0</v>
      </c>
      <c r="W45" s="24">
        <f t="shared" si="24"/>
        <v>0</v>
      </c>
      <c r="X45" s="24">
        <f t="shared" si="24"/>
        <v>0</v>
      </c>
      <c r="Y45" s="24">
        <f t="shared" si="24"/>
        <v>0</v>
      </c>
      <c r="Z45" s="24">
        <f t="shared" si="24"/>
        <v>0</v>
      </c>
      <c r="AA45" s="24">
        <f t="shared" si="24"/>
        <v>0</v>
      </c>
      <c r="AB45" s="24">
        <f t="shared" si="24"/>
        <v>0</v>
      </c>
      <c r="AC45" s="24">
        <f t="shared" si="24"/>
        <v>0</v>
      </c>
      <c r="AD45" s="24">
        <f t="shared" si="24"/>
        <v>0</v>
      </c>
      <c r="AE45" s="24">
        <f t="shared" si="24"/>
        <v>0</v>
      </c>
      <c r="AF45" s="24">
        <f t="shared" si="24"/>
        <v>0</v>
      </c>
      <c r="AG45" s="21">
        <f t="shared" si="7"/>
        <v>0</v>
      </c>
    </row>
    <row r="46" s="8" customFormat="1" ht="18" customHeight="1" spans="1:33">
      <c r="A46" s="36" t="s">
        <v>166</v>
      </c>
      <c r="B46" s="37"/>
      <c r="C46" s="38">
        <f t="shared" ref="C46:AF46" si="25">C45/(C5+C6)</f>
        <v>0</v>
      </c>
      <c r="D46" s="38">
        <f t="shared" si="25"/>
        <v>0</v>
      </c>
      <c r="E46" s="38">
        <f t="shared" si="25"/>
        <v>0</v>
      </c>
      <c r="F46" s="38">
        <f t="shared" si="25"/>
        <v>0</v>
      </c>
      <c r="G46" s="38">
        <f t="shared" si="25"/>
        <v>0</v>
      </c>
      <c r="H46" s="38">
        <f t="shared" si="25"/>
        <v>0</v>
      </c>
      <c r="I46" s="38">
        <f t="shared" si="25"/>
        <v>0</v>
      </c>
      <c r="J46" s="38">
        <f t="shared" si="25"/>
        <v>0</v>
      </c>
      <c r="K46" s="38" t="e">
        <f t="shared" si="25"/>
        <v>#DIV/0!</v>
      </c>
      <c r="L46" s="38" t="e">
        <f t="shared" si="25"/>
        <v>#DIV/0!</v>
      </c>
      <c r="M46" s="38" t="e">
        <f t="shared" si="25"/>
        <v>#DIV/0!</v>
      </c>
      <c r="N46" s="38" t="e">
        <f t="shared" si="25"/>
        <v>#DIV/0!</v>
      </c>
      <c r="O46" s="38" t="e">
        <f t="shared" si="25"/>
        <v>#DIV/0!</v>
      </c>
      <c r="P46" s="38" t="e">
        <f t="shared" si="25"/>
        <v>#DIV/0!</v>
      </c>
      <c r="Q46" s="38" t="e">
        <f t="shared" si="25"/>
        <v>#DIV/0!</v>
      </c>
      <c r="R46" s="38" t="e">
        <f t="shared" si="25"/>
        <v>#DIV/0!</v>
      </c>
      <c r="S46" s="38" t="e">
        <f t="shared" si="25"/>
        <v>#DIV/0!</v>
      </c>
      <c r="T46" s="38" t="e">
        <f t="shared" si="25"/>
        <v>#DIV/0!</v>
      </c>
      <c r="U46" s="38" t="e">
        <f t="shared" si="25"/>
        <v>#DIV/0!</v>
      </c>
      <c r="V46" s="38" t="e">
        <f t="shared" si="25"/>
        <v>#DIV/0!</v>
      </c>
      <c r="W46" s="38" t="e">
        <f t="shared" si="25"/>
        <v>#DIV/0!</v>
      </c>
      <c r="X46" s="38" t="e">
        <f t="shared" si="25"/>
        <v>#DIV/0!</v>
      </c>
      <c r="Y46" s="38" t="e">
        <f t="shared" si="25"/>
        <v>#DIV/0!</v>
      </c>
      <c r="Z46" s="38" t="e">
        <f t="shared" si="25"/>
        <v>#DIV/0!</v>
      </c>
      <c r="AA46" s="38" t="e">
        <f t="shared" si="25"/>
        <v>#DIV/0!</v>
      </c>
      <c r="AB46" s="38" t="e">
        <f t="shared" si="25"/>
        <v>#DIV/0!</v>
      </c>
      <c r="AC46" s="38" t="e">
        <f t="shared" si="25"/>
        <v>#DIV/0!</v>
      </c>
      <c r="AD46" s="38" t="e">
        <f t="shared" si="25"/>
        <v>#DIV/0!</v>
      </c>
      <c r="AE46" s="38" t="e">
        <f t="shared" si="25"/>
        <v>#DIV/0!</v>
      </c>
      <c r="AF46" s="38" t="e">
        <f t="shared" si="25"/>
        <v>#DIV/0!</v>
      </c>
      <c r="AG46" s="21" t="e">
        <f t="shared" si="7"/>
        <v>#DIV/0!</v>
      </c>
    </row>
    <row r="47" s="7" customFormat="1" ht="18" customHeight="1" spans="1:33">
      <c r="A47" s="39" t="s">
        <v>34</v>
      </c>
      <c r="B47" s="39"/>
      <c r="C47" s="27">
        <f t="shared" ref="C47:AG47" si="26">C45+C41+C24</f>
        <v>30762.0952380953</v>
      </c>
      <c r="D47" s="27">
        <f t="shared" si="26"/>
        <v>29212.5552380953</v>
      </c>
      <c r="E47" s="27">
        <f t="shared" si="26"/>
        <v>29809.0952380953</v>
      </c>
      <c r="F47" s="27">
        <f t="shared" si="26"/>
        <v>29067.0952380953</v>
      </c>
      <c r="G47" s="27">
        <f t="shared" si="26"/>
        <v>28987.0952380953</v>
      </c>
      <c r="H47" s="27">
        <f t="shared" si="26"/>
        <v>28142.0952380953</v>
      </c>
      <c r="I47" s="27">
        <f t="shared" si="26"/>
        <v>28656.0952380953</v>
      </c>
      <c r="J47" s="27">
        <f t="shared" si="26"/>
        <v>28493.0952380952</v>
      </c>
      <c r="K47" s="27">
        <f t="shared" si="26"/>
        <v>0</v>
      </c>
      <c r="L47" s="27">
        <f t="shared" si="26"/>
        <v>0</v>
      </c>
      <c r="M47" s="27">
        <f t="shared" si="26"/>
        <v>0</v>
      </c>
      <c r="N47" s="27">
        <f t="shared" si="26"/>
        <v>0</v>
      </c>
      <c r="O47" s="27">
        <f t="shared" si="26"/>
        <v>0</v>
      </c>
      <c r="P47" s="27">
        <f t="shared" si="26"/>
        <v>0</v>
      </c>
      <c r="Q47" s="27">
        <f t="shared" si="26"/>
        <v>0</v>
      </c>
      <c r="R47" s="27">
        <f t="shared" si="26"/>
        <v>0</v>
      </c>
      <c r="S47" s="27">
        <f t="shared" si="26"/>
        <v>0</v>
      </c>
      <c r="T47" s="27">
        <f t="shared" si="26"/>
        <v>0</v>
      </c>
      <c r="U47" s="27">
        <f t="shared" si="26"/>
        <v>0</v>
      </c>
      <c r="V47" s="27">
        <f t="shared" si="26"/>
        <v>0</v>
      </c>
      <c r="W47" s="27">
        <f t="shared" si="26"/>
        <v>0</v>
      </c>
      <c r="X47" s="27">
        <f t="shared" si="26"/>
        <v>0</v>
      </c>
      <c r="Y47" s="27">
        <f t="shared" si="26"/>
        <v>0</v>
      </c>
      <c r="Z47" s="27">
        <f t="shared" si="26"/>
        <v>0</v>
      </c>
      <c r="AA47" s="27">
        <f t="shared" si="26"/>
        <v>0</v>
      </c>
      <c r="AB47" s="27">
        <f t="shared" si="26"/>
        <v>0</v>
      </c>
      <c r="AC47" s="27">
        <f t="shared" si="26"/>
        <v>0</v>
      </c>
      <c r="AD47" s="27">
        <f t="shared" si="26"/>
        <v>0</v>
      </c>
      <c r="AE47" s="27">
        <f t="shared" si="26"/>
        <v>0</v>
      </c>
      <c r="AF47" s="27">
        <f t="shared" si="26"/>
        <v>0</v>
      </c>
      <c r="AG47" s="23">
        <f t="shared" si="7"/>
        <v>233129.221904762</v>
      </c>
    </row>
    <row r="48" s="7" customFormat="1" ht="18" customHeight="1" spans="1:33">
      <c r="A48" s="39" t="s">
        <v>35</v>
      </c>
      <c r="B48" s="39"/>
      <c r="C48" s="27">
        <f t="shared" ref="C48:AG48" si="27">ROUND(C14*6%*12%,2)</f>
        <v>244.27</v>
      </c>
      <c r="D48" s="27">
        <f t="shared" si="27"/>
        <v>229.8</v>
      </c>
      <c r="E48" s="27">
        <f t="shared" si="27"/>
        <v>225.16</v>
      </c>
      <c r="F48" s="27">
        <f t="shared" si="27"/>
        <v>219.69</v>
      </c>
      <c r="G48" s="27">
        <f t="shared" si="27"/>
        <v>194.13</v>
      </c>
      <c r="H48" s="27">
        <f t="shared" si="27"/>
        <v>189.88</v>
      </c>
      <c r="I48" s="27">
        <f t="shared" si="27"/>
        <v>207.3</v>
      </c>
      <c r="J48" s="27">
        <f t="shared" si="27"/>
        <v>216.63</v>
      </c>
      <c r="K48" s="27">
        <f t="shared" si="27"/>
        <v>0</v>
      </c>
      <c r="L48" s="27">
        <f t="shared" si="27"/>
        <v>0</v>
      </c>
      <c r="M48" s="27">
        <f t="shared" si="27"/>
        <v>0</v>
      </c>
      <c r="N48" s="27">
        <f t="shared" si="27"/>
        <v>0</v>
      </c>
      <c r="O48" s="27">
        <f t="shared" si="27"/>
        <v>0</v>
      </c>
      <c r="P48" s="27">
        <f t="shared" si="27"/>
        <v>0</v>
      </c>
      <c r="Q48" s="27">
        <f t="shared" si="27"/>
        <v>0</v>
      </c>
      <c r="R48" s="27">
        <f t="shared" si="27"/>
        <v>0</v>
      </c>
      <c r="S48" s="27">
        <f t="shared" si="27"/>
        <v>0</v>
      </c>
      <c r="T48" s="27">
        <f t="shared" si="27"/>
        <v>0</v>
      </c>
      <c r="U48" s="27">
        <f t="shared" si="27"/>
        <v>0</v>
      </c>
      <c r="V48" s="27">
        <f t="shared" si="27"/>
        <v>0</v>
      </c>
      <c r="W48" s="27">
        <f t="shared" si="27"/>
        <v>0</v>
      </c>
      <c r="X48" s="27">
        <f t="shared" si="27"/>
        <v>0</v>
      </c>
      <c r="Y48" s="27">
        <f t="shared" si="27"/>
        <v>0</v>
      </c>
      <c r="Z48" s="27">
        <f t="shared" si="27"/>
        <v>0</v>
      </c>
      <c r="AA48" s="27">
        <f t="shared" si="27"/>
        <v>0</v>
      </c>
      <c r="AB48" s="27">
        <f t="shared" si="27"/>
        <v>0</v>
      </c>
      <c r="AC48" s="27">
        <f t="shared" si="27"/>
        <v>0</v>
      </c>
      <c r="AD48" s="27">
        <f t="shared" si="27"/>
        <v>0</v>
      </c>
      <c r="AE48" s="27">
        <f t="shared" si="27"/>
        <v>0</v>
      </c>
      <c r="AF48" s="27">
        <f t="shared" si="27"/>
        <v>0</v>
      </c>
      <c r="AG48" s="23">
        <f t="shared" si="7"/>
        <v>1726.86</v>
      </c>
    </row>
    <row r="49" s="7" customFormat="1" ht="18" customHeight="1" spans="1:33">
      <c r="A49" s="40" t="s">
        <v>36</v>
      </c>
      <c r="B49" s="40"/>
      <c r="C49" s="27">
        <f t="shared" ref="C49:AG49" si="28">C14-C47-C48</f>
        <v>2919.60104020661</v>
      </c>
      <c r="D49" s="27">
        <f t="shared" si="28"/>
        <v>2473.76755907454</v>
      </c>
      <c r="E49" s="27">
        <f t="shared" si="28"/>
        <v>1237.41488454624</v>
      </c>
      <c r="F49" s="27">
        <f t="shared" si="28"/>
        <v>1226.09410624435</v>
      </c>
      <c r="G49" s="27">
        <f t="shared" si="28"/>
        <v>-2219.17966262357</v>
      </c>
      <c r="H49" s="27">
        <f t="shared" si="28"/>
        <v>-1959.98616734055</v>
      </c>
      <c r="I49" s="27">
        <f t="shared" si="28"/>
        <v>-72.0347192273483</v>
      </c>
      <c r="J49" s="27">
        <f t="shared" si="28"/>
        <v>1378.14884209344</v>
      </c>
      <c r="K49" s="27">
        <f t="shared" si="28"/>
        <v>0</v>
      </c>
      <c r="L49" s="27">
        <f t="shared" si="28"/>
        <v>0</v>
      </c>
      <c r="M49" s="27">
        <f t="shared" si="28"/>
        <v>0</v>
      </c>
      <c r="N49" s="27">
        <f t="shared" si="28"/>
        <v>0</v>
      </c>
      <c r="O49" s="27">
        <f t="shared" si="28"/>
        <v>0</v>
      </c>
      <c r="P49" s="27">
        <f t="shared" si="28"/>
        <v>0</v>
      </c>
      <c r="Q49" s="27">
        <f t="shared" si="28"/>
        <v>0</v>
      </c>
      <c r="R49" s="27">
        <f t="shared" si="28"/>
        <v>0</v>
      </c>
      <c r="S49" s="27">
        <f t="shared" si="28"/>
        <v>0</v>
      </c>
      <c r="T49" s="27">
        <f t="shared" si="28"/>
        <v>0</v>
      </c>
      <c r="U49" s="27">
        <f t="shared" si="28"/>
        <v>0</v>
      </c>
      <c r="V49" s="27">
        <f t="shared" si="28"/>
        <v>0</v>
      </c>
      <c r="W49" s="27">
        <f t="shared" si="28"/>
        <v>0</v>
      </c>
      <c r="X49" s="27">
        <f t="shared" si="28"/>
        <v>0</v>
      </c>
      <c r="Y49" s="27">
        <f t="shared" si="28"/>
        <v>0</v>
      </c>
      <c r="Z49" s="27">
        <f t="shared" si="28"/>
        <v>0</v>
      </c>
      <c r="AA49" s="27">
        <f t="shared" si="28"/>
        <v>0</v>
      </c>
      <c r="AB49" s="27">
        <f t="shared" si="28"/>
        <v>0</v>
      </c>
      <c r="AC49" s="27">
        <f t="shared" si="28"/>
        <v>0</v>
      </c>
      <c r="AD49" s="27">
        <f t="shared" si="28"/>
        <v>0</v>
      </c>
      <c r="AE49" s="27">
        <f t="shared" si="28"/>
        <v>0</v>
      </c>
      <c r="AF49" s="27">
        <f t="shared" si="28"/>
        <v>0</v>
      </c>
      <c r="AG49" s="25">
        <f t="shared" si="7"/>
        <v>4983.82588297371</v>
      </c>
    </row>
    <row r="50" s="6" customFormat="1" ht="18" customHeight="1" spans="1:33">
      <c r="A50" s="35" t="s">
        <v>167</v>
      </c>
      <c r="B50" s="41" t="s">
        <v>37</v>
      </c>
      <c r="C50" s="24">
        <f t="shared" ref="C50:J50" si="29">(110000+16600+24900)/30</f>
        <v>5050</v>
      </c>
      <c r="D50" s="24">
        <f t="shared" si="29"/>
        <v>5050</v>
      </c>
      <c r="E50" s="24">
        <f t="shared" si="29"/>
        <v>5050</v>
      </c>
      <c r="F50" s="24">
        <f t="shared" si="29"/>
        <v>5050</v>
      </c>
      <c r="G50" s="24">
        <f t="shared" si="29"/>
        <v>5050</v>
      </c>
      <c r="H50" s="24">
        <f t="shared" si="29"/>
        <v>5050</v>
      </c>
      <c r="I50" s="24">
        <f t="shared" si="29"/>
        <v>5050</v>
      </c>
      <c r="J50" s="24">
        <f t="shared" si="29"/>
        <v>5050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5">
        <f t="shared" si="7"/>
        <v>40400</v>
      </c>
    </row>
    <row r="51" s="6" customFormat="1" ht="18" customHeight="1" spans="1:33">
      <c r="A51" s="35"/>
      <c r="B51" s="41" t="s">
        <v>38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25">
        <f t="shared" si="7"/>
        <v>0</v>
      </c>
    </row>
    <row r="52" s="6" customFormat="1" ht="18" customHeight="1" spans="1:33">
      <c r="A52" s="35"/>
      <c r="B52" s="41" t="s">
        <v>39</v>
      </c>
      <c r="C52" s="24">
        <f t="shared" ref="C52:J52" si="30">(14*1130)/30</f>
        <v>527.333333333333</v>
      </c>
      <c r="D52" s="24">
        <f t="shared" si="30"/>
        <v>527.333333333333</v>
      </c>
      <c r="E52" s="24">
        <f t="shared" si="30"/>
        <v>527.333333333333</v>
      </c>
      <c r="F52" s="24">
        <f t="shared" si="30"/>
        <v>527.333333333333</v>
      </c>
      <c r="G52" s="24">
        <f t="shared" si="30"/>
        <v>527.333333333333</v>
      </c>
      <c r="H52" s="24">
        <f t="shared" si="30"/>
        <v>527.333333333333</v>
      </c>
      <c r="I52" s="24">
        <f t="shared" si="30"/>
        <v>527.333333333333</v>
      </c>
      <c r="J52" s="24">
        <f t="shared" si="30"/>
        <v>527.333333333333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5">
        <f t="shared" si="7"/>
        <v>4218.66666666666</v>
      </c>
    </row>
    <row r="53" s="6" customFormat="1" ht="18" customHeight="1" spans="1:33">
      <c r="A53" s="35"/>
      <c r="B53" s="41" t="s">
        <v>168</v>
      </c>
      <c r="C53" s="24">
        <f t="shared" ref="C53:J53" si="31">(4200/30*2)</f>
        <v>280</v>
      </c>
      <c r="D53" s="24">
        <f t="shared" si="31"/>
        <v>280</v>
      </c>
      <c r="E53" s="24">
        <f t="shared" si="31"/>
        <v>280</v>
      </c>
      <c r="F53" s="24">
        <f t="shared" si="31"/>
        <v>280</v>
      </c>
      <c r="G53" s="24">
        <f t="shared" si="31"/>
        <v>280</v>
      </c>
      <c r="H53" s="24">
        <f t="shared" si="31"/>
        <v>280</v>
      </c>
      <c r="I53" s="24">
        <f t="shared" si="31"/>
        <v>280</v>
      </c>
      <c r="J53" s="24">
        <f t="shared" si="31"/>
        <v>280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5">
        <f t="shared" si="7"/>
        <v>2240</v>
      </c>
    </row>
    <row r="54" s="6" customFormat="1" ht="18" customHeight="1" spans="1:33">
      <c r="A54" s="35" t="s">
        <v>153</v>
      </c>
      <c r="B54" s="35"/>
      <c r="C54" s="24">
        <f t="shared" ref="C54:J54" si="32">SUM(C50:C53)</f>
        <v>5857.33333333333</v>
      </c>
      <c r="D54" s="24">
        <f t="shared" si="32"/>
        <v>5857.33333333333</v>
      </c>
      <c r="E54" s="24">
        <f t="shared" si="32"/>
        <v>5857.33333333333</v>
      </c>
      <c r="F54" s="24">
        <f t="shared" si="32"/>
        <v>5857.33333333333</v>
      </c>
      <c r="G54" s="24">
        <f t="shared" si="32"/>
        <v>5857.33333333333</v>
      </c>
      <c r="H54" s="24">
        <f t="shared" si="32"/>
        <v>5857.33333333333</v>
      </c>
      <c r="I54" s="24">
        <f t="shared" si="32"/>
        <v>5857.33333333333</v>
      </c>
      <c r="J54" s="24">
        <f t="shared" si="32"/>
        <v>5857.33333333333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8">
        <f t="shared" si="7"/>
        <v>46858.6666666667</v>
      </c>
    </row>
    <row r="55" s="8" customFormat="1" ht="18" customHeight="1" spans="1:33">
      <c r="A55" s="36" t="s">
        <v>169</v>
      </c>
      <c r="B55" s="37"/>
      <c r="C55" s="38">
        <f t="shared" ref="C55:AG55" si="33">C54/(C5+C6)</f>
        <v>0.0210213012343375</v>
      </c>
      <c r="D55" s="38">
        <f t="shared" si="33"/>
        <v>0.0231477639328541</v>
      </c>
      <c r="E55" s="38">
        <f t="shared" si="33"/>
        <v>0.0230709037723265</v>
      </c>
      <c r="F55" s="38">
        <f t="shared" si="33"/>
        <v>0.0230606398238299</v>
      </c>
      <c r="G55" s="38">
        <f t="shared" si="33"/>
        <v>0.0255115892477333</v>
      </c>
      <c r="H55" s="38">
        <f t="shared" si="33"/>
        <v>0.0256391176011404</v>
      </c>
      <c r="I55" s="38">
        <f t="shared" si="33"/>
        <v>0.0239396304970075</v>
      </c>
      <c r="J55" s="38">
        <f t="shared" si="33"/>
        <v>0.0251116103327446</v>
      </c>
      <c r="K55" s="38" t="e">
        <f t="shared" si="33"/>
        <v>#DIV/0!</v>
      </c>
      <c r="L55" s="38" t="e">
        <f t="shared" si="33"/>
        <v>#DIV/0!</v>
      </c>
      <c r="M55" s="38" t="e">
        <f t="shared" si="33"/>
        <v>#DIV/0!</v>
      </c>
      <c r="N55" s="38" t="e">
        <f t="shared" si="33"/>
        <v>#DIV/0!</v>
      </c>
      <c r="O55" s="38" t="e">
        <f t="shared" si="33"/>
        <v>#DIV/0!</v>
      </c>
      <c r="P55" s="38" t="e">
        <f t="shared" si="33"/>
        <v>#DIV/0!</v>
      </c>
      <c r="Q55" s="38" t="e">
        <f t="shared" si="33"/>
        <v>#DIV/0!</v>
      </c>
      <c r="R55" s="38" t="e">
        <f t="shared" si="33"/>
        <v>#DIV/0!</v>
      </c>
      <c r="S55" s="38" t="e">
        <f t="shared" si="33"/>
        <v>#DIV/0!</v>
      </c>
      <c r="T55" s="38" t="e">
        <f t="shared" si="33"/>
        <v>#DIV/0!</v>
      </c>
      <c r="U55" s="38" t="e">
        <f t="shared" si="33"/>
        <v>#DIV/0!</v>
      </c>
      <c r="V55" s="38" t="e">
        <f t="shared" si="33"/>
        <v>#DIV/0!</v>
      </c>
      <c r="W55" s="38" t="e">
        <f t="shared" si="33"/>
        <v>#DIV/0!</v>
      </c>
      <c r="X55" s="38" t="e">
        <f t="shared" si="33"/>
        <v>#DIV/0!</v>
      </c>
      <c r="Y55" s="38" t="e">
        <f t="shared" si="33"/>
        <v>#DIV/0!</v>
      </c>
      <c r="Z55" s="38" t="e">
        <f t="shared" si="33"/>
        <v>#DIV/0!</v>
      </c>
      <c r="AA55" s="38" t="e">
        <f t="shared" si="33"/>
        <v>#DIV/0!</v>
      </c>
      <c r="AB55" s="38" t="e">
        <f t="shared" si="33"/>
        <v>#DIV/0!</v>
      </c>
      <c r="AC55" s="38" t="e">
        <f t="shared" si="33"/>
        <v>#DIV/0!</v>
      </c>
      <c r="AD55" s="38" t="e">
        <f t="shared" si="33"/>
        <v>#DIV/0!</v>
      </c>
      <c r="AE55" s="38" t="e">
        <f t="shared" si="33"/>
        <v>#DIV/0!</v>
      </c>
      <c r="AF55" s="38" t="e">
        <f t="shared" si="33"/>
        <v>#DIV/0!</v>
      </c>
      <c r="AG55" s="21" t="e">
        <f t="shared" si="7"/>
        <v>#DIV/0!</v>
      </c>
    </row>
    <row r="56" s="7" customFormat="1" ht="18" customHeight="1" spans="1:33">
      <c r="A56" s="14" t="s">
        <v>170</v>
      </c>
      <c r="B56" s="14"/>
      <c r="C56" s="42">
        <f t="shared" ref="C56:AG56" si="34">C54+C47+C48</f>
        <v>36863.6985714286</v>
      </c>
      <c r="D56" s="42">
        <f t="shared" si="34"/>
        <v>35299.6885714286</v>
      </c>
      <c r="E56" s="42">
        <f t="shared" si="34"/>
        <v>35891.5885714286</v>
      </c>
      <c r="F56" s="42">
        <f t="shared" si="34"/>
        <v>35144.1185714286</v>
      </c>
      <c r="G56" s="42">
        <f t="shared" si="34"/>
        <v>35038.5585714286</v>
      </c>
      <c r="H56" s="42">
        <f t="shared" si="34"/>
        <v>34189.3085714286</v>
      </c>
      <c r="I56" s="42">
        <f t="shared" si="34"/>
        <v>34720.7285714286</v>
      </c>
      <c r="J56" s="42">
        <f t="shared" si="34"/>
        <v>34567.0585714286</v>
      </c>
      <c r="K56" s="42">
        <f t="shared" si="34"/>
        <v>0</v>
      </c>
      <c r="L56" s="42">
        <f t="shared" si="34"/>
        <v>0</v>
      </c>
      <c r="M56" s="42">
        <f t="shared" si="34"/>
        <v>0</v>
      </c>
      <c r="N56" s="42">
        <f t="shared" si="34"/>
        <v>0</v>
      </c>
      <c r="O56" s="42">
        <f t="shared" si="34"/>
        <v>0</v>
      </c>
      <c r="P56" s="42">
        <f t="shared" si="34"/>
        <v>0</v>
      </c>
      <c r="Q56" s="42">
        <f t="shared" si="34"/>
        <v>0</v>
      </c>
      <c r="R56" s="42">
        <f t="shared" si="34"/>
        <v>0</v>
      </c>
      <c r="S56" s="42">
        <f t="shared" si="34"/>
        <v>0</v>
      </c>
      <c r="T56" s="42">
        <f t="shared" si="34"/>
        <v>0</v>
      </c>
      <c r="U56" s="42">
        <f t="shared" si="34"/>
        <v>0</v>
      </c>
      <c r="V56" s="42">
        <f t="shared" si="34"/>
        <v>0</v>
      </c>
      <c r="W56" s="42">
        <f t="shared" si="34"/>
        <v>0</v>
      </c>
      <c r="X56" s="42">
        <f t="shared" si="34"/>
        <v>0</v>
      </c>
      <c r="Y56" s="42">
        <f t="shared" si="34"/>
        <v>0</v>
      </c>
      <c r="Z56" s="42">
        <f t="shared" si="34"/>
        <v>0</v>
      </c>
      <c r="AA56" s="42">
        <f t="shared" si="34"/>
        <v>0</v>
      </c>
      <c r="AB56" s="42">
        <f t="shared" si="34"/>
        <v>0</v>
      </c>
      <c r="AC56" s="42">
        <f t="shared" si="34"/>
        <v>0</v>
      </c>
      <c r="AD56" s="42">
        <f t="shared" si="34"/>
        <v>0</v>
      </c>
      <c r="AE56" s="42">
        <f t="shared" si="34"/>
        <v>0</v>
      </c>
      <c r="AF56" s="42">
        <f t="shared" si="34"/>
        <v>0</v>
      </c>
      <c r="AG56" s="21">
        <f t="shared" si="7"/>
        <v>281714.748571429</v>
      </c>
    </row>
    <row r="57" s="8" customFormat="1" ht="18" customHeight="1" spans="1:33">
      <c r="A57" s="43" t="s">
        <v>171</v>
      </c>
      <c r="B57" s="44"/>
      <c r="C57" s="45">
        <f t="shared" ref="C57:AG57" si="35">C56/(C5+C6)</f>
        <v>0.13229960942667</v>
      </c>
      <c r="D57" s="45">
        <f t="shared" si="35"/>
        <v>0.139501853736859</v>
      </c>
      <c r="E57" s="45">
        <f t="shared" si="35"/>
        <v>0.141370029507289</v>
      </c>
      <c r="F57" s="45">
        <f t="shared" si="35"/>
        <v>0.138364305765141</v>
      </c>
      <c r="G57" s="45">
        <f t="shared" si="35"/>
        <v>0.15261028581384</v>
      </c>
      <c r="H57" s="45">
        <f t="shared" si="35"/>
        <v>0.149655765393445</v>
      </c>
      <c r="I57" s="45">
        <f t="shared" si="35"/>
        <v>0.141907821406822</v>
      </c>
      <c r="J57" s="45">
        <f t="shared" si="35"/>
        <v>0.148196193693639</v>
      </c>
      <c r="K57" s="45" t="e">
        <f t="shared" si="35"/>
        <v>#DIV/0!</v>
      </c>
      <c r="L57" s="45" t="e">
        <f t="shared" si="35"/>
        <v>#DIV/0!</v>
      </c>
      <c r="M57" s="45" t="e">
        <f t="shared" si="35"/>
        <v>#DIV/0!</v>
      </c>
      <c r="N57" s="45" t="e">
        <f t="shared" si="35"/>
        <v>#DIV/0!</v>
      </c>
      <c r="O57" s="45" t="e">
        <f t="shared" si="35"/>
        <v>#DIV/0!</v>
      </c>
      <c r="P57" s="45" t="e">
        <f t="shared" si="35"/>
        <v>#DIV/0!</v>
      </c>
      <c r="Q57" s="45" t="e">
        <f t="shared" si="35"/>
        <v>#DIV/0!</v>
      </c>
      <c r="R57" s="45" t="e">
        <f t="shared" si="35"/>
        <v>#DIV/0!</v>
      </c>
      <c r="S57" s="45" t="e">
        <f t="shared" si="35"/>
        <v>#DIV/0!</v>
      </c>
      <c r="T57" s="45" t="e">
        <f t="shared" si="35"/>
        <v>#DIV/0!</v>
      </c>
      <c r="U57" s="45" t="e">
        <f t="shared" si="35"/>
        <v>#DIV/0!</v>
      </c>
      <c r="V57" s="45" t="e">
        <f t="shared" si="35"/>
        <v>#DIV/0!</v>
      </c>
      <c r="W57" s="45" t="e">
        <f t="shared" si="35"/>
        <v>#DIV/0!</v>
      </c>
      <c r="X57" s="45" t="e">
        <f t="shared" si="35"/>
        <v>#DIV/0!</v>
      </c>
      <c r="Y57" s="45" t="e">
        <f t="shared" si="35"/>
        <v>#DIV/0!</v>
      </c>
      <c r="Z57" s="45" t="e">
        <f t="shared" si="35"/>
        <v>#DIV/0!</v>
      </c>
      <c r="AA57" s="45" t="e">
        <f t="shared" si="35"/>
        <v>#DIV/0!</v>
      </c>
      <c r="AB57" s="45" t="e">
        <f t="shared" si="35"/>
        <v>#DIV/0!</v>
      </c>
      <c r="AC57" s="45" t="e">
        <f t="shared" si="35"/>
        <v>#DIV/0!</v>
      </c>
      <c r="AD57" s="45" t="e">
        <f t="shared" si="35"/>
        <v>#DIV/0!</v>
      </c>
      <c r="AE57" s="45" t="e">
        <f t="shared" si="35"/>
        <v>#DIV/0!</v>
      </c>
      <c r="AF57" s="45" t="e">
        <f t="shared" si="35"/>
        <v>#DIV/0!</v>
      </c>
      <c r="AG57" s="23" t="e">
        <f t="shared" si="7"/>
        <v>#DIV/0!</v>
      </c>
    </row>
    <row r="58" s="7" customFormat="1" ht="18" customHeight="1" spans="1:33">
      <c r="A58" s="14" t="s">
        <v>172</v>
      </c>
      <c r="B58" s="14"/>
      <c r="C58" s="27">
        <f t="shared" ref="C58:AG58" si="36">ROUND(C14-C56,2)</f>
        <v>-2937.73</v>
      </c>
      <c r="D58" s="27">
        <f t="shared" si="36"/>
        <v>-3383.57</v>
      </c>
      <c r="E58" s="27">
        <f t="shared" si="36"/>
        <v>-4619.92</v>
      </c>
      <c r="F58" s="27">
        <f t="shared" si="36"/>
        <v>-4631.24</v>
      </c>
      <c r="G58" s="27">
        <f t="shared" si="36"/>
        <v>-8076.51</v>
      </c>
      <c r="H58" s="27">
        <f t="shared" si="36"/>
        <v>-7817.32</v>
      </c>
      <c r="I58" s="27">
        <f t="shared" si="36"/>
        <v>-5929.37</v>
      </c>
      <c r="J58" s="27">
        <f t="shared" si="36"/>
        <v>-4479.18</v>
      </c>
      <c r="K58" s="27">
        <f t="shared" si="36"/>
        <v>0</v>
      </c>
      <c r="L58" s="27">
        <f t="shared" si="36"/>
        <v>0</v>
      </c>
      <c r="M58" s="27">
        <f t="shared" si="36"/>
        <v>0</v>
      </c>
      <c r="N58" s="27">
        <f t="shared" si="36"/>
        <v>0</v>
      </c>
      <c r="O58" s="27">
        <f t="shared" si="36"/>
        <v>0</v>
      </c>
      <c r="P58" s="27">
        <f t="shared" si="36"/>
        <v>0</v>
      </c>
      <c r="Q58" s="27">
        <f t="shared" si="36"/>
        <v>0</v>
      </c>
      <c r="R58" s="27">
        <f t="shared" si="36"/>
        <v>0</v>
      </c>
      <c r="S58" s="27">
        <f t="shared" si="36"/>
        <v>0</v>
      </c>
      <c r="T58" s="27">
        <f t="shared" si="36"/>
        <v>0</v>
      </c>
      <c r="U58" s="27">
        <f t="shared" si="36"/>
        <v>0</v>
      </c>
      <c r="V58" s="27">
        <f t="shared" si="36"/>
        <v>0</v>
      </c>
      <c r="W58" s="27">
        <f t="shared" si="36"/>
        <v>0</v>
      </c>
      <c r="X58" s="27">
        <f t="shared" si="36"/>
        <v>0</v>
      </c>
      <c r="Y58" s="27">
        <f t="shared" si="36"/>
        <v>0</v>
      </c>
      <c r="Z58" s="27">
        <f t="shared" si="36"/>
        <v>0</v>
      </c>
      <c r="AA58" s="27">
        <f t="shared" si="36"/>
        <v>0</v>
      </c>
      <c r="AB58" s="27">
        <f t="shared" si="36"/>
        <v>0</v>
      </c>
      <c r="AC58" s="27">
        <f t="shared" si="36"/>
        <v>0</v>
      </c>
      <c r="AD58" s="27">
        <f t="shared" si="36"/>
        <v>0</v>
      </c>
      <c r="AE58" s="27">
        <f t="shared" si="36"/>
        <v>0</v>
      </c>
      <c r="AF58" s="27">
        <f t="shared" si="36"/>
        <v>0</v>
      </c>
      <c r="AG58" s="21">
        <f t="shared" si="7"/>
        <v>-41874.84</v>
      </c>
    </row>
    <row r="59" s="9" customFormat="1" ht="94" customHeight="1" spans="1:33">
      <c r="A59" s="46" t="s">
        <v>173</v>
      </c>
      <c r="B59" s="46"/>
      <c r="C59" s="47" t="s">
        <v>174</v>
      </c>
      <c r="D59" s="47" t="s">
        <v>175</v>
      </c>
      <c r="E59" s="47" t="s">
        <v>176</v>
      </c>
      <c r="F59" s="47"/>
      <c r="G59" s="47" t="s">
        <v>175</v>
      </c>
      <c r="H59" s="47"/>
      <c r="I59" s="47"/>
      <c r="J59" s="48"/>
      <c r="K59" s="47"/>
      <c r="L59" s="49"/>
      <c r="M59" s="50"/>
      <c r="N59" s="47"/>
      <c r="O59" s="50"/>
      <c r="P59" s="47"/>
      <c r="Q59" s="51"/>
      <c r="R59" s="47"/>
      <c r="S59" s="47"/>
      <c r="T59" s="47"/>
      <c r="U59" s="47"/>
      <c r="V59" s="51"/>
      <c r="W59" s="47"/>
      <c r="X59" s="47"/>
      <c r="Y59" s="51"/>
      <c r="Z59" s="52"/>
      <c r="AA59" s="47"/>
      <c r="AB59" s="47"/>
      <c r="AC59" s="47"/>
      <c r="AD59" s="47"/>
      <c r="AE59" s="47"/>
      <c r="AF59" s="47"/>
      <c r="AG59" s="53"/>
    </row>
    <row r="60" s="6" customFormat="1" ht="15.6" spans="1:33">
      <c r="A60" s="54" t="s">
        <v>58</v>
      </c>
      <c r="B60" s="55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</row>
    <row r="61" s="6" customFormat="1" ht="18" customHeight="1" spans="1:33">
      <c r="A61" s="57"/>
      <c r="B61" s="57"/>
      <c r="C61" s="58"/>
      <c r="D61" s="58"/>
      <c r="E61" s="58"/>
      <c r="F61" s="58"/>
      <c r="G61" s="58"/>
      <c r="H61" s="59"/>
      <c r="I61" s="60"/>
      <c r="J61" s="60"/>
      <c r="K61" s="60"/>
      <c r="L61" s="60"/>
      <c r="M61" s="60"/>
    </row>
    <row r="62" s="6" customFormat="1" ht="18" customHeight="1" spans="1:33">
      <c r="A62" s="57"/>
      <c r="B62" s="57"/>
    </row>
    <row r="63" s="6" customFormat="1" ht="18" customHeight="1" spans="1:33">
      <c r="A63" s="57"/>
      <c r="B63" s="57"/>
    </row>
    <row r="64" s="6" customFormat="1" ht="18" customHeight="1" spans="1:33">
      <c r="A64" s="57"/>
      <c r="B64" s="57"/>
    </row>
    <row r="65" s="6" customFormat="1" ht="18" customHeight="1" spans="1:33">
      <c r="A65" s="57"/>
      <c r="B65" s="57"/>
    </row>
    <row r="66" s="6" customFormat="1" ht="18" customHeight="1" spans="1:33">
      <c r="A66" s="57"/>
      <c r="B66" s="57"/>
    </row>
    <row r="67" s="6" customFormat="1" ht="18" customHeight="1" spans="1:33">
      <c r="A67" s="55"/>
      <c r="B67" s="5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G67" s="56"/>
    </row>
    <row r="68" s="6" customFormat="1" ht="18" customHeight="1" spans="1:33">
      <c r="A68" s="57"/>
      <c r="B68" s="57"/>
    </row>
    <row r="69" s="6" customFormat="1" ht="18" customHeight="1" spans="1:33">
      <c r="A69" s="57"/>
      <c r="B69" s="57"/>
    </row>
    <row r="70" s="6" customFormat="1" ht="18" customHeight="1" spans="1:33">
      <c r="A70" s="57"/>
      <c r="B70" s="57"/>
    </row>
    <row r="71" s="6" customFormat="1" spans="1:33">
      <c r="A71" s="57"/>
      <c r="B71" s="57"/>
    </row>
    <row r="72" s="6" customFormat="1" spans="1:33">
      <c r="A72" s="57"/>
      <c r="B72" s="57"/>
      <c r="C72" s="61"/>
    </row>
    <row r="73" s="6" customFormat="1" spans="1:33">
      <c r="A73" s="57"/>
      <c r="B73" s="57"/>
    </row>
    <row r="74" s="6" customFormat="1" spans="1:33">
      <c r="A74" s="57"/>
      <c r="B74" s="57"/>
    </row>
    <row r="75" s="6" customFormat="1" spans="1:33">
      <c r="A75" s="57"/>
      <c r="B75" s="57"/>
    </row>
    <row r="76" s="6" customFormat="1" spans="1:33">
      <c r="A76" s="57"/>
      <c r="B76" s="57"/>
    </row>
    <row r="77" s="6" customFormat="1" spans="1:33">
      <c r="A77" s="57"/>
      <c r="B77" s="57"/>
    </row>
    <row r="78" s="6" customFormat="1" spans="1:33">
      <c r="A78" s="57"/>
      <c r="B78" s="57"/>
    </row>
    <row r="79" s="6" customFormat="1" spans="1:33">
      <c r="A79" s="57"/>
      <c r="B79" s="57"/>
    </row>
    <row r="80" s="6" customFormat="1" spans="1:33">
      <c r="A80" s="57"/>
      <c r="B80" s="57"/>
    </row>
    <row r="81" s="6" customFormat="1" spans="1:2">
      <c r="A81" s="57"/>
      <c r="B81" s="57"/>
    </row>
    <row r="82" s="6" customFormat="1" spans="1:2">
      <c r="A82" s="57"/>
      <c r="B82" s="57"/>
    </row>
    <row r="83" s="6" customFormat="1" spans="1:2">
      <c r="A83" s="57"/>
      <c r="B83" s="57"/>
    </row>
    <row r="84" s="6" customFormat="1" spans="1:2">
      <c r="A84" s="57"/>
      <c r="B84" s="57"/>
    </row>
    <row r="85" s="6" customFormat="1" spans="1:2">
      <c r="A85" s="57"/>
      <c r="B85" s="57"/>
    </row>
    <row r="86" s="6" customFormat="1" spans="1:2">
      <c r="A86" s="57"/>
      <c r="B86" s="57"/>
    </row>
    <row r="87" s="6" customFormat="1" spans="1:2">
      <c r="A87" s="57"/>
      <c r="B87" s="57"/>
    </row>
    <row r="88" s="6" customFormat="1" spans="1:2">
      <c r="A88" s="57"/>
      <c r="B88" s="57"/>
    </row>
    <row r="89" s="6" customFormat="1" spans="1:2">
      <c r="A89" s="57"/>
      <c r="B89" s="57"/>
    </row>
    <row r="90" s="6" customFormat="1" spans="1:2">
      <c r="A90" s="57"/>
      <c r="B90" s="57"/>
    </row>
    <row r="91" s="6" customFormat="1" spans="1:2">
      <c r="A91" s="57"/>
      <c r="B91" s="57"/>
    </row>
    <row r="92" s="6" customFormat="1" spans="1:2">
      <c r="A92" s="57"/>
      <c r="B92" s="57"/>
    </row>
    <row r="93" s="6" customFormat="1" spans="1:2">
      <c r="A93" s="57"/>
      <c r="B93" s="57"/>
    </row>
    <row r="94" s="6" customFormat="1" spans="1:2">
      <c r="A94" s="57"/>
      <c r="B94" s="57"/>
    </row>
    <row r="95" s="6" customFormat="1" spans="1:2">
      <c r="A95" s="57"/>
      <c r="B95" s="57"/>
    </row>
    <row r="96" s="6" customFormat="1" spans="1:2">
      <c r="A96" s="57"/>
      <c r="B96" s="57"/>
    </row>
    <row r="97" s="6" customFormat="1" spans="1:2">
      <c r="A97" s="57"/>
      <c r="B97" s="57"/>
    </row>
    <row r="98" s="6" customFormat="1" spans="1:2">
      <c r="A98" s="57"/>
      <c r="B98" s="57"/>
    </row>
    <row r="99" s="6" customFormat="1" spans="1:2">
      <c r="A99" s="57"/>
      <c r="B99" s="57"/>
    </row>
    <row r="100" s="6" customFormat="1" spans="1:2">
      <c r="A100" s="57"/>
      <c r="B100" s="57"/>
    </row>
    <row r="101" s="6" customFormat="1" spans="1:2">
      <c r="A101" s="57"/>
      <c r="B101" s="57"/>
    </row>
    <row r="102" s="6" customFormat="1" spans="1:2">
      <c r="A102" s="57"/>
      <c r="B102" s="57"/>
    </row>
    <row r="103" s="6" customFormat="1" spans="1:2">
      <c r="A103" s="57"/>
      <c r="B103" s="57"/>
    </row>
    <row r="104" s="6" customFormat="1" spans="1:2">
      <c r="A104" s="57"/>
      <c r="B104" s="57"/>
    </row>
    <row r="105" s="6" customFormat="1" spans="1:2">
      <c r="A105" s="57"/>
      <c r="B105" s="57"/>
    </row>
    <row r="106" s="6" customFormat="1" spans="1:2">
      <c r="A106" s="57"/>
      <c r="B106" s="57"/>
    </row>
    <row r="107" s="6" customFormat="1" spans="1:2">
      <c r="A107" s="57"/>
      <c r="B107" s="57"/>
    </row>
    <row r="108" s="6" customFormat="1" spans="1:2">
      <c r="A108" s="57"/>
      <c r="B108" s="57"/>
    </row>
    <row r="109" s="6" customFormat="1" spans="1:2">
      <c r="A109" s="57"/>
      <c r="B109" s="57"/>
    </row>
    <row r="110" s="6" customFormat="1" spans="1:2">
      <c r="A110" s="57"/>
      <c r="B110" s="57"/>
    </row>
    <row r="111" s="6" customFormat="1" spans="1:2">
      <c r="A111" s="57"/>
      <c r="B111" s="57"/>
    </row>
    <row r="112" s="6" customFormat="1" spans="1:2">
      <c r="A112" s="57"/>
      <c r="B112" s="57"/>
    </row>
    <row r="113" s="6" customFormat="1" spans="1:2">
      <c r="A113" s="57"/>
      <c r="B113" s="57"/>
    </row>
    <row r="114" s="6" customFormat="1" spans="1:2">
      <c r="A114" s="57"/>
      <c r="B114" s="57"/>
    </row>
    <row r="115" s="6" customFormat="1" spans="1:2">
      <c r="A115" s="57"/>
      <c r="B115" s="57"/>
    </row>
    <row r="116" s="6" customFormat="1" spans="1:2">
      <c r="A116" s="57"/>
      <c r="B116" s="57"/>
    </row>
    <row r="117" s="6" customFormat="1" spans="1:2">
      <c r="A117" s="57"/>
      <c r="B117" s="57"/>
    </row>
    <row r="118" s="6" customFormat="1" spans="1:2">
      <c r="A118" s="57"/>
      <c r="B118" s="57"/>
    </row>
    <row r="119" s="6" customFormat="1" spans="1:2">
      <c r="A119" s="57"/>
      <c r="B119" s="57"/>
    </row>
    <row r="120" s="6" customFormat="1" spans="1:2">
      <c r="A120" s="57"/>
      <c r="B120" s="57"/>
    </row>
    <row r="121" s="6" customFormat="1" spans="1:2">
      <c r="A121" s="57"/>
      <c r="B121" s="57"/>
    </row>
    <row r="122" s="6" customFormat="1" spans="1:2">
      <c r="A122" s="57"/>
      <c r="B122" s="57"/>
    </row>
    <row r="123" s="6" customFormat="1" spans="1:2">
      <c r="A123" s="57"/>
      <c r="B123" s="57"/>
    </row>
    <row r="124" s="6" customFormat="1" spans="1:2">
      <c r="A124" s="57"/>
      <c r="B124" s="57"/>
    </row>
    <row r="125" s="6" customFormat="1" spans="1:2">
      <c r="A125" s="57"/>
      <c r="B125" s="57"/>
    </row>
    <row r="126" s="6" customFormat="1" spans="1:2">
      <c r="A126" s="57"/>
      <c r="B126" s="57"/>
    </row>
    <row r="127" s="6" customFormat="1" spans="1:2">
      <c r="A127" s="57"/>
      <c r="B127" s="57"/>
    </row>
    <row r="128" s="6" customFormat="1" spans="1:2">
      <c r="A128" s="57"/>
      <c r="B128" s="57"/>
    </row>
    <row r="129" s="6" customFormat="1" spans="1:2">
      <c r="A129" s="57"/>
      <c r="B129" s="57"/>
    </row>
    <row r="130" s="6" customFormat="1" spans="1:2">
      <c r="A130" s="57"/>
      <c r="B130" s="57"/>
    </row>
    <row r="131" s="6" customFormat="1" spans="1:2">
      <c r="A131" s="57"/>
      <c r="B131" s="57"/>
    </row>
    <row r="132" s="6" customFormat="1" spans="1:2">
      <c r="A132" s="57"/>
      <c r="B132" s="57"/>
    </row>
    <row r="133" s="6" customFormat="1" spans="1:2">
      <c r="A133" s="57"/>
      <c r="B133" s="57"/>
    </row>
    <row r="134" s="6" customFormat="1" spans="1:2">
      <c r="A134" s="57"/>
      <c r="B134" s="57"/>
    </row>
    <row r="135" s="6" customFormat="1" spans="1:2">
      <c r="A135" s="57"/>
      <c r="B135" s="57"/>
    </row>
    <row r="136" s="6" customFormat="1" spans="1:2">
      <c r="A136" s="57"/>
      <c r="B136" s="57"/>
    </row>
    <row r="137" s="6" customFormat="1" spans="1:2">
      <c r="A137" s="57"/>
      <c r="B137" s="57"/>
    </row>
    <row r="138" s="6" customFormat="1" spans="1:2">
      <c r="A138" s="57"/>
      <c r="B138" s="57"/>
    </row>
    <row r="139" s="6" customFormat="1" spans="1:2">
      <c r="A139" s="57"/>
      <c r="B139" s="57"/>
    </row>
    <row r="140" s="6" customFormat="1" spans="1:2">
      <c r="A140" s="57"/>
      <c r="B140" s="57"/>
    </row>
    <row r="141" s="6" customFormat="1" spans="1:2">
      <c r="A141" s="57"/>
      <c r="B141" s="57"/>
    </row>
    <row r="142" s="6" customFormat="1" spans="1:2">
      <c r="A142" s="57"/>
      <c r="B142" s="57"/>
    </row>
    <row r="143" s="6" customFormat="1" spans="1:2">
      <c r="A143" s="57"/>
      <c r="B143" s="57"/>
    </row>
    <row r="144" s="6" customFormat="1" spans="1:2">
      <c r="A144" s="57"/>
      <c r="B144" s="57"/>
    </row>
    <row r="145" s="6" customFormat="1" spans="1:2">
      <c r="A145" s="57"/>
      <c r="B145" s="57"/>
    </row>
    <row r="146" s="6" customFormat="1" spans="1:2">
      <c r="A146" s="57"/>
      <c r="B146" s="57"/>
    </row>
    <row r="147" s="6" customFormat="1" spans="1:2">
      <c r="A147" s="57"/>
      <c r="B147" s="57"/>
    </row>
    <row r="148" s="6" customFormat="1" spans="1:2">
      <c r="A148" s="57"/>
      <c r="B148" s="57"/>
    </row>
    <row r="149" s="6" customFormat="1" spans="1:2">
      <c r="A149" s="57"/>
      <c r="B149" s="57"/>
    </row>
    <row r="150" s="6" customFormat="1" spans="1:2">
      <c r="A150" s="57"/>
      <c r="B150" s="57"/>
    </row>
    <row r="151" s="6" customFormat="1" spans="1:2">
      <c r="A151" s="57"/>
      <c r="B151" s="57"/>
    </row>
    <row r="152" s="6" customFormat="1" spans="1:2">
      <c r="A152" s="57"/>
      <c r="B152" s="57"/>
    </row>
    <row r="153" s="6" customFormat="1" spans="1:2">
      <c r="A153" s="57"/>
      <c r="B153" s="57"/>
    </row>
    <row r="154" s="6" customFormat="1" spans="1:2">
      <c r="A154" s="57"/>
      <c r="B154" s="57"/>
    </row>
    <row r="155" s="6" customFormat="1" spans="1:2">
      <c r="A155" s="57"/>
      <c r="B155" s="57"/>
    </row>
    <row r="156" s="6" customFormat="1" spans="1:2">
      <c r="A156" s="57"/>
      <c r="B156" s="57"/>
    </row>
    <row r="157" s="6" customFormat="1" spans="1:2">
      <c r="A157" s="57"/>
      <c r="B157" s="57"/>
    </row>
    <row r="158" s="6" customFormat="1" spans="1:2">
      <c r="A158" s="57"/>
      <c r="B158" s="57"/>
    </row>
    <row r="159" s="6" customFormat="1" spans="1:2">
      <c r="A159" s="57"/>
      <c r="B159" s="57"/>
    </row>
    <row r="160" s="6" customFormat="1" spans="1:2">
      <c r="A160" s="57"/>
      <c r="B160" s="57"/>
    </row>
    <row r="161" s="6" customFormat="1" spans="1:2">
      <c r="A161" s="57"/>
      <c r="B161" s="57"/>
    </row>
    <row r="162" s="6" customFormat="1" spans="1:2">
      <c r="A162" s="57"/>
      <c r="B162" s="57"/>
    </row>
    <row r="163" s="6" customFormat="1" spans="1:2">
      <c r="A163" s="57"/>
      <c r="B163" s="57"/>
    </row>
    <row r="164" s="6" customFormat="1" spans="1:2">
      <c r="A164" s="57"/>
      <c r="B164" s="57"/>
    </row>
    <row r="165" s="6" customFormat="1" spans="1:2">
      <c r="A165" s="57"/>
      <c r="B165" s="57"/>
    </row>
    <row r="166" s="6" customFormat="1" spans="1:2">
      <c r="A166" s="57"/>
      <c r="B166" s="57"/>
    </row>
    <row r="167" s="6" customFormat="1" spans="1:2">
      <c r="A167" s="57"/>
      <c r="B167" s="57"/>
    </row>
    <row r="168" s="6" customFormat="1" spans="1:2">
      <c r="A168" s="57"/>
      <c r="B168" s="57"/>
    </row>
    <row r="169" s="6" customFormat="1" spans="1:2">
      <c r="A169" s="57"/>
      <c r="B169" s="57"/>
    </row>
    <row r="170" s="6" customFormat="1" spans="1:2">
      <c r="A170" s="57"/>
      <c r="B170" s="57"/>
    </row>
    <row r="171" s="6" customFormat="1" spans="1:2">
      <c r="A171" s="57"/>
      <c r="B171" s="57"/>
    </row>
    <row r="172" s="6" customFormat="1" spans="1:2">
      <c r="A172" s="57"/>
      <c r="B172" s="57"/>
    </row>
    <row r="173" s="6" customFormat="1" spans="1:2">
      <c r="A173" s="57"/>
      <c r="B173" s="57"/>
    </row>
    <row r="174" s="6" customFormat="1" spans="1:2">
      <c r="A174" s="57"/>
      <c r="B174" s="57"/>
    </row>
    <row r="175" s="6" customFormat="1" spans="1:2">
      <c r="A175" s="57"/>
      <c r="B175" s="57"/>
    </row>
    <row r="176" s="6" customFormat="1" spans="1:2">
      <c r="A176" s="57"/>
      <c r="B176" s="57"/>
    </row>
    <row r="177" s="6" customFormat="1" spans="1:2">
      <c r="A177" s="57"/>
      <c r="B177" s="57"/>
    </row>
    <row r="178" s="6" customFormat="1" spans="1:2">
      <c r="A178" s="57"/>
      <c r="B178" s="57"/>
    </row>
    <row r="179" s="6" customFormat="1" spans="1:2">
      <c r="A179" s="57"/>
      <c r="B179" s="57"/>
    </row>
    <row r="180" s="6" customFormat="1" spans="1:2">
      <c r="A180" s="57"/>
      <c r="B180" s="57"/>
    </row>
    <row r="181" s="6" customFormat="1" spans="1:2">
      <c r="A181" s="57"/>
      <c r="B181" s="57"/>
    </row>
    <row r="182" s="6" customFormat="1" spans="1:2">
      <c r="A182" s="57"/>
      <c r="B182" s="57"/>
    </row>
    <row r="183" s="6" customFormat="1" spans="1:2">
      <c r="A183" s="57"/>
      <c r="B183" s="57"/>
    </row>
    <row r="184" s="6" customFormat="1" spans="1:2">
      <c r="A184" s="57"/>
      <c r="B184" s="57"/>
    </row>
    <row r="185" s="6" customFormat="1" spans="1:2">
      <c r="A185" s="57"/>
      <c r="B185" s="57"/>
    </row>
    <row r="186" s="6" customFormat="1" spans="1:2">
      <c r="A186" s="57"/>
      <c r="B186" s="57"/>
    </row>
    <row r="187" s="6" customFormat="1" spans="1:2">
      <c r="A187" s="57"/>
      <c r="B187" s="57"/>
    </row>
    <row r="188" s="6" customFormat="1" spans="1:2">
      <c r="A188" s="57"/>
      <c r="B188" s="57"/>
    </row>
    <row r="189" s="6" customFormat="1" spans="1:2">
      <c r="A189" s="57"/>
      <c r="B189" s="57"/>
    </row>
    <row r="190" s="6" customFormat="1" spans="1:2">
      <c r="A190" s="57"/>
      <c r="B190" s="57"/>
    </row>
    <row r="191" s="6" customFormat="1" spans="1:2">
      <c r="A191" s="57"/>
      <c r="B191" s="57"/>
    </row>
    <row r="192" s="6" customFormat="1" spans="1:2">
      <c r="A192" s="57"/>
      <c r="B192" s="57"/>
    </row>
    <row r="193" s="6" customFormat="1" spans="1:2">
      <c r="A193" s="57"/>
      <c r="B193" s="57"/>
    </row>
    <row r="194" s="6" customFormat="1" spans="1:2">
      <c r="A194" s="57"/>
      <c r="B194" s="57"/>
    </row>
    <row r="195" s="6" customFormat="1" spans="1:2">
      <c r="A195" s="57"/>
      <c r="B195" s="57"/>
    </row>
    <row r="196" s="6" customFormat="1" spans="1:2">
      <c r="A196" s="57"/>
      <c r="B196" s="57"/>
    </row>
    <row r="197" s="6" customFormat="1" spans="1:2">
      <c r="A197" s="57"/>
      <c r="B197" s="57"/>
    </row>
    <row r="198" s="6" customFormat="1" spans="1:2">
      <c r="A198" s="57"/>
      <c r="B198" s="57"/>
    </row>
    <row r="199" s="6" customFormat="1" spans="1:2">
      <c r="A199" s="57"/>
      <c r="B199" s="57"/>
    </row>
    <row r="200" s="6" customFormat="1" spans="1:2">
      <c r="A200" s="57"/>
      <c r="B200" s="57"/>
    </row>
    <row r="201" s="6" customFormat="1" spans="1:2">
      <c r="A201" s="57"/>
      <c r="B201" s="57"/>
    </row>
    <row r="202" s="6" customFormat="1" spans="1:2">
      <c r="A202" s="57"/>
      <c r="B202" s="57"/>
    </row>
    <row r="203" s="6" customFormat="1" spans="1:2">
      <c r="A203" s="57"/>
      <c r="B203" s="57"/>
    </row>
    <row r="204" s="6" customFormat="1" spans="1:2">
      <c r="A204" s="57"/>
      <c r="B204" s="57"/>
    </row>
    <row r="205" s="6" customFormat="1" spans="1:2">
      <c r="A205" s="57"/>
      <c r="B205" s="57"/>
    </row>
    <row r="206" s="6" customFormat="1" spans="1:2">
      <c r="A206" s="57"/>
      <c r="B206" s="57"/>
    </row>
    <row r="207" s="6" customFormat="1" spans="1:2">
      <c r="A207" s="57"/>
      <c r="B207" s="57"/>
    </row>
    <row r="208" s="6" customFormat="1" spans="1:2">
      <c r="A208" s="57"/>
      <c r="B208" s="57"/>
    </row>
    <row r="209" s="6" customFormat="1" spans="1:2">
      <c r="A209" s="57"/>
      <c r="B209" s="57"/>
    </row>
    <row r="210" s="6" customFormat="1" spans="1:2">
      <c r="A210" s="57"/>
      <c r="B210" s="57"/>
    </row>
    <row r="211" s="6" customFormat="1" spans="1:2">
      <c r="A211" s="57"/>
      <c r="B211" s="57"/>
    </row>
    <row r="212" s="6" customFormat="1" spans="1:2">
      <c r="A212" s="57"/>
      <c r="B212" s="57"/>
    </row>
    <row r="213" s="6" customFormat="1" spans="1:2">
      <c r="A213" s="57"/>
      <c r="B213" s="57"/>
    </row>
    <row r="214" s="6" customFormat="1" spans="1:2">
      <c r="A214" s="57"/>
      <c r="B214" s="57"/>
    </row>
    <row r="215" s="6" customFormat="1" spans="1:2">
      <c r="A215" s="57"/>
      <c r="B215" s="57"/>
    </row>
    <row r="216" s="6" customFormat="1" spans="1:2">
      <c r="A216" s="57"/>
      <c r="B216" s="57"/>
    </row>
    <row r="217" s="6" customFormat="1" spans="1:2">
      <c r="A217" s="57"/>
      <c r="B217" s="57"/>
    </row>
    <row r="218" s="6" customFormat="1" spans="1:2">
      <c r="A218" s="57"/>
      <c r="B218" s="57"/>
    </row>
    <row r="219" s="6" customFormat="1" spans="1:2">
      <c r="A219" s="57"/>
      <c r="B219" s="57"/>
    </row>
    <row r="220" s="6" customFormat="1" spans="1:2">
      <c r="A220" s="57"/>
      <c r="B220" s="57"/>
    </row>
    <row r="221" s="6" customFormat="1" spans="1:2">
      <c r="A221" s="57"/>
      <c r="B221" s="57"/>
    </row>
    <row r="222" s="6" customFormat="1" spans="1:2">
      <c r="A222" s="57"/>
      <c r="B222" s="57"/>
    </row>
    <row r="223" s="6" customFormat="1" spans="1:2">
      <c r="A223" s="57"/>
      <c r="B223" s="57"/>
    </row>
    <row r="224" s="6" customFormat="1" spans="1:2">
      <c r="A224" s="57"/>
      <c r="B224" s="57"/>
    </row>
    <row r="225" s="6" customFormat="1" spans="1:2">
      <c r="A225" s="57"/>
      <c r="B225" s="57"/>
    </row>
    <row r="226" s="6" customFormat="1" spans="1:2">
      <c r="A226" s="57"/>
      <c r="B226" s="57"/>
    </row>
    <row r="227" s="6" customFormat="1" spans="1:2">
      <c r="A227" s="57"/>
      <c r="B227" s="57"/>
    </row>
    <row r="228" s="6" customFormat="1" spans="1:2">
      <c r="A228" s="57"/>
      <c r="B228" s="57"/>
    </row>
    <row r="229" s="6" customFormat="1" spans="1:2">
      <c r="A229" s="57"/>
      <c r="B229" s="57"/>
    </row>
    <row r="230" s="6" customFormat="1" spans="1:2">
      <c r="A230" s="57"/>
      <c r="B230" s="57"/>
    </row>
    <row r="231" s="6" customFormat="1" spans="1:2">
      <c r="A231" s="57"/>
      <c r="B231" s="57"/>
    </row>
    <row r="232" s="6" customFormat="1" spans="1:2">
      <c r="A232" s="57"/>
      <c r="B232" s="57"/>
    </row>
    <row r="233" s="6" customFormat="1" spans="1:2">
      <c r="A233" s="57"/>
      <c r="B233" s="57"/>
    </row>
    <row r="234" s="6" customFormat="1" spans="1:2">
      <c r="A234" s="57"/>
      <c r="B234" s="57"/>
    </row>
    <row r="235" s="6" customFormat="1" spans="1:2">
      <c r="A235" s="57"/>
      <c r="B235" s="57"/>
    </row>
    <row r="236" s="6" customFormat="1" spans="1:2">
      <c r="A236" s="57"/>
      <c r="B236" s="57"/>
    </row>
    <row r="237" s="6" customFormat="1" spans="1:2">
      <c r="A237" s="57"/>
      <c r="B237" s="57"/>
    </row>
    <row r="238" s="6" customFormat="1" spans="1:2">
      <c r="A238" s="57"/>
      <c r="B238" s="57"/>
    </row>
    <row r="239" s="6" customFormat="1" spans="1:2">
      <c r="A239" s="57"/>
      <c r="B239" s="57"/>
    </row>
    <row r="240" s="6" customFormat="1" spans="1:2">
      <c r="A240" s="57"/>
      <c r="B240" s="57"/>
    </row>
    <row r="241" s="6" customFormat="1" spans="1:2">
      <c r="A241" s="57"/>
      <c r="B241" s="57"/>
    </row>
    <row r="242" s="6" customFormat="1" spans="1:2">
      <c r="A242" s="57"/>
      <c r="B242" s="57"/>
    </row>
    <row r="243" s="6" customFormat="1" spans="1:2">
      <c r="A243" s="57"/>
      <c r="B243" s="57"/>
    </row>
    <row r="244" s="6" customFormat="1" spans="1:2">
      <c r="A244" s="57"/>
      <c r="B244" s="57"/>
    </row>
    <row r="245" s="6" customFormat="1" spans="1:2">
      <c r="A245" s="57"/>
      <c r="B245" s="57"/>
    </row>
    <row r="246" s="6" customFormat="1" spans="1:2">
      <c r="A246" s="57"/>
      <c r="B246" s="57"/>
    </row>
    <row r="247" s="6" customFormat="1" spans="1:2">
      <c r="A247" s="57"/>
      <c r="B247" s="57"/>
    </row>
    <row r="248" s="6" customFormat="1" spans="1:2">
      <c r="A248" s="57"/>
      <c r="B248" s="57"/>
    </row>
    <row r="249" s="6" customFormat="1" spans="1:2">
      <c r="A249" s="57"/>
      <c r="B249" s="57"/>
    </row>
    <row r="250" s="6" customFormat="1" spans="1:2">
      <c r="A250" s="57"/>
      <c r="B250" s="57"/>
    </row>
    <row r="251" s="6" customFormat="1" spans="1:2">
      <c r="A251" s="57"/>
      <c r="B251" s="57"/>
    </row>
    <row r="252" s="6" customFormat="1" spans="1:2">
      <c r="A252" s="57"/>
      <c r="B252" s="57"/>
    </row>
    <row r="253" s="6" customFormat="1" spans="1:2">
      <c r="A253" s="57"/>
      <c r="B253" s="57"/>
    </row>
    <row r="254" s="6" customFormat="1" spans="1:2">
      <c r="A254" s="57"/>
      <c r="B254" s="57"/>
    </row>
  </sheetData>
  <mergeCells count="24">
    <mergeCell ref="A3:B3"/>
    <mergeCell ref="A14:B14"/>
    <mergeCell ref="A20:B20"/>
    <mergeCell ref="A21:B21"/>
    <mergeCell ref="A24:B24"/>
    <mergeCell ref="A25:B25"/>
    <mergeCell ref="A41:B41"/>
    <mergeCell ref="A42:B42"/>
    <mergeCell ref="A45:B45"/>
    <mergeCell ref="A46:B46"/>
    <mergeCell ref="A47:B47"/>
    <mergeCell ref="A48:B48"/>
    <mergeCell ref="A49:B49"/>
    <mergeCell ref="A54:B54"/>
    <mergeCell ref="A55:B55"/>
    <mergeCell ref="A56:B56"/>
    <mergeCell ref="A57:B57"/>
    <mergeCell ref="A58:B58"/>
    <mergeCell ref="A59:B59"/>
    <mergeCell ref="C61:G61"/>
    <mergeCell ref="A22:A23"/>
    <mergeCell ref="A26:A40"/>
    <mergeCell ref="A43:A44"/>
    <mergeCell ref="A50:A53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3"/>
  <sheetViews>
    <sheetView workbookViewId="0">
      <selection activeCell="D13" sqref="D13"/>
    </sheetView>
  </sheetViews>
  <sheetFormatPr defaultColWidth="8.72222222222222" defaultRowHeight="14.4"/>
  <cols>
    <col min="2" max="2" width="9.66666666666667" style="1"/>
    <col min="3" max="3" width="15.8796296296296" style="1" customWidth="1"/>
    <col min="4" max="4" width="16.6296296296296" style="1" customWidth="1"/>
    <col min="5" max="5" width="15.6296296296296" style="1" customWidth="1"/>
    <col min="6" max="6" width="15.1296296296296" style="1" customWidth="1"/>
    <col min="7" max="7" width="16.8796296296296" style="1" customWidth="1"/>
    <col min="8" max="8" width="10.1296296296296" customWidth="1"/>
    <col min="13" max="13" width="12.8888888888889"/>
  </cols>
  <sheetData>
    <row r="1" customFormat="1" ht="28" customHeight="1" spans="2:10">
      <c r="B1" s="1" t="s">
        <v>177</v>
      </c>
      <c r="C1" s="1"/>
      <c r="D1" s="1"/>
      <c r="E1" s="1"/>
      <c r="F1" s="1"/>
      <c r="G1" s="1"/>
    </row>
    <row r="2" customFormat="1" spans="2:10">
      <c r="B2" s="2" t="s">
        <v>62</v>
      </c>
      <c r="C2" s="2" t="s">
        <v>178</v>
      </c>
      <c r="D2" s="2" t="s">
        <v>179</v>
      </c>
      <c r="E2" s="2" t="s">
        <v>180</v>
      </c>
      <c r="F2" s="2" t="s">
        <v>71</v>
      </c>
      <c r="G2" s="2" t="s">
        <v>181</v>
      </c>
    </row>
    <row r="3" customFormat="1" ht="21" customHeight="1" spans="2:10">
      <c r="B3" s="3">
        <v>46113</v>
      </c>
      <c r="C3" s="2">
        <v>88239</v>
      </c>
      <c r="D3" s="2">
        <v>190399</v>
      </c>
      <c r="E3" s="2"/>
      <c r="F3" s="2">
        <f t="shared" ref="F3:F27" si="0">C3+D3</f>
        <v>278638</v>
      </c>
      <c r="G3" s="2"/>
    </row>
    <row r="4" customFormat="1" ht="21" customHeight="1" spans="2:10">
      <c r="B4" s="3">
        <v>46114</v>
      </c>
      <c r="C4" s="4">
        <v>86437</v>
      </c>
      <c r="D4" s="2">
        <v>166604</v>
      </c>
      <c r="E4" s="2"/>
      <c r="F4" s="2">
        <f t="shared" si="0"/>
        <v>253041</v>
      </c>
      <c r="G4" s="2"/>
    </row>
    <row r="5" customFormat="1" ht="21" customHeight="1" spans="2:10">
      <c r="B5" s="3">
        <v>46115</v>
      </c>
      <c r="C5" s="2">
        <v>82874</v>
      </c>
      <c r="D5" s="2">
        <v>171010</v>
      </c>
      <c r="E5" s="2"/>
      <c r="F5" s="2">
        <f t="shared" si="0"/>
        <v>253884</v>
      </c>
      <c r="G5" s="2"/>
    </row>
    <row r="6" customFormat="1" ht="21" customHeight="1" spans="2:10">
      <c r="B6" s="3">
        <v>46116</v>
      </c>
      <c r="C6" s="2">
        <v>78969</v>
      </c>
      <c r="D6" s="2">
        <v>175028</v>
      </c>
      <c r="E6" s="2"/>
      <c r="F6" s="2">
        <f t="shared" si="0"/>
        <v>253997</v>
      </c>
      <c r="G6" s="2"/>
    </row>
    <row r="7" customFormat="1" ht="21" customHeight="1" spans="2:10">
      <c r="B7" s="3">
        <v>46117</v>
      </c>
      <c r="C7" s="2">
        <v>68918</v>
      </c>
      <c r="D7" s="2">
        <v>160677</v>
      </c>
      <c r="E7" s="2"/>
      <c r="F7" s="2">
        <f t="shared" si="0"/>
        <v>229595</v>
      </c>
      <c r="G7" s="2"/>
    </row>
    <row r="8" customFormat="1" ht="21" customHeight="1" spans="2:10">
      <c r="B8" s="3">
        <v>46118</v>
      </c>
      <c r="C8" s="4">
        <v>66287</v>
      </c>
      <c r="D8" s="4">
        <v>162166</v>
      </c>
      <c r="E8" s="2"/>
      <c r="F8" s="2">
        <f t="shared" si="0"/>
        <v>228453</v>
      </c>
      <c r="G8" s="2"/>
      <c r="J8" s="5"/>
    </row>
    <row r="9" customFormat="1" ht="21" customHeight="1" spans="2:10">
      <c r="B9" s="3">
        <v>46119</v>
      </c>
      <c r="C9" s="2">
        <v>73270</v>
      </c>
      <c r="D9" s="2">
        <v>171401</v>
      </c>
      <c r="E9" s="2"/>
      <c r="F9" s="2">
        <f t="shared" si="0"/>
        <v>244671</v>
      </c>
      <c r="G9" s="2"/>
      <c r="J9" s="5"/>
    </row>
    <row r="10" customFormat="1" ht="21" customHeight="1" spans="2:10">
      <c r="B10" s="3">
        <v>46120</v>
      </c>
      <c r="C10" s="2">
        <v>83645</v>
      </c>
      <c r="D10" s="2">
        <v>149607</v>
      </c>
      <c r="E10" s="2"/>
      <c r="F10" s="2">
        <f t="shared" si="0"/>
        <v>233252</v>
      </c>
      <c r="G10" s="2"/>
    </row>
    <row r="11" customFormat="1" ht="21" customHeight="1" spans="2:10">
      <c r="B11" s="3">
        <v>46121</v>
      </c>
      <c r="C11" s="2"/>
      <c r="D11" s="2"/>
      <c r="E11" s="2"/>
      <c r="F11" s="2">
        <f t="shared" si="0"/>
        <v>0</v>
      </c>
      <c r="G11" s="2"/>
    </row>
    <row r="12" customFormat="1" ht="21" customHeight="1" spans="2:10">
      <c r="B12" s="3">
        <v>46122</v>
      </c>
      <c r="C12" s="2"/>
      <c r="D12" s="2"/>
      <c r="E12" s="2"/>
      <c r="F12" s="2">
        <f t="shared" si="0"/>
        <v>0</v>
      </c>
      <c r="G12" s="2"/>
    </row>
    <row r="13" customFormat="1" ht="21" customHeight="1" spans="2:10">
      <c r="B13" s="3">
        <v>46123</v>
      </c>
      <c r="C13" s="2"/>
      <c r="D13" s="2"/>
      <c r="E13" s="2"/>
      <c r="F13" s="2">
        <f t="shared" si="0"/>
        <v>0</v>
      </c>
      <c r="G13" s="2"/>
    </row>
    <row r="14" customFormat="1" ht="21" customHeight="1" spans="2:10">
      <c r="B14" s="3">
        <v>46124</v>
      </c>
      <c r="C14" s="2"/>
      <c r="D14" s="2"/>
      <c r="E14" s="2"/>
      <c r="F14" s="2">
        <f t="shared" si="0"/>
        <v>0</v>
      </c>
      <c r="G14" s="2"/>
    </row>
    <row r="15" customFormat="1" ht="21" customHeight="1" spans="2:10">
      <c r="B15" s="3">
        <v>46125</v>
      </c>
      <c r="C15" s="2"/>
      <c r="D15" s="2"/>
      <c r="E15" s="2"/>
      <c r="F15" s="2">
        <f t="shared" si="0"/>
        <v>0</v>
      </c>
      <c r="G15" s="2"/>
    </row>
    <row r="16" customFormat="1" ht="21" customHeight="1" spans="2:10">
      <c r="B16" s="3">
        <v>46126</v>
      </c>
      <c r="C16" s="2"/>
      <c r="D16" s="2"/>
      <c r="E16" s="2"/>
      <c r="F16" s="2">
        <f t="shared" si="0"/>
        <v>0</v>
      </c>
      <c r="G16" s="2"/>
    </row>
    <row r="17" customFormat="1" ht="21" customHeight="1" spans="2:7">
      <c r="B17" s="3">
        <v>46127</v>
      </c>
      <c r="C17" s="2"/>
      <c r="D17" s="2"/>
      <c r="E17" s="2"/>
      <c r="F17" s="2">
        <f t="shared" si="0"/>
        <v>0</v>
      </c>
      <c r="G17" s="2"/>
    </row>
    <row r="18" customFormat="1" ht="21" customHeight="1" spans="2:7">
      <c r="B18" s="3">
        <v>46128</v>
      </c>
      <c r="C18" s="2"/>
      <c r="D18" s="2"/>
      <c r="E18" s="2"/>
      <c r="F18" s="2">
        <f t="shared" si="0"/>
        <v>0</v>
      </c>
      <c r="G18" s="2"/>
    </row>
    <row r="19" customFormat="1" ht="21" customHeight="1" spans="2:7">
      <c r="B19" s="3">
        <v>46129</v>
      </c>
      <c r="C19" s="2"/>
      <c r="D19" s="2"/>
      <c r="E19" s="2"/>
      <c r="F19" s="2">
        <f t="shared" si="0"/>
        <v>0</v>
      </c>
      <c r="G19" s="2"/>
    </row>
    <row r="20" customFormat="1" ht="21" customHeight="1" spans="2:7">
      <c r="B20" s="3">
        <v>46130</v>
      </c>
      <c r="C20" s="2"/>
      <c r="D20" s="2"/>
      <c r="E20" s="2"/>
      <c r="F20" s="2">
        <f t="shared" si="0"/>
        <v>0</v>
      </c>
      <c r="G20" s="2"/>
    </row>
    <row r="21" customFormat="1" ht="21" customHeight="1" spans="2:7">
      <c r="B21" s="3">
        <v>46131</v>
      </c>
      <c r="C21" s="2"/>
      <c r="D21" s="2"/>
      <c r="E21" s="2"/>
      <c r="F21" s="2">
        <f t="shared" si="0"/>
        <v>0</v>
      </c>
      <c r="G21" s="2"/>
    </row>
    <row r="22" customFormat="1" ht="21" customHeight="1" spans="2:7">
      <c r="B22" s="3">
        <v>46132</v>
      </c>
      <c r="C22" s="2"/>
      <c r="D22" s="2"/>
      <c r="E22" s="2"/>
      <c r="F22" s="2">
        <f t="shared" si="0"/>
        <v>0</v>
      </c>
      <c r="G22" s="2"/>
    </row>
    <row r="23" customFormat="1" ht="21" customHeight="1" spans="2:7">
      <c r="B23" s="3">
        <v>46133</v>
      </c>
      <c r="C23" s="2"/>
      <c r="D23" s="2"/>
      <c r="E23"/>
      <c r="F23" s="2">
        <f t="shared" si="0"/>
        <v>0</v>
      </c>
      <c r="G23" s="2"/>
    </row>
    <row r="24" customFormat="1" ht="21" customHeight="1" spans="2:7">
      <c r="B24" s="3">
        <v>46134</v>
      </c>
      <c r="C24" s="2"/>
      <c r="D24" s="2"/>
      <c r="E24" s="2"/>
      <c r="F24" s="2">
        <f t="shared" si="0"/>
        <v>0</v>
      </c>
      <c r="G24" s="2"/>
    </row>
    <row r="25" customFormat="1" ht="21" customHeight="1" spans="2:7">
      <c r="B25" s="3">
        <v>46135</v>
      </c>
      <c r="C25" s="2"/>
      <c r="D25" s="2"/>
      <c r="E25" s="2"/>
      <c r="F25" s="2">
        <f t="shared" si="0"/>
        <v>0</v>
      </c>
      <c r="G25" s="2"/>
    </row>
    <row r="26" customFormat="1" ht="21" customHeight="1" spans="2:7">
      <c r="B26" s="3">
        <v>46136</v>
      </c>
      <c r="C26" s="2"/>
      <c r="D26" s="2"/>
      <c r="E26" s="2"/>
      <c r="F26" s="2">
        <f t="shared" si="0"/>
        <v>0</v>
      </c>
      <c r="G26" s="2"/>
    </row>
    <row r="27" customFormat="1" ht="21" customHeight="1" spans="2:7">
      <c r="B27" s="3">
        <v>46137</v>
      </c>
      <c r="C27" s="2"/>
      <c r="D27" s="2"/>
      <c r="E27" s="2"/>
      <c r="F27" s="2">
        <f t="shared" si="0"/>
        <v>0</v>
      </c>
      <c r="G27" s="2"/>
    </row>
    <row r="28" customFormat="1" ht="21" customHeight="1" spans="2:7">
      <c r="B28" s="3">
        <v>46138</v>
      </c>
      <c r="C28" s="2"/>
      <c r="D28" s="2"/>
      <c r="E28" s="2"/>
      <c r="F28" s="2">
        <f t="shared" ref="F28:F30" si="1">C28+D28+E28</f>
        <v>0</v>
      </c>
      <c r="G28" s="2"/>
    </row>
    <row r="29" customFormat="1" ht="21" customHeight="1" spans="2:7">
      <c r="B29" s="3">
        <v>46139</v>
      </c>
      <c r="C29" s="2"/>
      <c r="D29" s="2"/>
      <c r="E29" s="2"/>
      <c r="F29" s="2">
        <f t="shared" si="1"/>
        <v>0</v>
      </c>
      <c r="G29" s="2"/>
    </row>
    <row r="30" customFormat="1" ht="21" customHeight="1" spans="2:7">
      <c r="B30" s="3">
        <v>46140</v>
      </c>
      <c r="C30" s="2"/>
      <c r="D30" s="2"/>
      <c r="E30" s="2"/>
      <c r="F30" s="2">
        <f t="shared" si="1"/>
        <v>0</v>
      </c>
      <c r="G30" s="2"/>
    </row>
    <row r="31" customFormat="1" ht="21" customHeight="1" spans="2:7">
      <c r="B31" s="3">
        <v>46141</v>
      </c>
      <c r="C31" s="2"/>
      <c r="D31" s="2"/>
      <c r="E31" s="2"/>
      <c r="F31" s="2">
        <f>C31+D31</f>
        <v>0</v>
      </c>
      <c r="G31" s="2"/>
    </row>
    <row r="32" customFormat="1" ht="21" customHeight="1" spans="2:7">
      <c r="B32" s="3">
        <v>46142</v>
      </c>
      <c r="C32" s="2"/>
      <c r="D32" s="2"/>
      <c r="E32" s="2"/>
      <c r="F32" s="2">
        <f>C32+D32</f>
        <v>0</v>
      </c>
      <c r="G32" s="2"/>
    </row>
    <row r="33" ht="13" customHeight="1"/>
  </sheetData>
  <mergeCells count="1">
    <mergeCell ref="B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6月日经营数据</vt:lpstr>
      <vt:lpstr>6月处理量</vt:lpstr>
      <vt:lpstr>7月日经营数据</vt:lpstr>
      <vt:lpstr>7月处理量</vt:lpstr>
      <vt:lpstr>8月日经营数据</vt:lpstr>
      <vt:lpstr>8月处理量</vt:lpstr>
      <vt:lpstr>25年9月日经营数据</vt:lpstr>
      <vt:lpstr>25年9月处理量</vt:lpstr>
      <vt:lpstr>25年10月日经营数据</vt:lpstr>
      <vt:lpstr>25年10月处理量</vt:lpstr>
      <vt:lpstr>25年11月日经营数据</vt:lpstr>
      <vt:lpstr>25年11月处理量</vt:lpstr>
      <vt:lpstr>25年12月日经营数据</vt:lpstr>
      <vt:lpstr>25年12月处理量</vt:lpstr>
      <vt:lpstr>26年4月日经营数据</vt:lpstr>
      <vt:lpstr>26年4月处理量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阿一</cp:lastModifiedBy>
  <dcterms:created xsi:type="dcterms:W3CDTF">2022-05-13T11:36:00Z</dcterms:created>
  <dcterms:modified xsi:type="dcterms:W3CDTF">2026-04-09T09:47:37Z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6BD1FC52ED5548929C33AEF2FB6553B7_13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