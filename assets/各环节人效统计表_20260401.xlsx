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500" activeTab="12"/>
  </bookViews>
  <sheets>
    <sheet name="卸车数据" sheetId="3" r:id="rId1"/>
    <sheet name="环线数据" sheetId="2" r:id="rId2"/>
    <sheet name="集包数据" sheetId="4" r:id="rId3"/>
    <sheet name="1" sheetId="1" r:id="rId4"/>
    <sheet name="2" sheetId="8" r:id="rId5"/>
    <sheet name="3" sheetId="9" r:id="rId6"/>
    <sheet name="4" sheetId="11" r:id="rId7"/>
    <sheet name="5" sheetId="12" r:id="rId8"/>
    <sheet name="6" sheetId="13" r:id="rId9"/>
    <sheet name="7" sheetId="14" r:id="rId10"/>
    <sheet name="8" sheetId="15" r:id="rId11"/>
    <sheet name="9" sheetId="16" r:id="rId12"/>
    <sheet name="展示表格" sheetId="6" r:id="rId13"/>
    <sheet name="Sheet2" sheetId="10" r:id="rId14"/>
  </sheets>
  <definedNames>
    <definedName name="_xlnm._FilterDatabase" localSheetId="2" hidden="1">集包数据!$A$1:$T$217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B2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B2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BB2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BB2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BB2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BB2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BB2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BB2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</commentList>
</comments>
</file>

<file path=xl/comments9.xml><?xml version="1.0" encoding="utf-8"?>
<comments xmlns="http://schemas.openxmlformats.org/spreadsheetml/2006/main">
  <authors>
    <author>作者</author>
  </authors>
  <commentList>
    <comment ref="BB2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  <comment ref="BB2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出口扫描复用</t>
        </r>
      </text>
    </comment>
  </commentList>
</comments>
</file>

<file path=xl/sharedStrings.xml><?xml version="1.0" encoding="utf-8"?>
<sst xmlns="http://schemas.openxmlformats.org/spreadsheetml/2006/main" count="29342" uniqueCount="3438">
  <si>
    <t>处理中心子系统-路单查询</t>
  </si>
  <si>
    <t>统计条件（当前机构：淄博中心 类型：进口 开始时间：2026-04-01 00:00:00 截止时间：2026-04-03 23:59:59）</t>
  </si>
  <si>
    <t>类型</t>
  </si>
  <si>
    <t>交接对象</t>
  </si>
  <si>
    <t>派车单号</t>
  </si>
  <si>
    <t>航班/车牌号</t>
  </si>
  <si>
    <t>车厢/车牌号</t>
  </si>
  <si>
    <t>车厢码</t>
  </si>
  <si>
    <t>封车码</t>
  </si>
  <si>
    <t>路单流水号</t>
  </si>
  <si>
    <t>邮件总数</t>
  </si>
  <si>
    <t>总数</t>
  </si>
  <si>
    <t>未勾核数</t>
  </si>
  <si>
    <t>已勾核数</t>
  </si>
  <si>
    <t>重量(kg)</t>
  </si>
  <si>
    <t>状态</t>
  </si>
  <si>
    <t>操作方式</t>
  </si>
  <si>
    <t>操作员</t>
  </si>
  <si>
    <t>进局时间</t>
  </si>
  <si>
    <t>解车时间</t>
  </si>
  <si>
    <t>卸车完毕时间</t>
  </si>
  <si>
    <t>卸车时长</t>
  </si>
  <si>
    <t>进口</t>
  </si>
  <si>
    <t>大宗快包-淄博中心(淄市1)</t>
  </si>
  <si>
    <t>已解车</t>
  </si>
  <si>
    <t>批量接收</t>
  </si>
  <si>
    <t>王才华</t>
  </si>
  <si>
    <t>2.68小时</t>
  </si>
  <si>
    <t>淄报刊进</t>
  </si>
  <si>
    <t>*</t>
  </si>
  <si>
    <t>2.55小时</t>
  </si>
  <si>
    <t>淄博中心市趟西(淄汇1)废20260401</t>
  </si>
  <si>
    <t>2.38小时</t>
  </si>
  <si>
    <t>淄博中心市趟中(淄汇1)废20260401</t>
  </si>
  <si>
    <t>4.92小时</t>
  </si>
  <si>
    <t>淄博中心市趟南(淄汇1)废20260401</t>
  </si>
  <si>
    <t>铁山-淄博中心(淄市1)废20260401</t>
  </si>
  <si>
    <t>W120538395</t>
  </si>
  <si>
    <t>鲁VA9K89</t>
  </si>
  <si>
    <t>直投-淄博中心(淄市1)废20260401</t>
  </si>
  <si>
    <t>W120577356</t>
  </si>
  <si>
    <t>鲁C190X6</t>
  </si>
  <si>
    <t>桓台-淄博中心(淄支1)废20260401</t>
  </si>
  <si>
    <t>W120539508</t>
  </si>
  <si>
    <t>鲁CM0733</t>
  </si>
  <si>
    <t>2.28小时</t>
  </si>
  <si>
    <t>2.22小时</t>
  </si>
  <si>
    <t>淄博中心市趟北(淄汇1)废20260401</t>
  </si>
  <si>
    <t>4.37小时</t>
  </si>
  <si>
    <t>沣东-淄博中心(淄市1)废20260401</t>
  </si>
  <si>
    <t>W120540260</t>
  </si>
  <si>
    <t>鲁C5399S</t>
  </si>
  <si>
    <t>2.05小时</t>
  </si>
  <si>
    <t>经开-淄博中心(淄市1)废20260401</t>
  </si>
  <si>
    <t>W120564234</t>
  </si>
  <si>
    <t>鲁V3GF39</t>
  </si>
  <si>
    <t>216.95小时</t>
  </si>
  <si>
    <t>周村-淄博中心(淄支1)废20260401</t>
  </si>
  <si>
    <t>W120537902</t>
  </si>
  <si>
    <t>鲁NH5667</t>
  </si>
  <si>
    <t>鲁A8A00挂</t>
  </si>
  <si>
    <t>SDA8A00GG</t>
  </si>
  <si>
    <t>2.08小时</t>
  </si>
  <si>
    <t>临淄-淄博中心(淄支1)废20260401</t>
  </si>
  <si>
    <t>W120538081</t>
  </si>
  <si>
    <t>鲁VW1570</t>
  </si>
  <si>
    <t>2.07小时</t>
  </si>
  <si>
    <t>济南-淄博(淄快包1)废20260401</t>
  </si>
  <si>
    <t>W120537257</t>
  </si>
  <si>
    <t>鲁AE2529</t>
  </si>
  <si>
    <t>扫描接收</t>
  </si>
  <si>
    <t>2.03小时</t>
  </si>
  <si>
    <t>高新-淄博中心(淄市1)废20260401</t>
  </si>
  <si>
    <t>W120540086</t>
  </si>
  <si>
    <t>鲁CD36Y6</t>
  </si>
  <si>
    <t>1.80小时</t>
  </si>
  <si>
    <t>博山-淄博中心(淄支1)废20260401</t>
  </si>
  <si>
    <t>W120564245</t>
  </si>
  <si>
    <t>鲁AP3397</t>
  </si>
  <si>
    <t>SDC8T71GG</t>
  </si>
  <si>
    <t>1.85小时</t>
  </si>
  <si>
    <t>铁山-淄博中心(淄市2)</t>
  </si>
  <si>
    <t>5.02小时</t>
  </si>
  <si>
    <t>淄博中心市趟西(淄汇2)</t>
  </si>
  <si>
    <t>4.38小时</t>
  </si>
  <si>
    <t>5.00小时</t>
  </si>
  <si>
    <t>淄博中心市趟北(淄汇2)</t>
  </si>
  <si>
    <t>淄博中心市趟中(淄汇2)</t>
  </si>
  <si>
    <t>4.93小时</t>
  </si>
  <si>
    <t>淄博中心市趟南(淄汇2)</t>
  </si>
  <si>
    <t>淄博中心市趟东(淄汇1)</t>
  </si>
  <si>
    <t>淄川-淄博中心(钟家临1)废20260401</t>
  </si>
  <si>
    <t>W120587076</t>
  </si>
  <si>
    <t>鲁H48C53</t>
  </si>
  <si>
    <t>6.83小时</t>
  </si>
  <si>
    <t>4.83小时</t>
  </si>
  <si>
    <t>淄博分拨</t>
  </si>
  <si>
    <t>本局封发</t>
  </si>
  <si>
    <t>张云坤</t>
  </si>
  <si>
    <t>QGJKBSYL</t>
  </si>
  <si>
    <t>刘杨兵</t>
  </si>
  <si>
    <t>济南-淄博(淄临大件3)废20260401</t>
  </si>
  <si>
    <t>W120447026</t>
  </si>
  <si>
    <t>苏A9B850</t>
  </si>
  <si>
    <t>苏AZ691挂</t>
  </si>
  <si>
    <t>JSAZ691GG</t>
  </si>
  <si>
    <t>毕艳丽</t>
  </si>
  <si>
    <t>济南-淄博(济临3)废20260401</t>
  </si>
  <si>
    <t>W120563025</t>
  </si>
  <si>
    <t>苏A6B451</t>
  </si>
  <si>
    <t>苏AZ063挂</t>
  </si>
  <si>
    <t>JSAZ063GG</t>
  </si>
  <si>
    <t>0.83小时</t>
  </si>
  <si>
    <t>潍坊-淄博(淄特快1)废20260401</t>
  </si>
  <si>
    <t>W120533212</t>
  </si>
  <si>
    <t>京AXK165</t>
  </si>
  <si>
    <t>0.60小时</t>
  </si>
  <si>
    <t>济南-淄博(济特快1)废20260401</t>
  </si>
  <si>
    <t>W120533739</t>
  </si>
  <si>
    <t>鲁AN8103</t>
  </si>
  <si>
    <t>0.35小时</t>
  </si>
  <si>
    <t>济南-淄博(济加1)废20260401</t>
  </si>
  <si>
    <t>W120572009</t>
  </si>
  <si>
    <t>鲁AD2331</t>
  </si>
  <si>
    <t>鲁A6X67挂</t>
  </si>
  <si>
    <t>SDA6X67GG</t>
  </si>
  <si>
    <t>1.13小时</t>
  </si>
  <si>
    <t>平信车间</t>
  </si>
  <si>
    <t>0.37小时</t>
  </si>
  <si>
    <t>淄报刊出</t>
  </si>
  <si>
    <t>0.03小时</t>
  </si>
  <si>
    <t>0.87小时</t>
  </si>
  <si>
    <t>济南-淄博(淄特快1)废20260401</t>
  </si>
  <si>
    <t>W120537264</t>
  </si>
  <si>
    <t>鲁AP1609</t>
  </si>
  <si>
    <t>0.22小时</t>
  </si>
  <si>
    <t>0.17小时</t>
  </si>
  <si>
    <t>6.88小时</t>
  </si>
  <si>
    <t>潍坊-淄博(淄快包1)废20260401</t>
  </si>
  <si>
    <t>W120537273</t>
  </si>
  <si>
    <t>鲁AH5929</t>
  </si>
  <si>
    <t>0.50小时</t>
  </si>
  <si>
    <t>济南-淄博(济加2)废20260401</t>
  </si>
  <si>
    <t>W120574261</t>
  </si>
  <si>
    <t>鲁AX5221</t>
  </si>
  <si>
    <t>鲁A3A61挂</t>
  </si>
  <si>
    <t>SDA3A61GG</t>
  </si>
  <si>
    <t>1.22小时</t>
  </si>
  <si>
    <t>济南-淄博(淄专1)废20260401</t>
  </si>
  <si>
    <t>W120518852</t>
  </si>
  <si>
    <t>鲁CE0672</t>
  </si>
  <si>
    <t>鲁C7C86挂</t>
  </si>
  <si>
    <t>SDC7C86GG</t>
  </si>
  <si>
    <t>0.78小时</t>
  </si>
  <si>
    <t>中国邮政集团有限公司淄博市寄递事业部网路运营中心包件车间</t>
  </si>
  <si>
    <t>刘民</t>
  </si>
  <si>
    <t>济南-淄博(济临2)废20260401</t>
  </si>
  <si>
    <t>W120581325</t>
  </si>
  <si>
    <t>鲁AY7758</t>
  </si>
  <si>
    <t>济南-淄博(淄1)废20260401</t>
  </si>
  <si>
    <t>W120497283</t>
  </si>
  <si>
    <t>鲁CE0111</t>
  </si>
  <si>
    <t>1.25小时</t>
  </si>
  <si>
    <t>2.93小时</t>
  </si>
  <si>
    <t>先创-淄博中心(淄市1)废20260401</t>
  </si>
  <si>
    <t>W120585531</t>
  </si>
  <si>
    <t>鲁VQ7356</t>
  </si>
  <si>
    <t>1.73小时</t>
  </si>
  <si>
    <t>西城-淄博中心(淄市1)废20260401</t>
  </si>
  <si>
    <t>W120538244</t>
  </si>
  <si>
    <t>鲁C703SL</t>
  </si>
  <si>
    <t>1.72小时</t>
  </si>
  <si>
    <t>宝山-淄博中心(淄市1)废20260401</t>
  </si>
  <si>
    <t>W120540048</t>
  </si>
  <si>
    <t>鲁C1362N</t>
  </si>
  <si>
    <t>博山-淄博中心(雅园临1)废20260401</t>
  </si>
  <si>
    <t>W120587035</t>
  </si>
  <si>
    <t>鲁AP0260</t>
  </si>
  <si>
    <t>1.77小时</t>
  </si>
  <si>
    <t>1.65小时</t>
  </si>
  <si>
    <t>柳泉-淄博中心(淄市1)废20260401</t>
  </si>
  <si>
    <t>W120540187</t>
  </si>
  <si>
    <t>鲁C27056</t>
  </si>
  <si>
    <t>216.50小时</t>
  </si>
  <si>
    <t>高青-淄博中心(淄支1)废20260401</t>
  </si>
  <si>
    <t>W120535809</t>
  </si>
  <si>
    <t>鲁CE7851</t>
  </si>
  <si>
    <t>1.43小时</t>
  </si>
  <si>
    <t>淄川-淄博中心(淄支1)废20260401</t>
  </si>
  <si>
    <t>W120537697</t>
  </si>
  <si>
    <t>鲁H90B48</t>
  </si>
  <si>
    <t>1.32小时</t>
  </si>
  <si>
    <t>W120540446</t>
  </si>
  <si>
    <t>鲁CE8505</t>
  </si>
  <si>
    <t>0.97小时</t>
  </si>
  <si>
    <t>W120587089</t>
  </si>
  <si>
    <t>0.85小时</t>
  </si>
  <si>
    <t>沂源-淄博中心(淄支1)废20260401</t>
  </si>
  <si>
    <t>W120537253</t>
  </si>
  <si>
    <t>鲁CM7858</t>
  </si>
  <si>
    <t>0.53小时</t>
  </si>
  <si>
    <t>济南-淄博(济加3)废20260401</t>
  </si>
  <si>
    <t>W120581994</t>
  </si>
  <si>
    <t>鲁UQ5283</t>
  </si>
  <si>
    <t>沪AD901挂</t>
  </si>
  <si>
    <t>SHAD901GG</t>
  </si>
  <si>
    <t>2.13小时</t>
  </si>
  <si>
    <t>济南-淄博(济加临4)废20260401</t>
  </si>
  <si>
    <t>W120611872</t>
  </si>
  <si>
    <t>鲁AR1568</t>
  </si>
  <si>
    <t>鲁A9E10挂</t>
  </si>
  <si>
    <t>SDA9E10GG</t>
  </si>
  <si>
    <t>周村-淄博中心(淄支3)</t>
  </si>
  <si>
    <t>W120587162</t>
  </si>
  <si>
    <t>鲁H020L2</t>
  </si>
  <si>
    <t>7.17小时</t>
  </si>
  <si>
    <t>W120585520</t>
  </si>
  <si>
    <t>鲁GZ7001</t>
  </si>
  <si>
    <t>7.03小时</t>
  </si>
  <si>
    <t>沂源-淄博中心(淄支2)</t>
  </si>
  <si>
    <t>W120588378</t>
  </si>
  <si>
    <t>鲁CL7582</t>
  </si>
  <si>
    <t>7.02小时</t>
  </si>
  <si>
    <t>大宗快包-淄博中心(淄市2)</t>
  </si>
  <si>
    <t>W120620213</t>
  </si>
  <si>
    <t>0401W120620213</t>
  </si>
  <si>
    <t>5.75小时</t>
  </si>
  <si>
    <t>W120587045</t>
  </si>
  <si>
    <t>5.73小时</t>
  </si>
  <si>
    <t>博山-淄博中心(淄支3)</t>
  </si>
  <si>
    <t>W120586960</t>
  </si>
  <si>
    <t>鲁VC0069</t>
  </si>
  <si>
    <t>临淄-淄博中心(淄支3)</t>
  </si>
  <si>
    <t>W120633300</t>
  </si>
  <si>
    <t>鲁CM3816</t>
  </si>
  <si>
    <t>5.72小时</t>
  </si>
  <si>
    <t>大宗特快-淄博中心(淄市1)</t>
  </si>
  <si>
    <t>5.70小时</t>
  </si>
  <si>
    <t>W120607047</t>
  </si>
  <si>
    <t>鲁CS0671</t>
  </si>
  <si>
    <t>5.43小时</t>
  </si>
  <si>
    <t>W120538433</t>
  </si>
  <si>
    <t>3.52小时</t>
  </si>
  <si>
    <t>5.13小时</t>
  </si>
  <si>
    <t>直投-淄博中心(淄市2)</t>
  </si>
  <si>
    <t>W120613378</t>
  </si>
  <si>
    <t>5.15小时</t>
  </si>
  <si>
    <t>W120607092</t>
  </si>
  <si>
    <t>鲁CQ2929</t>
  </si>
  <si>
    <t>经开-淄博中心(淄市3)</t>
  </si>
  <si>
    <t>W120538691</t>
  </si>
  <si>
    <t>W120536129</t>
  </si>
  <si>
    <t>鲁CR0115</t>
  </si>
  <si>
    <t>4.98小时</t>
  </si>
  <si>
    <t>柳泉-淄博中心(淄市3)</t>
  </si>
  <si>
    <t>W120540235</t>
  </si>
  <si>
    <t>4.73小时</t>
  </si>
  <si>
    <t>高青-淄博中心(淄支3)</t>
  </si>
  <si>
    <t>W120539760</t>
  </si>
  <si>
    <t>鲁CE7828</t>
  </si>
  <si>
    <t>4.70小时</t>
  </si>
  <si>
    <t>桓台-淄博中心(淄支3)</t>
  </si>
  <si>
    <t>W120633333</t>
  </si>
  <si>
    <t>柳泉-淄博中心(淄市2)</t>
  </si>
  <si>
    <t>W120539469</t>
  </si>
  <si>
    <t>鲁CK383D</t>
  </si>
  <si>
    <t>4.72小时</t>
  </si>
  <si>
    <t>W120618279</t>
  </si>
  <si>
    <t>鲁H59J16</t>
  </si>
  <si>
    <t>4.55小时</t>
  </si>
  <si>
    <t>W120661441</t>
  </si>
  <si>
    <t>胡春美</t>
  </si>
  <si>
    <t>2.70小时</t>
  </si>
  <si>
    <t>W120622016</t>
  </si>
  <si>
    <t>2.32小时</t>
  </si>
  <si>
    <t>2.20小时</t>
  </si>
  <si>
    <t>W120668233</t>
  </si>
  <si>
    <t>W120622217</t>
  </si>
  <si>
    <t>W120592338</t>
  </si>
  <si>
    <t>2.02小时</t>
  </si>
  <si>
    <t>2.35小时</t>
  </si>
  <si>
    <t>1.37小时</t>
  </si>
  <si>
    <t>2.00小时</t>
  </si>
  <si>
    <t>1.38小时</t>
  </si>
  <si>
    <t>W120628362</t>
  </si>
  <si>
    <t>1.97小时</t>
  </si>
  <si>
    <t>W120589826</t>
  </si>
  <si>
    <t>1.98小时</t>
  </si>
  <si>
    <t>W120657676</t>
  </si>
  <si>
    <t>W120589365</t>
  </si>
  <si>
    <t>1.93小时</t>
  </si>
  <si>
    <t>W120621583</t>
  </si>
  <si>
    <t>W120621765</t>
  </si>
  <si>
    <t>鲁MD2V97</t>
  </si>
  <si>
    <t>1.78小时</t>
  </si>
  <si>
    <t>W120648668</t>
  </si>
  <si>
    <t>W120668246</t>
  </si>
  <si>
    <t>鲁ADZ7635</t>
  </si>
  <si>
    <t>W120538117</t>
  </si>
  <si>
    <t>宝山-淄博中心(淄市3)</t>
  </si>
  <si>
    <t>W120539990</t>
  </si>
  <si>
    <t>4.52小时</t>
  </si>
  <si>
    <t>高新-淄博中心(淄市3)</t>
  </si>
  <si>
    <t>W120540143</t>
  </si>
  <si>
    <t>4.50小时</t>
  </si>
  <si>
    <t>博山-淄博中心(淄支2)</t>
  </si>
  <si>
    <t>W120537595</t>
  </si>
  <si>
    <t>鲁H00J50</t>
  </si>
  <si>
    <t>4.48小时</t>
  </si>
  <si>
    <t>W120539607</t>
  </si>
  <si>
    <t>4.32小时</t>
  </si>
  <si>
    <t>沣东-淄博中心(淄市2)</t>
  </si>
  <si>
    <t>W120540318</t>
  </si>
  <si>
    <t>4.35小时</t>
  </si>
  <si>
    <t>西城-淄博中心(淄市3)</t>
  </si>
  <si>
    <t>W120538268</t>
  </si>
  <si>
    <t>4.33小时</t>
  </si>
  <si>
    <t>W120538042</t>
  </si>
  <si>
    <t>4.30小时</t>
  </si>
  <si>
    <t>周村-淄博中心(淄支2)</t>
  </si>
  <si>
    <t>W120537949</t>
  </si>
  <si>
    <t>鲁H80H63</t>
  </si>
  <si>
    <t>4.15小时</t>
  </si>
  <si>
    <t>W120628564</t>
  </si>
  <si>
    <t>经开-淄博中心(淄市2)</t>
  </si>
  <si>
    <t>W120538662</t>
  </si>
  <si>
    <t>鲁CE86W7</t>
  </si>
  <si>
    <t>4.07小时</t>
  </si>
  <si>
    <t>W120540472</t>
  </si>
  <si>
    <t>鲁CE7850</t>
  </si>
  <si>
    <t>0401W120540472</t>
  </si>
  <si>
    <t>3.88小时</t>
  </si>
  <si>
    <t>淄川-淄博中心(淄支2)</t>
  </si>
  <si>
    <t>W120537751</t>
  </si>
  <si>
    <t>鲁H00J93</t>
  </si>
  <si>
    <t>3.82小时</t>
  </si>
  <si>
    <t>淄川-淄博中心(淄支3)</t>
  </si>
  <si>
    <t>W120537825</t>
  </si>
  <si>
    <t>3.78小时</t>
  </si>
  <si>
    <t>W120586974</t>
  </si>
  <si>
    <t>鲁H09U15</t>
  </si>
  <si>
    <t>32.10小时</t>
  </si>
  <si>
    <t>济南-淄博(淄临大件2)废20260401</t>
  </si>
  <si>
    <t>W120554465</t>
  </si>
  <si>
    <t>苏A3A285</t>
  </si>
  <si>
    <t>苏AZ805挂</t>
  </si>
  <si>
    <t>JSAZ805GG</t>
  </si>
  <si>
    <t>W120554490</t>
  </si>
  <si>
    <t>苏AV4971</t>
  </si>
  <si>
    <t>苏AX689挂</t>
  </si>
  <si>
    <t>JSAX689GG</t>
  </si>
  <si>
    <t>1.35小时</t>
  </si>
  <si>
    <t>W120638855</t>
  </si>
  <si>
    <t>鲁H17F91</t>
  </si>
  <si>
    <t>鲁G96L1挂</t>
  </si>
  <si>
    <t>SDG96L1GG</t>
  </si>
  <si>
    <t>3.55小时</t>
  </si>
  <si>
    <t>济南-淄博(济自办1)</t>
  </si>
  <si>
    <t>W120634299</t>
  </si>
  <si>
    <t>鲁AF7517</t>
  </si>
  <si>
    <t>鲁A7P03挂</t>
  </si>
  <si>
    <t>SDA7P03GG</t>
  </si>
  <si>
    <t>undefined</t>
  </si>
  <si>
    <t>李萌</t>
  </si>
  <si>
    <t>刘桂红</t>
  </si>
  <si>
    <t>W120624143</t>
  </si>
  <si>
    <t>鲁VP3876</t>
  </si>
  <si>
    <t>2.72小时</t>
  </si>
  <si>
    <t>W120627317</t>
  </si>
  <si>
    <t>0.28小时</t>
  </si>
  <si>
    <t>W120621834</t>
  </si>
  <si>
    <t>鲁AH1650</t>
  </si>
  <si>
    <t>0.33小时</t>
  </si>
  <si>
    <t>W120651726</t>
  </si>
  <si>
    <t>鲁AW2989</t>
  </si>
  <si>
    <t>鲁A2H17挂</t>
  </si>
  <si>
    <t>SDA2H17GG</t>
  </si>
  <si>
    <t>1.18小时</t>
  </si>
  <si>
    <t>4.00小时</t>
  </si>
  <si>
    <t>3.42小时</t>
  </si>
  <si>
    <t>W120628363</t>
  </si>
  <si>
    <t>0.18小时</t>
  </si>
  <si>
    <t>2.47小时</t>
  </si>
  <si>
    <t>2.17小时</t>
  </si>
  <si>
    <t>W120651778</t>
  </si>
  <si>
    <t>鲁AW0617</t>
  </si>
  <si>
    <t>鲁A1A15挂</t>
  </si>
  <si>
    <t>SDA1A15GG</t>
  </si>
  <si>
    <t>W120628377</t>
  </si>
  <si>
    <t>0.77小时</t>
  </si>
  <si>
    <t>W120598580</t>
  </si>
  <si>
    <t>0.65小时</t>
  </si>
  <si>
    <t>W120662731</t>
  </si>
  <si>
    <t>0.30小时</t>
  </si>
  <si>
    <t>W120584454</t>
  </si>
  <si>
    <t>0.67小时</t>
  </si>
  <si>
    <t>2.88小时</t>
  </si>
  <si>
    <t>W120679749</t>
  </si>
  <si>
    <t>1.02小时</t>
  </si>
  <si>
    <t>W120661447</t>
  </si>
  <si>
    <t>W120709214</t>
  </si>
  <si>
    <t>0402W120709214</t>
  </si>
  <si>
    <t>W120661209</t>
  </si>
  <si>
    <t>0.98小时</t>
  </si>
  <si>
    <t>0.92小时</t>
  </si>
  <si>
    <t>W120622050</t>
  </si>
  <si>
    <t>0.47小时</t>
  </si>
  <si>
    <t>W120682309</t>
  </si>
  <si>
    <t>W120688476</t>
  </si>
  <si>
    <t>W120589693</t>
  </si>
  <si>
    <t>W120589654</t>
  </si>
  <si>
    <t>1.58小时</t>
  </si>
  <si>
    <t>W120620648</t>
  </si>
  <si>
    <t>鲁C8T71挂</t>
  </si>
  <si>
    <t>1.23小时</t>
  </si>
  <si>
    <t>W120590951</t>
  </si>
  <si>
    <t>1.33小时</t>
  </si>
  <si>
    <t>W120589555</t>
  </si>
  <si>
    <t>W120620290</t>
  </si>
  <si>
    <t>1.15小时</t>
  </si>
  <si>
    <t>0.90小时</t>
  </si>
  <si>
    <t>W120592032</t>
  </si>
  <si>
    <t>鲁CM3815</t>
  </si>
  <si>
    <t>0.68小时</t>
  </si>
  <si>
    <t>W120590269</t>
  </si>
  <si>
    <t>0.55小时</t>
  </si>
  <si>
    <t>W120676747</t>
  </si>
  <si>
    <t>1.47小时</t>
  </si>
  <si>
    <t>W120683846</t>
  </si>
  <si>
    <t>W120661501</t>
  </si>
  <si>
    <t>W120673358</t>
  </si>
  <si>
    <t>0.23小时</t>
  </si>
  <si>
    <t>W120591663</t>
  </si>
  <si>
    <t>1.83小时</t>
  </si>
  <si>
    <t>W120620714</t>
  </si>
  <si>
    <t>1.75小时</t>
  </si>
  <si>
    <t>W120668093</t>
  </si>
  <si>
    <t>1.60小时</t>
  </si>
  <si>
    <t>W120661400</t>
  </si>
  <si>
    <t>W120589754</t>
  </si>
  <si>
    <t>1.62小时</t>
  </si>
  <si>
    <t>W120622118</t>
  </si>
  <si>
    <t>1.63小时</t>
  </si>
  <si>
    <t>W120592871</t>
  </si>
  <si>
    <t>W120592432</t>
  </si>
  <si>
    <t>W120621814</t>
  </si>
  <si>
    <t>1.52小时</t>
  </si>
  <si>
    <t>W120589858</t>
  </si>
  <si>
    <t>1.48小时</t>
  </si>
  <si>
    <t>W120621636</t>
  </si>
  <si>
    <t>1.30小时</t>
  </si>
  <si>
    <t>W120665181</t>
  </si>
  <si>
    <t>1.28小时</t>
  </si>
  <si>
    <t>W120668224</t>
  </si>
  <si>
    <t>W120620422</t>
  </si>
  <si>
    <t>W120589427</t>
  </si>
  <si>
    <t>1.03小时</t>
  </si>
  <si>
    <t>W120589616</t>
  </si>
  <si>
    <t>W120620470</t>
  </si>
  <si>
    <t>0.72小时</t>
  </si>
  <si>
    <t>W120621532</t>
  </si>
  <si>
    <t>W120620779</t>
  </si>
  <si>
    <t>1.42小时</t>
  </si>
  <si>
    <t>W120663792</t>
  </si>
  <si>
    <t>0.40小时</t>
  </si>
  <si>
    <t>W120738821</t>
  </si>
  <si>
    <t>鲁GAM813</t>
  </si>
  <si>
    <t>W120663129</t>
  </si>
  <si>
    <t>W120699553</t>
  </si>
  <si>
    <t>0.13小时</t>
  </si>
  <si>
    <t>W120732564</t>
  </si>
  <si>
    <t>0.73小时</t>
  </si>
  <si>
    <t>W120744217</t>
  </si>
  <si>
    <t>W120744652</t>
  </si>
  <si>
    <t>0.52小时</t>
  </si>
  <si>
    <t>W120699693</t>
  </si>
  <si>
    <t>W120662298</t>
  </si>
  <si>
    <t>W120698781</t>
  </si>
  <si>
    <t>0.38小时</t>
  </si>
  <si>
    <t>W120699309</t>
  </si>
  <si>
    <t>W120662076</t>
  </si>
  <si>
    <t>W120662139</t>
  </si>
  <si>
    <t>0.58小时</t>
  </si>
  <si>
    <t>W120770404</t>
  </si>
  <si>
    <t>0403W120770404</t>
  </si>
  <si>
    <t>W120698737</t>
  </si>
  <si>
    <t>W120757081</t>
  </si>
  <si>
    <t>0.57小时</t>
  </si>
  <si>
    <t>W120663277</t>
  </si>
  <si>
    <t>W120662337</t>
  </si>
  <si>
    <t>W120699787</t>
  </si>
  <si>
    <t>0.08小时</t>
  </si>
  <si>
    <t>W120662170</t>
  </si>
  <si>
    <t>W120744663</t>
  </si>
  <si>
    <t>鲁VC0358</t>
  </si>
  <si>
    <t>W120662553</t>
  </si>
  <si>
    <t>0403W120662553</t>
  </si>
  <si>
    <t>W120698589</t>
  </si>
  <si>
    <t>W120698782</t>
  </si>
  <si>
    <t>0.02小时</t>
  </si>
  <si>
    <t>W120781685</t>
  </si>
  <si>
    <t>沪AN053挂</t>
  </si>
  <si>
    <t>SHAN053GG</t>
  </si>
  <si>
    <t>W120711003</t>
  </si>
  <si>
    <t>鲁AH0038</t>
  </si>
  <si>
    <t>鲁A6S65挂</t>
  </si>
  <si>
    <t>SDA6S65GG</t>
  </si>
  <si>
    <t>1.17小时</t>
  </si>
  <si>
    <t>W120590343</t>
  </si>
  <si>
    <t>0402W120590343</t>
  </si>
  <si>
    <t>0.75小时</t>
  </si>
  <si>
    <t>W120634479</t>
  </si>
  <si>
    <t>鲁DF7099</t>
  </si>
  <si>
    <t>鲁A2E56挂</t>
  </si>
  <si>
    <t>SDA2E56GG</t>
  </si>
  <si>
    <t>W120702306</t>
  </si>
  <si>
    <t>鲁AL1573</t>
  </si>
  <si>
    <t>鲁A9W18挂</t>
  </si>
  <si>
    <t>SDA9W18GG</t>
  </si>
  <si>
    <t>毕云峰</t>
  </si>
  <si>
    <t>张青花</t>
  </si>
  <si>
    <t>W120709037</t>
  </si>
  <si>
    <t>豫QAY26挂</t>
  </si>
  <si>
    <t>HAQAY26GG</t>
  </si>
  <si>
    <t>2.63小时</t>
  </si>
  <si>
    <t>W120699843</t>
  </si>
  <si>
    <t>鲁GAZ887</t>
  </si>
  <si>
    <t>济南-淄博(济临4)</t>
  </si>
  <si>
    <t>W120710222</t>
  </si>
  <si>
    <t>鲁H39S63</t>
  </si>
  <si>
    <t>鲁HR16T挂</t>
  </si>
  <si>
    <t>SDHR16TGG</t>
  </si>
  <si>
    <t>W120698926</t>
  </si>
  <si>
    <t>0.32小时</t>
  </si>
  <si>
    <t>W120695991</t>
  </si>
  <si>
    <t>0.93小时</t>
  </si>
  <si>
    <t>W120727255</t>
  </si>
  <si>
    <t>1.00小时</t>
  </si>
  <si>
    <t>0.82小时</t>
  </si>
  <si>
    <t>W120712834</t>
  </si>
  <si>
    <t>0.25小时</t>
  </si>
  <si>
    <t>0.48小时</t>
  </si>
  <si>
    <t>W120731894</t>
  </si>
  <si>
    <t>鲁NH8661</t>
  </si>
  <si>
    <t>豫QAG21挂</t>
  </si>
  <si>
    <t>HAQAG21GG</t>
  </si>
  <si>
    <t>W120712842</t>
  </si>
  <si>
    <t>0.42小时</t>
  </si>
  <si>
    <t>W120751364</t>
  </si>
  <si>
    <t>W120744307</t>
  </si>
  <si>
    <t>W120751662</t>
  </si>
  <si>
    <t>W120771766</t>
  </si>
  <si>
    <t>鲁CWY928</t>
  </si>
  <si>
    <t>W120751695</t>
  </si>
  <si>
    <t>W120699626</t>
  </si>
  <si>
    <t>0.07小时</t>
  </si>
  <si>
    <t>W120763098</t>
  </si>
  <si>
    <t>W120744289</t>
  </si>
  <si>
    <t>0.05小时</t>
  </si>
  <si>
    <t>W120662262</t>
  </si>
  <si>
    <t>0.27小时</t>
  </si>
  <si>
    <t>W120698549</t>
  </si>
  <si>
    <t>W120744815</t>
  </si>
  <si>
    <t>W120744158</t>
  </si>
  <si>
    <t>W120663402</t>
  </si>
  <si>
    <t>W120662922</t>
  </si>
  <si>
    <t>W120662103</t>
  </si>
  <si>
    <t>W120699139</t>
  </si>
  <si>
    <t>0.43小时</t>
  </si>
  <si>
    <t>W120699743</t>
  </si>
  <si>
    <t>W120663143</t>
  </si>
  <si>
    <t>0.45小时</t>
  </si>
  <si>
    <t>W120699379</t>
  </si>
  <si>
    <t>W120663189</t>
  </si>
  <si>
    <t>W120698994</t>
  </si>
  <si>
    <t>W120706356</t>
  </si>
  <si>
    <t>W120698510</t>
  </si>
  <si>
    <t>W120698654</t>
  </si>
  <si>
    <t>W120662748</t>
  </si>
  <si>
    <t>W120662212</t>
  </si>
  <si>
    <t>W120740772</t>
  </si>
  <si>
    <t>W120662487</t>
  </si>
  <si>
    <t>W120744407</t>
  </si>
  <si>
    <t>W120752550</t>
  </si>
  <si>
    <t>1.08小时</t>
  </si>
  <si>
    <t>W120757113</t>
  </si>
  <si>
    <t>1.10小时</t>
  </si>
  <si>
    <t>TGBG</t>
  </si>
  <si>
    <t>焦海勇</t>
  </si>
  <si>
    <t>W120744387</t>
  </si>
  <si>
    <t>W120744212</t>
  </si>
  <si>
    <t>W120803731</t>
  </si>
  <si>
    <t>1.40小时</t>
  </si>
  <si>
    <t>W120779083</t>
  </si>
  <si>
    <t>W120771244</t>
  </si>
  <si>
    <t>W120778238</t>
  </si>
  <si>
    <t>W120779136</t>
  </si>
  <si>
    <t>W120828537</t>
  </si>
  <si>
    <t>W120778908</t>
  </si>
  <si>
    <t>W120772526</t>
  </si>
  <si>
    <t>W120778998</t>
  </si>
  <si>
    <t>W120778820</t>
  </si>
  <si>
    <t>W120812146</t>
  </si>
  <si>
    <t>1.88小时</t>
  </si>
  <si>
    <t>1.45小时</t>
  </si>
  <si>
    <t>1.87小时</t>
  </si>
  <si>
    <t>W120834629</t>
  </si>
  <si>
    <t>5.80小时</t>
  </si>
  <si>
    <t>W120812264</t>
  </si>
  <si>
    <t>4.97小时</t>
  </si>
  <si>
    <t>W120839701</t>
  </si>
  <si>
    <t>0403W120839701</t>
  </si>
  <si>
    <t>W120812012</t>
  </si>
  <si>
    <t>4.65小时</t>
  </si>
  <si>
    <t>W120779109</t>
  </si>
  <si>
    <t>4.60小时</t>
  </si>
  <si>
    <t>W120812196</t>
  </si>
  <si>
    <t>4.53小时</t>
  </si>
  <si>
    <t>W120778159</t>
  </si>
  <si>
    <t>W120771213</t>
  </si>
  <si>
    <t>W120778134</t>
  </si>
  <si>
    <t>W120778742</t>
  </si>
  <si>
    <t>W120770635</t>
  </si>
  <si>
    <t>W120778184</t>
  </si>
  <si>
    <t>W120778047</t>
  </si>
  <si>
    <t>W120778354</t>
  </si>
  <si>
    <t>W120778622</t>
  </si>
  <si>
    <t>鲁VV5395</t>
  </si>
  <si>
    <t>W120771082</t>
  </si>
  <si>
    <t>0.00小时</t>
  </si>
  <si>
    <t>W120810031</t>
  </si>
  <si>
    <t>W120821406</t>
  </si>
  <si>
    <t>W120812135</t>
  </si>
  <si>
    <t>6.28小时</t>
  </si>
  <si>
    <t>W120812091</t>
  </si>
  <si>
    <t>6.23小时</t>
  </si>
  <si>
    <t>陈炳一</t>
  </si>
  <si>
    <t>宗秀云</t>
  </si>
  <si>
    <t>W120718442</t>
  </si>
  <si>
    <t>鲁AH9752</t>
  </si>
  <si>
    <t>冀A28SE挂</t>
  </si>
  <si>
    <t>HEA28SEGG</t>
  </si>
  <si>
    <t>W120789197</t>
  </si>
  <si>
    <t>鲁H16F81</t>
  </si>
  <si>
    <t>鲁H4V4X挂</t>
  </si>
  <si>
    <t>SDH4V4XGG</t>
  </si>
  <si>
    <t>W120799402</t>
  </si>
  <si>
    <t>W120772628</t>
  </si>
  <si>
    <t>W120770901</t>
  </si>
  <si>
    <t>W120799660</t>
  </si>
  <si>
    <t>6.68小时</t>
  </si>
  <si>
    <t>W120772930</t>
  </si>
  <si>
    <t>W120744609</t>
  </si>
  <si>
    <t>W120772936</t>
  </si>
  <si>
    <t>W120806263</t>
  </si>
  <si>
    <t>鲁AV8521</t>
  </si>
  <si>
    <t>鲁A2M21挂</t>
  </si>
  <si>
    <t>SDA2M21GG</t>
  </si>
  <si>
    <t>W120738747</t>
  </si>
  <si>
    <t>W120812080</t>
  </si>
  <si>
    <t>W120870638</t>
  </si>
  <si>
    <t>1.55小时</t>
  </si>
  <si>
    <t>W120869191</t>
  </si>
  <si>
    <t>W120836846</t>
  </si>
  <si>
    <t>9.90小时</t>
  </si>
  <si>
    <t>W120815029</t>
  </si>
  <si>
    <t>W120812816</t>
  </si>
  <si>
    <t>W120872917</t>
  </si>
  <si>
    <t>W120844252</t>
  </si>
  <si>
    <t>W120836914</t>
  </si>
  <si>
    <t>W120834569</t>
  </si>
  <si>
    <t>W120812639</t>
  </si>
  <si>
    <t>W120836498</t>
  </si>
  <si>
    <t>W120836710</t>
  </si>
  <si>
    <t>W120834604</t>
  </si>
  <si>
    <t>W120888667</t>
  </si>
  <si>
    <t>W120834585</t>
  </si>
  <si>
    <t>W120814096</t>
  </si>
  <si>
    <t>W120936775</t>
  </si>
  <si>
    <t>W120874266</t>
  </si>
  <si>
    <t>W120933178</t>
  </si>
  <si>
    <t>W120941508</t>
  </si>
  <si>
    <t>W120905551</t>
  </si>
  <si>
    <t>W120903502</t>
  </si>
  <si>
    <t>0.10小时</t>
  </si>
  <si>
    <t>W120905599</t>
  </si>
  <si>
    <t>W120873680</t>
  </si>
  <si>
    <t>W120905347</t>
  </si>
  <si>
    <t>W120873388</t>
  </si>
  <si>
    <t>W120874788</t>
  </si>
  <si>
    <t>W120905270</t>
  </si>
  <si>
    <t>W120905018</t>
  </si>
  <si>
    <t>W120905197</t>
  </si>
  <si>
    <t>W120954528</t>
  </si>
  <si>
    <t>2.60小时</t>
  </si>
  <si>
    <t>W120812709</t>
  </si>
  <si>
    <t>2.65小时</t>
  </si>
  <si>
    <t>W120836973</t>
  </si>
  <si>
    <t>W120872965</t>
  </si>
  <si>
    <t>2.57小时</t>
  </si>
  <si>
    <t>W120897389</t>
  </si>
  <si>
    <t>W120814959</t>
  </si>
  <si>
    <t>2.50小时</t>
  </si>
  <si>
    <t>W120812778</t>
  </si>
  <si>
    <t>2.48小时</t>
  </si>
  <si>
    <t>W120815158</t>
  </si>
  <si>
    <t>W120836290</t>
  </si>
  <si>
    <t>2.30小时</t>
  </si>
  <si>
    <t>W120814586</t>
  </si>
  <si>
    <t>W120836742</t>
  </si>
  <si>
    <t>2.18小时</t>
  </si>
  <si>
    <t>W120888673</t>
  </si>
  <si>
    <t>2.15小时</t>
  </si>
  <si>
    <t>W120836950</t>
  </si>
  <si>
    <t>鲁C0VX79</t>
  </si>
  <si>
    <t>W120815313</t>
  </si>
  <si>
    <t>2.10小时</t>
  </si>
  <si>
    <t>W120836407</t>
  </si>
  <si>
    <t>鲁C5UA77</t>
  </si>
  <si>
    <t>W120836237</t>
  </si>
  <si>
    <t>W120836520</t>
  </si>
  <si>
    <t>1.70小时</t>
  </si>
  <si>
    <t>W120836462</t>
  </si>
  <si>
    <t>W120836352</t>
  </si>
  <si>
    <t>1.20小时</t>
  </si>
  <si>
    <t>W120813227</t>
  </si>
  <si>
    <t>0405W120813227</t>
  </si>
  <si>
    <t>W120836263</t>
  </si>
  <si>
    <t>0.12小时</t>
  </si>
  <si>
    <t>W120845802</t>
  </si>
  <si>
    <t>1.07小时</t>
  </si>
  <si>
    <t>W120902212</t>
  </si>
  <si>
    <t>5.98小时</t>
  </si>
  <si>
    <t>W120918826</t>
  </si>
  <si>
    <t>1.53小时</t>
  </si>
  <si>
    <t>于东耀</t>
  </si>
  <si>
    <t>W120914947</t>
  </si>
  <si>
    <t>鲁AW670挂</t>
  </si>
  <si>
    <t>SDAW670GG</t>
  </si>
  <si>
    <t>W120903597</t>
  </si>
  <si>
    <t>W120904002</t>
  </si>
  <si>
    <t>1.57小时</t>
  </si>
  <si>
    <t>W120929593</t>
  </si>
  <si>
    <t>W120903629</t>
  </si>
  <si>
    <t>W120874638</t>
  </si>
  <si>
    <t>0.63小时</t>
  </si>
  <si>
    <t>W120903616</t>
  </si>
  <si>
    <t>W120812689</t>
  </si>
  <si>
    <t>W120812740</t>
  </si>
  <si>
    <t>W120872850</t>
  </si>
  <si>
    <t>W120814681</t>
  </si>
  <si>
    <t>W120813146</t>
  </si>
  <si>
    <t>W120882838</t>
  </si>
  <si>
    <t>3.43小时</t>
  </si>
  <si>
    <t>W120897661</t>
  </si>
  <si>
    <t>W120872822</t>
  </si>
  <si>
    <t>W120872921</t>
  </si>
  <si>
    <t>W120903965</t>
  </si>
  <si>
    <t>0405W120903965</t>
  </si>
  <si>
    <t>3.23小时</t>
  </si>
  <si>
    <t>3.18小时</t>
  </si>
  <si>
    <t>W120875370</t>
  </si>
  <si>
    <t>2.98小时</t>
  </si>
  <si>
    <t>W120836886</t>
  </si>
  <si>
    <t>2.95小时</t>
  </si>
  <si>
    <t>W120813016</t>
  </si>
  <si>
    <t>2.87小时</t>
  </si>
  <si>
    <t>W120872755</t>
  </si>
  <si>
    <t>W120787964</t>
  </si>
  <si>
    <t>W120788048</t>
  </si>
  <si>
    <t>W120851555</t>
  </si>
  <si>
    <t>4.02小时</t>
  </si>
  <si>
    <t>W120849229</t>
  </si>
  <si>
    <t>鲁A1L73挂</t>
  </si>
  <si>
    <t>SDA1L73GG</t>
  </si>
  <si>
    <t>3.37小时</t>
  </si>
  <si>
    <t>赵秀霞</t>
  </si>
  <si>
    <t>郑新月</t>
  </si>
  <si>
    <t>W120844388</t>
  </si>
  <si>
    <t>W120843360</t>
  </si>
  <si>
    <t>2.75小时</t>
  </si>
  <si>
    <t>W120864979</t>
  </si>
  <si>
    <t>鲁UW9532</t>
  </si>
  <si>
    <t>沪DA331挂</t>
  </si>
  <si>
    <t>SHDA331GG</t>
  </si>
  <si>
    <t>1.05小时</t>
  </si>
  <si>
    <t>W120851453</t>
  </si>
  <si>
    <t>0.20小时</t>
  </si>
  <si>
    <t>W120810784</t>
  </si>
  <si>
    <t>鲁C8C82挂</t>
  </si>
  <si>
    <t>SDC8C82GG</t>
  </si>
  <si>
    <t>W120851457</t>
  </si>
  <si>
    <t>W120810681</t>
  </si>
  <si>
    <t>W120905585</t>
  </si>
  <si>
    <t>W120941645</t>
  </si>
  <si>
    <t>W120874759</t>
  </si>
  <si>
    <t>W120905634</t>
  </si>
  <si>
    <t>W120905294</t>
  </si>
  <si>
    <t>0.15小时</t>
  </si>
  <si>
    <t>W120905048</t>
  </si>
  <si>
    <t>W120905374</t>
  </si>
  <si>
    <t>W120873598</t>
  </si>
  <si>
    <t>W120873444</t>
  </si>
  <si>
    <t>W120905230</t>
  </si>
  <si>
    <t>W120874262</t>
  </si>
  <si>
    <t>W120873295</t>
  </si>
  <si>
    <t>W120905093</t>
  </si>
  <si>
    <t>W120873529</t>
  </si>
  <si>
    <t>W120941585</t>
  </si>
  <si>
    <t>W120873988</t>
  </si>
  <si>
    <t>W120874547</t>
  </si>
  <si>
    <t>0.80小时</t>
  </si>
  <si>
    <t>W120941309</t>
  </si>
  <si>
    <t>W120945334</t>
  </si>
  <si>
    <t>W120945777</t>
  </si>
  <si>
    <t>0.70小时</t>
  </si>
  <si>
    <t>W120941546</t>
  </si>
  <si>
    <t>W120941503</t>
  </si>
  <si>
    <t>W120954529</t>
  </si>
  <si>
    <t>W120975370</t>
  </si>
  <si>
    <t>0406W120975370</t>
  </si>
  <si>
    <t>4.40小时</t>
  </si>
  <si>
    <t>W120828545</t>
  </si>
  <si>
    <t>4.28小时</t>
  </si>
  <si>
    <t>W120771307</t>
  </si>
  <si>
    <t>4.27小时</t>
  </si>
  <si>
    <t>W120778664</t>
  </si>
  <si>
    <t>4.25小时</t>
  </si>
  <si>
    <t>W120778927</t>
  </si>
  <si>
    <t>W120778207</t>
  </si>
  <si>
    <t>4.22小时</t>
  </si>
  <si>
    <t>W120779196</t>
  </si>
  <si>
    <t>W120778858</t>
  </si>
  <si>
    <t>4.08小时</t>
  </si>
  <si>
    <t>W120779012</t>
  </si>
  <si>
    <t>3.90小时</t>
  </si>
  <si>
    <t>W120771024</t>
  </si>
  <si>
    <t>3.92小时</t>
  </si>
  <si>
    <t>W120779158</t>
  </si>
  <si>
    <t>3.87小时</t>
  </si>
  <si>
    <t>W120771413</t>
  </si>
  <si>
    <t>W120778763</t>
  </si>
  <si>
    <t>3.85小时</t>
  </si>
  <si>
    <t>W120778884</t>
  </si>
  <si>
    <t>3.32小时</t>
  </si>
  <si>
    <t>W120778690</t>
  </si>
  <si>
    <t>3.25小时</t>
  </si>
  <si>
    <t>W120778789</t>
  </si>
  <si>
    <t>3.07小时</t>
  </si>
  <si>
    <t>W120778388</t>
  </si>
  <si>
    <t>0404W120778388</t>
  </si>
  <si>
    <t>W120834500</t>
  </si>
  <si>
    <t>W120778254</t>
  </si>
  <si>
    <t>W120812037</t>
  </si>
  <si>
    <t>鲁AG7705</t>
  </si>
  <si>
    <t>2.92小时</t>
  </si>
  <si>
    <t>W120905616</t>
  </si>
  <si>
    <t>W120873737</t>
  </si>
  <si>
    <t>W120964044</t>
  </si>
  <si>
    <t>W120874853</t>
  </si>
  <si>
    <t>W120874447</t>
  </si>
  <si>
    <t>W120875003</t>
  </si>
  <si>
    <t>W120954519</t>
  </si>
  <si>
    <t>W120905131</t>
  </si>
  <si>
    <t>W120905244</t>
  </si>
  <si>
    <t>W120905167</t>
  </si>
  <si>
    <t>W120941469</t>
  </si>
  <si>
    <t>W120905076</t>
  </si>
  <si>
    <t>W120874045</t>
  </si>
  <si>
    <t>0406W120874045</t>
  </si>
  <si>
    <t>W120910785</t>
  </si>
  <si>
    <t>W120965416</t>
  </si>
  <si>
    <t>W120988562</t>
  </si>
  <si>
    <t>鲁A7S35挂</t>
  </si>
  <si>
    <t>SDA7S35GG</t>
  </si>
  <si>
    <t>W121007939</t>
  </si>
  <si>
    <t>3.02小时</t>
  </si>
  <si>
    <t>W120976223</t>
  </si>
  <si>
    <t>1.12小时</t>
  </si>
  <si>
    <t>W120974663</t>
  </si>
  <si>
    <t>W120976105</t>
  </si>
  <si>
    <t>W120974967</t>
  </si>
  <si>
    <t>W120975184</t>
  </si>
  <si>
    <t>W120975646</t>
  </si>
  <si>
    <t>2.45小时</t>
  </si>
  <si>
    <t>W121003437</t>
  </si>
  <si>
    <t>W120975945</t>
  </si>
  <si>
    <t>W120976108</t>
  </si>
  <si>
    <t>3.47小时</t>
  </si>
  <si>
    <t>3.45小时</t>
  </si>
  <si>
    <t>2.53小时</t>
  </si>
  <si>
    <t>W121007994</t>
  </si>
  <si>
    <t>2.97小时</t>
  </si>
  <si>
    <t>W121028292</t>
  </si>
  <si>
    <t>W121018398</t>
  </si>
  <si>
    <t>李晨龙</t>
  </si>
  <si>
    <t>王克永</t>
  </si>
  <si>
    <t>W120976261</t>
  </si>
  <si>
    <t>W120976584</t>
  </si>
  <si>
    <t>W120998807</t>
  </si>
  <si>
    <t>8.73小时</t>
  </si>
  <si>
    <t>7.85小时</t>
  </si>
  <si>
    <t>W120976969</t>
  </si>
  <si>
    <t>W120976975</t>
  </si>
  <si>
    <t>6.77小时</t>
  </si>
  <si>
    <t>W120945667</t>
  </si>
  <si>
    <t>W121006173</t>
  </si>
  <si>
    <t>W120945590</t>
  </si>
  <si>
    <t>4.18小时</t>
  </si>
  <si>
    <t>W121052793</t>
  </si>
  <si>
    <t>0407W121052793</t>
  </si>
  <si>
    <t>W121007929</t>
  </si>
  <si>
    <t>2.37小时</t>
  </si>
  <si>
    <t>W121007822</t>
  </si>
  <si>
    <t>2.25小时</t>
  </si>
  <si>
    <t>W120975147</t>
  </si>
  <si>
    <t>1.90小时</t>
  </si>
  <si>
    <t>W121007858</t>
  </si>
  <si>
    <t>W121036663</t>
  </si>
  <si>
    <t>W120976254</t>
  </si>
  <si>
    <t>W120974299</t>
  </si>
  <si>
    <t>W120976365</t>
  </si>
  <si>
    <t>W121010356</t>
  </si>
  <si>
    <t>W120974870</t>
  </si>
  <si>
    <t>W120975691</t>
  </si>
  <si>
    <t>W120975871</t>
  </si>
  <si>
    <t>W120974617</t>
  </si>
  <si>
    <t>W120975208</t>
  </si>
  <si>
    <t>W120975984</t>
  </si>
  <si>
    <t>W120974766</t>
  </si>
  <si>
    <t>W120975782</t>
  </si>
  <si>
    <t>W120993366</t>
  </si>
  <si>
    <t>W120976287</t>
  </si>
  <si>
    <t>W120975032</t>
  </si>
  <si>
    <t>W120975749</t>
  </si>
  <si>
    <t>W121010368</t>
  </si>
  <si>
    <t>W120974188</t>
  </si>
  <si>
    <t>W120975109</t>
  </si>
  <si>
    <t>W120975333</t>
  </si>
  <si>
    <t>1.50小时</t>
  </si>
  <si>
    <t>W121008005</t>
  </si>
  <si>
    <t>W120974394</t>
  </si>
  <si>
    <t>W121017796</t>
  </si>
  <si>
    <t>W121018096</t>
  </si>
  <si>
    <t>W120966471</t>
  </si>
  <si>
    <t>W121059798</t>
  </si>
  <si>
    <t>W121059805</t>
  </si>
  <si>
    <t>W121008206</t>
  </si>
  <si>
    <t>W121081776</t>
  </si>
  <si>
    <t>W121008118</t>
  </si>
  <si>
    <t>1.27小时</t>
  </si>
  <si>
    <t>W121008660</t>
  </si>
  <si>
    <t>W121010493</t>
  </si>
  <si>
    <t>W121052681</t>
  </si>
  <si>
    <t>W120975057</t>
  </si>
  <si>
    <t>W120976135</t>
  </si>
  <si>
    <t>W121035577</t>
  </si>
  <si>
    <t>W120975906</t>
  </si>
  <si>
    <t>W120975005</t>
  </si>
  <si>
    <t>W120975805</t>
  </si>
  <si>
    <t>W120975726</t>
  </si>
  <si>
    <t>9.92小时</t>
  </si>
  <si>
    <t>W120975391</t>
  </si>
  <si>
    <t>0407W120975391</t>
  </si>
  <si>
    <t>9.27小时</t>
  </si>
  <si>
    <t>W121036027</t>
  </si>
  <si>
    <t>W121050239</t>
  </si>
  <si>
    <t>马明哲</t>
  </si>
  <si>
    <t>朱秀英</t>
  </si>
  <si>
    <t>W121054428</t>
  </si>
  <si>
    <t>鲁A8S50挂</t>
  </si>
  <si>
    <t>SDA8S50GG</t>
  </si>
  <si>
    <t>W121046541</t>
  </si>
  <si>
    <t>W121046691</t>
  </si>
  <si>
    <t>W121076493</t>
  </si>
  <si>
    <t>W121010171</t>
  </si>
  <si>
    <t>W121087728</t>
  </si>
  <si>
    <t>W121106856</t>
  </si>
  <si>
    <t>W121088943</t>
  </si>
  <si>
    <t>W121111806</t>
  </si>
  <si>
    <t>0.62小时</t>
  </si>
  <si>
    <t>W121089334</t>
  </si>
  <si>
    <t>W121046375</t>
  </si>
  <si>
    <t>W121052571</t>
  </si>
  <si>
    <t>W121052304</t>
  </si>
  <si>
    <t>W121052074</t>
  </si>
  <si>
    <t>W121051661</t>
  </si>
  <si>
    <t>W121080562</t>
  </si>
  <si>
    <t>W121051425</t>
  </si>
  <si>
    <t>W121101696</t>
  </si>
  <si>
    <t>W121066262</t>
  </si>
  <si>
    <t>鲁H80X21</t>
  </si>
  <si>
    <t>W121008517</t>
  </si>
  <si>
    <t>W121008588</t>
  </si>
  <si>
    <t>W121008413</t>
  </si>
  <si>
    <t>W121009150</t>
  </si>
  <si>
    <t>W121008812</t>
  </si>
  <si>
    <t>W121089210</t>
  </si>
  <si>
    <t>W121089327</t>
  </si>
  <si>
    <t>W121118030</t>
  </si>
  <si>
    <t>0408W121118030</t>
  </si>
  <si>
    <t>3.68小时</t>
  </si>
  <si>
    <t>W121111201</t>
  </si>
  <si>
    <t>W121052622</t>
  </si>
  <si>
    <t>3.30小时</t>
  </si>
  <si>
    <t>W121008623</t>
  </si>
  <si>
    <t>W121052900</t>
  </si>
  <si>
    <t>W121117984</t>
  </si>
  <si>
    <t>W121051453</t>
  </si>
  <si>
    <t>W121010086</t>
  </si>
  <si>
    <t>2.62小时</t>
  </si>
  <si>
    <t>W121010401</t>
  </si>
  <si>
    <t>W121008695</t>
  </si>
  <si>
    <t>W121038026</t>
  </si>
  <si>
    <t>W121134498</t>
  </si>
  <si>
    <t>鲁A3X95挂</t>
  </si>
  <si>
    <t>SDA3X95GG</t>
  </si>
  <si>
    <t>W121150224</t>
  </si>
  <si>
    <t>W121125054</t>
  </si>
  <si>
    <t>W121125387</t>
  </si>
  <si>
    <t>W121153736</t>
  </si>
  <si>
    <t>W121127202</t>
  </si>
  <si>
    <t>W121127211</t>
  </si>
  <si>
    <t>W121154114</t>
  </si>
  <si>
    <t>W121086809</t>
  </si>
  <si>
    <t>W121086722</t>
  </si>
  <si>
    <t>W121163772</t>
  </si>
  <si>
    <t>W121128945</t>
  </si>
  <si>
    <t>W121156812</t>
  </si>
  <si>
    <t>W121128813</t>
  </si>
  <si>
    <t>W121085989</t>
  </si>
  <si>
    <t>W121129044</t>
  </si>
  <si>
    <t>W121124950</t>
  </si>
  <si>
    <t>W121085508</t>
  </si>
  <si>
    <t>W121128056</t>
  </si>
  <si>
    <t>W121051712</t>
  </si>
  <si>
    <t>2.40小时</t>
  </si>
  <si>
    <t>W121010749</t>
  </si>
  <si>
    <t>W121101704</t>
  </si>
  <si>
    <t>W121052360</t>
  </si>
  <si>
    <t>W121089394</t>
  </si>
  <si>
    <t>2.27小时</t>
  </si>
  <si>
    <t>W121052143</t>
  </si>
  <si>
    <t>2.23小时</t>
  </si>
  <si>
    <t>W121051550</t>
  </si>
  <si>
    <t>W121008554</t>
  </si>
  <si>
    <t>W121052730</t>
  </si>
  <si>
    <t>W121008468</t>
  </si>
  <si>
    <t>W121010594</t>
  </si>
  <si>
    <t>W121089199</t>
  </si>
  <si>
    <t>W121051812</t>
  </si>
  <si>
    <t>W121051590</t>
  </si>
  <si>
    <t>W121051501</t>
  </si>
  <si>
    <t>W121008840</t>
  </si>
  <si>
    <t>0408W121008840</t>
  </si>
  <si>
    <t>W121037691</t>
  </si>
  <si>
    <t>1.92小时</t>
  </si>
  <si>
    <t>W121128983</t>
  </si>
  <si>
    <t>W121199195</t>
  </si>
  <si>
    <t>W121085962</t>
  </si>
  <si>
    <t>W121189769</t>
  </si>
  <si>
    <t>W121128109</t>
  </si>
  <si>
    <t>W121195287</t>
  </si>
  <si>
    <t>0409W121195287</t>
  </si>
  <si>
    <t>W121128843</t>
  </si>
  <si>
    <t>W121129142</t>
  </si>
  <si>
    <t>W121087789</t>
  </si>
  <si>
    <t>W121163823</t>
  </si>
  <si>
    <t>鲁RT8665</t>
  </si>
  <si>
    <t>W121086028</t>
  </si>
  <si>
    <t>W121088129</t>
  </si>
  <si>
    <t>W121128491</t>
  </si>
  <si>
    <t>W121087426</t>
  </si>
  <si>
    <t>W121129082</t>
  </si>
  <si>
    <t>W121085528</t>
  </si>
  <si>
    <t>W121087961</t>
  </si>
  <si>
    <t>W121128521</t>
  </si>
  <si>
    <t>W121163886</t>
  </si>
  <si>
    <t>W121087836</t>
  </si>
  <si>
    <t>W121128439</t>
  </si>
  <si>
    <t>W121128560</t>
  </si>
  <si>
    <t>鲁RW6005</t>
  </si>
  <si>
    <t>W121085468</t>
  </si>
  <si>
    <t>W121128191</t>
  </si>
  <si>
    <t>W121087143</t>
  </si>
  <si>
    <t>W121085918</t>
  </si>
  <si>
    <t>W121175563</t>
  </si>
  <si>
    <t>鲁AD7111</t>
  </si>
  <si>
    <t>W121087518</t>
  </si>
  <si>
    <t>W121086232</t>
  </si>
  <si>
    <t>W121163895</t>
  </si>
  <si>
    <t>W121165862</t>
  </si>
  <si>
    <t>W121176737</t>
  </si>
  <si>
    <t>李洋</t>
  </si>
  <si>
    <t>W121175575</t>
  </si>
  <si>
    <t>W121181758</t>
  </si>
  <si>
    <t>W121163591</t>
  </si>
  <si>
    <t>W121163774</t>
  </si>
  <si>
    <t>W121128255</t>
  </si>
  <si>
    <t>鲁AC8307</t>
  </si>
  <si>
    <t>W121128780</t>
  </si>
  <si>
    <t>W121086280</t>
  </si>
  <si>
    <t>0409W121086280</t>
  </si>
  <si>
    <t>W121216180</t>
  </si>
  <si>
    <t>鲁DK7336</t>
  </si>
  <si>
    <t>W121128155</t>
  </si>
  <si>
    <t>W121128298</t>
  </si>
  <si>
    <t>W121134520</t>
  </si>
  <si>
    <t>W121139319</t>
  </si>
  <si>
    <t>W121214053</t>
  </si>
  <si>
    <t>W121205814</t>
  </si>
  <si>
    <t>沪DT151挂</t>
  </si>
  <si>
    <t>SHDT151GG</t>
  </si>
  <si>
    <t>处理量-总量统计</t>
  </si>
  <si>
    <r>
      <rPr>
        <sz val="10"/>
        <color theme="1"/>
        <rFont val="Arial Unicode MS"/>
        <charset val="134"/>
      </rPr>
      <t xml:space="preserve">统计日期: </t>
    </r>
    <r>
      <rPr>
        <sz val="10"/>
        <color theme="1"/>
        <rFont val="Arial Unicode MS"/>
        <charset val="134"/>
      </rPr>
      <t>2026年04月01日00时 - 2026年04月01日23时</t>
    </r>
  </si>
  <si>
    <r>
      <rPr>
        <sz val="10"/>
        <color theme="1"/>
        <rFont val="Arial Unicode MS"/>
        <charset val="134"/>
      </rPr>
      <t xml:space="preserve">查询方案： </t>
    </r>
    <r>
      <rPr>
        <sz val="10"/>
        <color theme="1"/>
        <rFont val="Arial Unicode MS"/>
        <charset val="134"/>
      </rPr>
      <t xml:space="preserve">否 </t>
    </r>
    <r>
      <rPr>
        <sz val="10"/>
        <color theme="1"/>
        <rFont val="Arial Unicode MS"/>
        <charset val="134"/>
      </rPr>
      <t xml:space="preserve">展示方式： </t>
    </r>
    <r>
      <rPr>
        <sz val="10"/>
        <color theme="1"/>
        <rFont val="Arial Unicode MS"/>
        <charset val="134"/>
      </rPr>
      <t>按邮件种类展示</t>
    </r>
  </si>
  <si>
    <t>总处理量</t>
  </si>
  <si>
    <t>  序  号  </t>
  </si>
  <si>
    <t>所属机构</t>
  </si>
  <si>
    <t>所属车间</t>
  </si>
  <si>
    <t>统计时间</t>
  </si>
  <si>
    <t>合计</t>
  </si>
  <si>
    <t>散件外走量</t>
  </si>
  <si>
    <t>分拣封发量</t>
  </si>
  <si>
    <t>总包经转量</t>
  </si>
  <si>
    <t>处理量合计</t>
  </si>
  <si>
    <t>纯散件合计</t>
  </si>
  <si>
    <t>平信</t>
  </si>
  <si>
    <t>平刷</t>
  </si>
  <si>
    <t>报刊</t>
  </si>
  <si>
    <t>杂志</t>
  </si>
  <si>
    <t>特快专递</t>
  </si>
  <si>
    <t>快包</t>
  </si>
  <si>
    <t>普包</t>
  </si>
  <si>
    <t>挂信</t>
  </si>
  <si>
    <t>挂刷</t>
  </si>
  <si>
    <t>约投挂信</t>
  </si>
  <si>
    <t>国际</t>
  </si>
  <si>
    <t>条码化平信</t>
  </si>
  <si>
    <t>国内即日</t>
  </si>
  <si>
    <t>国内标快</t>
  </si>
  <si>
    <t>电商标快</t>
  </si>
  <si>
    <t>其他</t>
  </si>
  <si>
    <t>小计</t>
  </si>
  <si>
    <t>总包数</t>
  </si>
  <si>
    <t>内件数</t>
  </si>
  <si>
    <t>淄博中心(综合进出)(25500071)</t>
  </si>
  <si>
    <t>淄博分拨(WS25500003)</t>
  </si>
  <si>
    <t>2026-04-01 00</t>
  </si>
  <si>
    <t>2026-04-01 01</t>
  </si>
  <si>
    <t>2026-04-01 02</t>
  </si>
  <si>
    <t>2026-04-01 03</t>
  </si>
  <si>
    <t>2026-04-01 04</t>
  </si>
  <si>
    <t>2026-04-01 05</t>
  </si>
  <si>
    <t>2026-04-01 06</t>
  </si>
  <si>
    <t>2026-04-01 07</t>
  </si>
  <si>
    <t>2026-04-01 08</t>
  </si>
  <si>
    <t>2026-04-01 09</t>
  </si>
  <si>
    <t>2026-04-01 10</t>
  </si>
  <si>
    <t>2026-04-01 11</t>
  </si>
  <si>
    <t>2026-04-01 12</t>
  </si>
  <si>
    <t>2026-04-01 13</t>
  </si>
  <si>
    <t>2026-04-01 14</t>
  </si>
  <si>
    <t>2026-04-01 15</t>
  </si>
  <si>
    <t>2026-04-01 16</t>
  </si>
  <si>
    <t>2026-04-01 17</t>
  </si>
  <si>
    <t>2026-04-01 18</t>
  </si>
  <si>
    <t>2026-04-01 19</t>
  </si>
  <si>
    <t>2026-04-01 20</t>
  </si>
  <si>
    <t>2026-04-01 21</t>
  </si>
  <si>
    <t>2026-04-01 22</t>
  </si>
  <si>
    <t>2026-04-01 23</t>
  </si>
  <si>
    <t>1</t>
  </si>
  <si>
    <t>2026-04-02 00</t>
  </si>
  <si>
    <t>6,299</t>
  </si>
  <si>
    <t>1,345</t>
  </si>
  <si>
    <t>0</t>
  </si>
  <si>
    <t>290</t>
  </si>
  <si>
    <t>754</t>
  </si>
  <si>
    <t>6</t>
  </si>
  <si>
    <t>4</t>
  </si>
  <si>
    <t>4,947</t>
  </si>
  <si>
    <t>79</t>
  </si>
  <si>
    <t>4,868</t>
  </si>
  <si>
    <t>230</t>
  </si>
  <si>
    <t>73</t>
  </si>
  <si>
    <t>4,636</t>
  </si>
  <si>
    <t>2</t>
  </si>
  <si>
    <t>7</t>
  </si>
  <si>
    <t>349</t>
  </si>
  <si>
    <t>348</t>
  </si>
  <si>
    <t>2026-04-02 01</t>
  </si>
  <si>
    <t>18,293</t>
  </si>
  <si>
    <t>3,665</t>
  </si>
  <si>
    <t>526</t>
  </si>
  <si>
    <t>2,474</t>
  </si>
  <si>
    <t>12</t>
  </si>
  <si>
    <t>649</t>
  </si>
  <si>
    <t>14,575</t>
  </si>
  <si>
    <t>220</t>
  </si>
  <si>
    <t>14,355</t>
  </si>
  <si>
    <t>8</t>
  </si>
  <si>
    <t>952</t>
  </si>
  <si>
    <t>17</t>
  </si>
  <si>
    <t>615</t>
  </si>
  <si>
    <t>195</t>
  </si>
  <si>
    <t>12,787</t>
  </si>
  <si>
    <t>53</t>
  </si>
  <si>
    <t>1,998</t>
  </si>
  <si>
    <t>49</t>
  </si>
  <si>
    <t>1,983</t>
  </si>
  <si>
    <t>15</t>
  </si>
  <si>
    <t>3</t>
  </si>
  <si>
    <t>2026-04-02 02</t>
  </si>
  <si>
    <t>18,608</t>
  </si>
  <si>
    <t>3,931</t>
  </si>
  <si>
    <t>322</t>
  </si>
  <si>
    <t>2,954</t>
  </si>
  <si>
    <t>10</t>
  </si>
  <si>
    <t>641</t>
  </si>
  <si>
    <t>14,584</t>
  </si>
  <si>
    <t>224</t>
  </si>
  <si>
    <t>14,360</t>
  </si>
  <si>
    <t>16</t>
  </si>
  <si>
    <t>611</t>
  </si>
  <si>
    <t>208</t>
  </si>
  <si>
    <t>13,748</t>
  </si>
  <si>
    <t>93</t>
  </si>
  <si>
    <t>2,240</t>
  </si>
  <si>
    <t>52</t>
  </si>
  <si>
    <t>36</t>
  </si>
  <si>
    <t>1,839</t>
  </si>
  <si>
    <t>5</t>
  </si>
  <si>
    <t>2026-04-02 03</t>
  </si>
  <si>
    <t>8,541</t>
  </si>
  <si>
    <t>4,033</t>
  </si>
  <si>
    <t>756</t>
  </si>
  <si>
    <t>2,883</t>
  </si>
  <si>
    <t>11</t>
  </si>
  <si>
    <t>380</t>
  </si>
  <si>
    <t>4,503</t>
  </si>
  <si>
    <t>66</t>
  </si>
  <si>
    <t>4,437</t>
  </si>
  <si>
    <t>9</t>
  </si>
  <si>
    <t>101</t>
  </si>
  <si>
    <t>57</t>
  </si>
  <si>
    <t>4,336</t>
  </si>
  <si>
    <t>280</t>
  </si>
  <si>
    <t>235</t>
  </si>
  <si>
    <t>44</t>
  </si>
  <si>
    <t>2026-04-02 04</t>
  </si>
  <si>
    <t>17,415</t>
  </si>
  <si>
    <t>4,400</t>
  </si>
  <si>
    <t>579</t>
  </si>
  <si>
    <t>3,242</t>
  </si>
  <si>
    <t>555</t>
  </si>
  <si>
    <t>12,963</t>
  </si>
  <si>
    <t>12,733</t>
  </si>
  <si>
    <t>1,428</t>
  </si>
  <si>
    <t>103</t>
  </si>
  <si>
    <t>3,607</t>
  </si>
  <si>
    <t>115</t>
  </si>
  <si>
    <t>7,693</t>
  </si>
  <si>
    <t>2,969</t>
  </si>
  <si>
    <t>40</t>
  </si>
  <si>
    <t>2,798</t>
  </si>
  <si>
    <t>167</t>
  </si>
  <si>
    <t>2026-04-02 05</t>
  </si>
  <si>
    <t>14,867</t>
  </si>
  <si>
    <t>1,749</t>
  </si>
  <si>
    <t>442</t>
  </si>
  <si>
    <t>1,141</t>
  </si>
  <si>
    <t>155</t>
  </si>
  <si>
    <t>12,996</t>
  </si>
  <si>
    <t>426</t>
  </si>
  <si>
    <t>12,570</t>
  </si>
  <si>
    <t>238</t>
  </si>
  <si>
    <t>171</t>
  </si>
  <si>
    <t>2,194</t>
  </si>
  <si>
    <t>253</t>
  </si>
  <si>
    <t>10,127</t>
  </si>
  <si>
    <t>122</t>
  </si>
  <si>
    <t>371</t>
  </si>
  <si>
    <t>118</t>
  </si>
  <si>
    <t>127</t>
  </si>
  <si>
    <t>244</t>
  </si>
  <si>
    <t>2026-04-02 06</t>
  </si>
  <si>
    <t>964</t>
  </si>
  <si>
    <t>282</t>
  </si>
  <si>
    <t>360</t>
  </si>
  <si>
    <t>319</t>
  </si>
  <si>
    <t>2026-04-02 07</t>
  </si>
  <si>
    <t>3,316</t>
  </si>
  <si>
    <t>3,259</t>
  </si>
  <si>
    <t>153</t>
  </si>
  <si>
    <t>2,344</t>
  </si>
  <si>
    <t>20</t>
  </si>
  <si>
    <t>736</t>
  </si>
  <si>
    <t>3,216</t>
  </si>
  <si>
    <t>50</t>
  </si>
  <si>
    <t>3,209</t>
  </si>
  <si>
    <t>2026-04-02 08</t>
  </si>
  <si>
    <t>12,069</t>
  </si>
  <si>
    <t>2,081</t>
  </si>
  <si>
    <t>154</t>
  </si>
  <si>
    <t>1,573</t>
  </si>
  <si>
    <t>18</t>
  </si>
  <si>
    <t>333</t>
  </si>
  <si>
    <t>9,951</t>
  </si>
  <si>
    <t>212</t>
  </si>
  <si>
    <t>9,739</t>
  </si>
  <si>
    <t>214</t>
  </si>
  <si>
    <t>205</t>
  </si>
  <si>
    <t>9,519</t>
  </si>
  <si>
    <t>37</t>
  </si>
  <si>
    <t>1,046</t>
  </si>
  <si>
    <t>288</t>
  </si>
  <si>
    <t>2026-04-02 09</t>
  </si>
  <si>
    <t>2,452</t>
  </si>
  <si>
    <t>1,246</t>
  </si>
  <si>
    <t>92</t>
  </si>
  <si>
    <t>904</t>
  </si>
  <si>
    <t>1,171</t>
  </si>
  <si>
    <t>26</t>
  </si>
  <si>
    <t>1,145</t>
  </si>
  <si>
    <t>55</t>
  </si>
  <si>
    <t>24</t>
  </si>
  <si>
    <t>1,089</t>
  </si>
  <si>
    <t>35</t>
  </si>
  <si>
    <t>352</t>
  </si>
  <si>
    <t>326</t>
  </si>
  <si>
    <t>2026-04-02 10</t>
  </si>
  <si>
    <t>11,521</t>
  </si>
  <si>
    <t>1,462</t>
  </si>
  <si>
    <t>96</t>
  </si>
  <si>
    <t>1,136</t>
  </si>
  <si>
    <t>225</t>
  </si>
  <si>
    <t>9,721</t>
  </si>
  <si>
    <t>324</t>
  </si>
  <si>
    <t>9,397</t>
  </si>
  <si>
    <t>663</t>
  </si>
  <si>
    <t>8,722</t>
  </si>
  <si>
    <t>338</t>
  </si>
  <si>
    <t>1,815</t>
  </si>
  <si>
    <t>310</t>
  </si>
  <si>
    <t>27</t>
  </si>
  <si>
    <t>1,504</t>
  </si>
  <si>
    <t>2026-04-02 11</t>
  </si>
  <si>
    <t>5,647</t>
  </si>
  <si>
    <t>3,951</t>
  </si>
  <si>
    <t>42</t>
  </si>
  <si>
    <t>3,702</t>
  </si>
  <si>
    <t>207</t>
  </si>
  <si>
    <t>1,680</t>
  </si>
  <si>
    <t>14</t>
  </si>
  <si>
    <t>1,666</t>
  </si>
  <si>
    <t>13</t>
  </si>
  <si>
    <t>2026-04-02 12</t>
  </si>
  <si>
    <t>8,072</t>
  </si>
  <si>
    <t>6,044</t>
  </si>
  <si>
    <t>337</t>
  </si>
  <si>
    <t>5,407</t>
  </si>
  <si>
    <t>296</t>
  </si>
  <si>
    <t>2,014</t>
  </si>
  <si>
    <t>39</t>
  </si>
  <si>
    <t>1,975</t>
  </si>
  <si>
    <t>119</t>
  </si>
  <si>
    <t>38</t>
  </si>
  <si>
    <t>1,855</t>
  </si>
  <si>
    <t>91</t>
  </si>
  <si>
    <t>89</t>
  </si>
  <si>
    <t>2026-04-02 13</t>
  </si>
  <si>
    <t>7,480</t>
  </si>
  <si>
    <t>1,512</t>
  </si>
  <si>
    <t>1,034</t>
  </si>
  <si>
    <t>460</t>
  </si>
  <si>
    <t>5,968</t>
  </si>
  <si>
    <t>223</t>
  </si>
  <si>
    <t>5,745</t>
  </si>
  <si>
    <t>5,739</t>
  </si>
  <si>
    <t>2026-04-02 14</t>
  </si>
  <si>
    <t>10,917</t>
  </si>
  <si>
    <t>1,435</t>
  </si>
  <si>
    <t>1,137</t>
  </si>
  <si>
    <t>172</t>
  </si>
  <si>
    <t>9,466</t>
  </si>
  <si>
    <t>9,106</t>
  </si>
  <si>
    <t>358</t>
  </si>
  <si>
    <t>9,102</t>
  </si>
  <si>
    <t>723</t>
  </si>
  <si>
    <t>2026-04-02 15</t>
  </si>
  <si>
    <t>15,148</t>
  </si>
  <si>
    <t>4,078</t>
  </si>
  <si>
    <t>304</t>
  </si>
  <si>
    <t>3,059</t>
  </si>
  <si>
    <t>699</t>
  </si>
  <si>
    <t>10,990</t>
  </si>
  <si>
    <t>209</t>
  </si>
  <si>
    <t>10,781</t>
  </si>
  <si>
    <t>147</t>
  </si>
  <si>
    <t>201</t>
  </si>
  <si>
    <t>10,632</t>
  </si>
  <si>
    <t>80</t>
  </si>
  <si>
    <t>3,260</t>
  </si>
  <si>
    <t>2026-04-02 16</t>
  </si>
  <si>
    <t>10,537</t>
  </si>
  <si>
    <t>2,982</t>
  </si>
  <si>
    <t>2,662</t>
  </si>
  <si>
    <t>292</t>
  </si>
  <si>
    <t>7,553</t>
  </si>
  <si>
    <t>267</t>
  </si>
  <si>
    <t>7,286</t>
  </si>
  <si>
    <t>31</t>
  </si>
  <si>
    <t>571</t>
  </si>
  <si>
    <t>236</t>
  </si>
  <si>
    <t>6,715</t>
  </si>
  <si>
    <t>2026-04-02 17</t>
  </si>
  <si>
    <t>605</t>
  </si>
  <si>
    <t>46</t>
  </si>
  <si>
    <t>487</t>
  </si>
  <si>
    <t>72</t>
  </si>
  <si>
    <t>19</t>
  </si>
  <si>
    <t>2026-04-02 18</t>
  </si>
  <si>
    <t>4,885</t>
  </si>
  <si>
    <t>4,193</t>
  </si>
  <si>
    <t>159</t>
  </si>
  <si>
    <t>2,655</t>
  </si>
  <si>
    <t>1,379</t>
  </si>
  <si>
    <t>691</t>
  </si>
  <si>
    <t>28</t>
  </si>
  <si>
    <t>644</t>
  </si>
  <si>
    <t>2026-04-02 19</t>
  </si>
  <si>
    <t>18,776</t>
  </si>
  <si>
    <t>5,440</t>
  </si>
  <si>
    <t>437</t>
  </si>
  <si>
    <t>4,149</t>
  </si>
  <si>
    <t>807</t>
  </si>
  <si>
    <t>13,336</t>
  </si>
  <si>
    <t>432</t>
  </si>
  <si>
    <t>12,904</t>
  </si>
  <si>
    <t>429</t>
  </si>
  <si>
    <t>12,847</t>
  </si>
  <si>
    <t>21</t>
  </si>
  <si>
    <t>2026-04-02 20</t>
  </si>
  <si>
    <t>21,720</t>
  </si>
  <si>
    <t>5,279</t>
  </si>
  <si>
    <t>428</t>
  </si>
  <si>
    <t>3,998</t>
  </si>
  <si>
    <t>780</t>
  </si>
  <si>
    <t>16,441</t>
  </si>
  <si>
    <t>603</t>
  </si>
  <si>
    <t>15,838</t>
  </si>
  <si>
    <t>2,333</t>
  </si>
  <si>
    <t>456</t>
  </si>
  <si>
    <t>13,475</t>
  </si>
  <si>
    <t>30</t>
  </si>
  <si>
    <t>22</t>
  </si>
  <si>
    <t>2026-04-02 21</t>
  </si>
  <si>
    <t>21,286</t>
  </si>
  <si>
    <t>5,094</t>
  </si>
  <si>
    <t>179</t>
  </si>
  <si>
    <t>3,920</t>
  </si>
  <si>
    <t>943</t>
  </si>
  <si>
    <t>16,128</t>
  </si>
  <si>
    <t>511</t>
  </si>
  <si>
    <t>15,617</t>
  </si>
  <si>
    <t>595</t>
  </si>
  <si>
    <t>14,876</t>
  </si>
  <si>
    <t>64</t>
  </si>
  <si>
    <t>1,204</t>
  </si>
  <si>
    <t>58</t>
  </si>
  <si>
    <t>1,095</t>
  </si>
  <si>
    <t>23</t>
  </si>
  <si>
    <t>2026-04-02 22</t>
  </si>
  <si>
    <t>8,612</t>
  </si>
  <si>
    <t>2,600</t>
  </si>
  <si>
    <t>25</t>
  </si>
  <si>
    <t>2,446</t>
  </si>
  <si>
    <t>6,012</t>
  </si>
  <si>
    <t>417</t>
  </si>
  <si>
    <t>5,595</t>
  </si>
  <si>
    <t>395</t>
  </si>
  <si>
    <t>5,525</t>
  </si>
  <si>
    <t>2026-04-02 23</t>
  </si>
  <si>
    <t>11,165</t>
  </si>
  <si>
    <t>3,480</t>
  </si>
  <si>
    <t>327</t>
  </si>
  <si>
    <t>2,500</t>
  </si>
  <si>
    <t>630</t>
  </si>
  <si>
    <t>7,568</t>
  </si>
  <si>
    <t>135</t>
  </si>
  <si>
    <t>7,433</t>
  </si>
  <si>
    <t>132</t>
  </si>
  <si>
    <t>7,306</t>
  </si>
  <si>
    <t>117</t>
  </si>
  <si>
    <t>971</t>
  </si>
  <si>
    <t>69</t>
  </si>
  <si>
    <t>818</t>
  </si>
  <si>
    <t>84</t>
  </si>
  <si>
    <t>2026-04-03 00</t>
  </si>
  <si>
    <t>6,423</t>
  </si>
  <si>
    <t>1,202</t>
  </si>
  <si>
    <t>146</t>
  </si>
  <si>
    <t>884</t>
  </si>
  <si>
    <t>168</t>
  </si>
  <si>
    <t>5,213</t>
  </si>
  <si>
    <t>5,133</t>
  </si>
  <si>
    <t>111</t>
  </si>
  <si>
    <t>77</t>
  </si>
  <si>
    <t>5,005</t>
  </si>
  <si>
    <t>2026-04-03 01</t>
  </si>
  <si>
    <t>18,151</t>
  </si>
  <si>
    <t>4,363</t>
  </si>
  <si>
    <t>725</t>
  </si>
  <si>
    <t>2,963</t>
  </si>
  <si>
    <t>648</t>
  </si>
  <si>
    <t>13,736</t>
  </si>
  <si>
    <t>13,522</t>
  </si>
  <si>
    <t>451</t>
  </si>
  <si>
    <t>13,052</t>
  </si>
  <si>
    <t>2,249</t>
  </si>
  <si>
    <t>47</t>
  </si>
  <si>
    <t>2,244</t>
  </si>
  <si>
    <t>2026-04-03 02</t>
  </si>
  <si>
    <t>16,757</t>
  </si>
  <si>
    <t>2,931</t>
  </si>
  <si>
    <t>142</t>
  </si>
  <si>
    <t>2,336</t>
  </si>
  <si>
    <t>447</t>
  </si>
  <si>
    <t>13,718</t>
  </si>
  <si>
    <t>13,513</t>
  </si>
  <si>
    <t>357</t>
  </si>
  <si>
    <t>381</t>
  </si>
  <si>
    <t>190</t>
  </si>
  <si>
    <t>12,768</t>
  </si>
  <si>
    <t>108</t>
  </si>
  <si>
    <t>4,385</t>
  </si>
  <si>
    <t>107</t>
  </si>
  <si>
    <t>4,384</t>
  </si>
  <si>
    <t>2026-04-03 03</t>
  </si>
  <si>
    <t>12,823</t>
  </si>
  <si>
    <t>4,496</t>
  </si>
  <si>
    <t>1,170</t>
  </si>
  <si>
    <t>2,916</t>
  </si>
  <si>
    <t>396</t>
  </si>
  <si>
    <t>8,289</t>
  </si>
  <si>
    <t>149</t>
  </si>
  <si>
    <t>8,140</t>
  </si>
  <si>
    <t>476</t>
  </si>
  <si>
    <t>48</t>
  </si>
  <si>
    <t>399</t>
  </si>
  <si>
    <t>97</t>
  </si>
  <si>
    <t>7,253</t>
  </si>
  <si>
    <t>609</t>
  </si>
  <si>
    <t>355</t>
  </si>
  <si>
    <t>254</t>
  </si>
  <si>
    <t>29</t>
  </si>
  <si>
    <t>2026-04-03 04</t>
  </si>
  <si>
    <t>16,077</t>
  </si>
  <si>
    <t>4,810</t>
  </si>
  <si>
    <t>444</t>
  </si>
  <si>
    <t>3,887</t>
  </si>
  <si>
    <t>459</t>
  </si>
  <si>
    <t>11,225</t>
  </si>
  <si>
    <t>245</t>
  </si>
  <si>
    <t>10,980</t>
  </si>
  <si>
    <t>123</t>
  </si>
  <si>
    <t>2,483</t>
  </si>
  <si>
    <t>8,491</t>
  </si>
  <si>
    <t>2,251</t>
  </si>
  <si>
    <t>182</t>
  </si>
  <si>
    <t>2,068</t>
  </si>
  <si>
    <t>2026-04-03 05</t>
  </si>
  <si>
    <t>14,323</t>
  </si>
  <si>
    <t>2,463</t>
  </si>
  <si>
    <t>505</t>
  </si>
  <si>
    <t>1,817</t>
  </si>
  <si>
    <t>133</t>
  </si>
  <si>
    <t>11,740</t>
  </si>
  <si>
    <t>368</t>
  </si>
  <si>
    <t>11,372</t>
  </si>
  <si>
    <t>2,023</t>
  </si>
  <si>
    <t>134</t>
  </si>
  <si>
    <t>1,390</t>
  </si>
  <si>
    <t>217</t>
  </si>
  <si>
    <t>7,944</t>
  </si>
  <si>
    <t>120</t>
  </si>
  <si>
    <t>129</t>
  </si>
  <si>
    <t>2026-04-03 06</t>
  </si>
  <si>
    <t>882</t>
  </si>
  <si>
    <t>403</t>
  </si>
  <si>
    <t>32</t>
  </si>
  <si>
    <t>2026-04-03 07</t>
  </si>
  <si>
    <t>2,590</t>
  </si>
  <si>
    <t>2,545</t>
  </si>
  <si>
    <t>116</t>
  </si>
  <si>
    <t>1,736</t>
  </si>
  <si>
    <t>684</t>
  </si>
  <si>
    <t>45</t>
  </si>
  <si>
    <t>2,165</t>
  </si>
  <si>
    <t>2,157</t>
  </si>
  <si>
    <t>33</t>
  </si>
  <si>
    <t>2026-04-03 08</t>
  </si>
  <si>
    <t>9,307</t>
  </si>
  <si>
    <t>2,310</t>
  </si>
  <si>
    <t>1,843</t>
  </si>
  <si>
    <t>332</t>
  </si>
  <si>
    <t>6,947</t>
  </si>
  <si>
    <t>6,793</t>
  </si>
  <si>
    <t>6,755</t>
  </si>
  <si>
    <t>2,456</t>
  </si>
  <si>
    <t>2,407</t>
  </si>
  <si>
    <t>34</t>
  </si>
  <si>
    <t>2026-04-03 09</t>
  </si>
  <si>
    <t>3,807</t>
  </si>
  <si>
    <t>734</t>
  </si>
  <si>
    <t>610</t>
  </si>
  <si>
    <t>85</t>
  </si>
  <si>
    <t>3,067</t>
  </si>
  <si>
    <t>2,998</t>
  </si>
  <si>
    <t>71</t>
  </si>
  <si>
    <t>2,927</t>
  </si>
  <si>
    <t>183</t>
  </si>
  <si>
    <t>2026-04-03 10</t>
  </si>
  <si>
    <t>10,002</t>
  </si>
  <si>
    <t>1,611</t>
  </si>
  <si>
    <t>139</t>
  </si>
  <si>
    <t>1,215</t>
  </si>
  <si>
    <t>8,007</t>
  </si>
  <si>
    <t>202</t>
  </si>
  <si>
    <t>7,805</t>
  </si>
  <si>
    <t>187</t>
  </si>
  <si>
    <t>7,590</t>
  </si>
  <si>
    <t>384</t>
  </si>
  <si>
    <t>1,397</t>
  </si>
  <si>
    <t>353</t>
  </si>
  <si>
    <t>1,044</t>
  </si>
  <si>
    <t>2026-04-03 11</t>
  </si>
  <si>
    <t>8,244</t>
  </si>
  <si>
    <t>2,033</t>
  </si>
  <si>
    <t>1,810</t>
  </si>
  <si>
    <t>170</t>
  </si>
  <si>
    <t>6,186</t>
  </si>
  <si>
    <t>194</t>
  </si>
  <si>
    <t>5,992</t>
  </si>
  <si>
    <t>259</t>
  </si>
  <si>
    <t>160</t>
  </si>
  <si>
    <t>3,709</t>
  </si>
  <si>
    <t>2026-04-03 12</t>
  </si>
  <si>
    <t>9,020</t>
  </si>
  <si>
    <t>7,584</t>
  </si>
  <si>
    <t>528</t>
  </si>
  <si>
    <t>6,860</t>
  </si>
  <si>
    <t>1,431</t>
  </si>
  <si>
    <t>1,392</t>
  </si>
  <si>
    <t>1,389</t>
  </si>
  <si>
    <t>2026-04-03 13</t>
  </si>
  <si>
    <t>9,432</t>
  </si>
  <si>
    <t>4,297</t>
  </si>
  <si>
    <t>3,014</t>
  </si>
  <si>
    <t>1,233</t>
  </si>
  <si>
    <t>5,131</t>
  </si>
  <si>
    <t>4,872</t>
  </si>
  <si>
    <t>258</t>
  </si>
  <si>
    <t>4,870</t>
  </si>
  <si>
    <t>2026-04-03 14</t>
  </si>
  <si>
    <t>10,037</t>
  </si>
  <si>
    <t>1,168</t>
  </si>
  <si>
    <t>1,022</t>
  </si>
  <si>
    <t>8,854</t>
  </si>
  <si>
    <t>424</t>
  </si>
  <si>
    <t>8,430</t>
  </si>
  <si>
    <t>8,423</t>
  </si>
  <si>
    <t>583</t>
  </si>
  <si>
    <t>2026-04-03 15</t>
  </si>
  <si>
    <t>14,562</t>
  </si>
  <si>
    <t>3,554</t>
  </si>
  <si>
    <t>2,727</t>
  </si>
  <si>
    <t>558</t>
  </si>
  <si>
    <t>10,936</t>
  </si>
  <si>
    <t>213</t>
  </si>
  <si>
    <t>10,723</t>
  </si>
  <si>
    <t>247</t>
  </si>
  <si>
    <t>10,476</t>
  </si>
  <si>
    <t>3,302</t>
  </si>
  <si>
    <t>41</t>
  </si>
  <si>
    <t>2026-04-03 16</t>
  </si>
  <si>
    <t>11,738</t>
  </si>
  <si>
    <t>2,065</t>
  </si>
  <si>
    <t>1,625</t>
  </si>
  <si>
    <t>345</t>
  </si>
  <si>
    <t>9,669</t>
  </si>
  <si>
    <t>312</t>
  </si>
  <si>
    <t>9,357</t>
  </si>
  <si>
    <t>457</t>
  </si>
  <si>
    <t>281</t>
  </si>
  <si>
    <t>8,898</t>
  </si>
  <si>
    <t>99</t>
  </si>
  <si>
    <t>2026-04-03 17</t>
  </si>
  <si>
    <t>2,276</t>
  </si>
  <si>
    <t>2,058</t>
  </si>
  <si>
    <t>218</t>
  </si>
  <si>
    <t>43</t>
  </si>
  <si>
    <t>2026-04-03 18</t>
  </si>
  <si>
    <t>7,831</t>
  </si>
  <si>
    <t>4,402</t>
  </si>
  <si>
    <t>188</t>
  </si>
  <si>
    <t>3,809</t>
  </si>
  <si>
    <t>405</t>
  </si>
  <si>
    <t>3,429</t>
  </si>
  <si>
    <t>166</t>
  </si>
  <si>
    <t>3,263</t>
  </si>
  <si>
    <t>165</t>
  </si>
  <si>
    <t>3,227</t>
  </si>
  <si>
    <t>2026-04-03 19</t>
  </si>
  <si>
    <t>20,331</t>
  </si>
  <si>
    <t>6,142</t>
  </si>
  <si>
    <t>503</t>
  </si>
  <si>
    <t>4,373</t>
  </si>
  <si>
    <t>1,247</t>
  </si>
  <si>
    <t>14,187</t>
  </si>
  <si>
    <t>545</t>
  </si>
  <si>
    <t>13,642</t>
  </si>
  <si>
    <t>542</t>
  </si>
  <si>
    <t>13,581</t>
  </si>
  <si>
    <t>2026-04-03 20</t>
  </si>
  <si>
    <t>19,764</t>
  </si>
  <si>
    <t>4,295</t>
  </si>
  <si>
    <t>546</t>
  </si>
  <si>
    <t>2,731</t>
  </si>
  <si>
    <t>62</t>
  </si>
  <si>
    <t>928</t>
  </si>
  <si>
    <t>15,465</t>
  </si>
  <si>
    <t>599</t>
  </si>
  <si>
    <t>14,866</t>
  </si>
  <si>
    <t>125</t>
  </si>
  <si>
    <t>1,720</t>
  </si>
  <si>
    <t>466</t>
  </si>
  <si>
    <t>13,119</t>
  </si>
  <si>
    <t>2026-04-03 21</t>
  </si>
  <si>
    <t>16,763</t>
  </si>
  <si>
    <t>3,256</t>
  </si>
  <si>
    <t>106</t>
  </si>
  <si>
    <t>2,350</t>
  </si>
  <si>
    <t>764</t>
  </si>
  <si>
    <t>13,502</t>
  </si>
  <si>
    <t>483</t>
  </si>
  <si>
    <t>13,019</t>
  </si>
  <si>
    <t>51</t>
  </si>
  <si>
    <t>477</t>
  </si>
  <si>
    <t>431</t>
  </si>
  <si>
    <t>12,511</t>
  </si>
  <si>
    <t>2026-04-03 22</t>
  </si>
  <si>
    <t>13,117</t>
  </si>
  <si>
    <t>2,066</t>
  </si>
  <si>
    <t>102</t>
  </si>
  <si>
    <t>1,523</t>
  </si>
  <si>
    <t>408</t>
  </si>
  <si>
    <t>10,999</t>
  </si>
  <si>
    <t>486</t>
  </si>
  <si>
    <t>10,513</t>
  </si>
  <si>
    <t>10,458</t>
  </si>
  <si>
    <t>831</t>
  </si>
  <si>
    <t>802</t>
  </si>
  <si>
    <t>2026-04-03 23</t>
  </si>
  <si>
    <t>5,693</t>
  </si>
  <si>
    <t>1,439</t>
  </si>
  <si>
    <t>90</t>
  </si>
  <si>
    <t>1,048</t>
  </si>
  <si>
    <t>272</t>
  </si>
  <si>
    <t>4,250</t>
  </si>
  <si>
    <t>4,178</t>
  </si>
  <si>
    <t>4,176</t>
  </si>
  <si>
    <t>2026-04-04 00</t>
  </si>
  <si>
    <t>8,962</t>
  </si>
  <si>
    <t>2,120</t>
  </si>
  <si>
    <t>261</t>
  </si>
  <si>
    <t>1,507</t>
  </si>
  <si>
    <t>6,812</t>
  </si>
  <si>
    <t>6,709</t>
  </si>
  <si>
    <t>95</t>
  </si>
  <si>
    <t>6,206</t>
  </si>
  <si>
    <t>553</t>
  </si>
  <si>
    <t>551</t>
  </si>
  <si>
    <t>2026-04-04 01</t>
  </si>
  <si>
    <t>17,256</t>
  </si>
  <si>
    <t>4,499</t>
  </si>
  <si>
    <t>306</t>
  </si>
  <si>
    <t>3,551</t>
  </si>
  <si>
    <t>613</t>
  </si>
  <si>
    <t>12,709</t>
  </si>
  <si>
    <t>12,504</t>
  </si>
  <si>
    <t>11,901</t>
  </si>
  <si>
    <t>445</t>
  </si>
  <si>
    <t>379</t>
  </si>
  <si>
    <t>63</t>
  </si>
  <si>
    <t>2026-04-04 02</t>
  </si>
  <si>
    <t>19,183</t>
  </si>
  <si>
    <t>4,146</t>
  </si>
  <si>
    <t>193</t>
  </si>
  <si>
    <t>3,343</t>
  </si>
  <si>
    <t>570</t>
  </si>
  <si>
    <t>14,963</t>
  </si>
  <si>
    <t>222</t>
  </si>
  <si>
    <t>14,741</t>
  </si>
  <si>
    <t>361</t>
  </si>
  <si>
    <t>14,021</t>
  </si>
  <si>
    <t>74</t>
  </si>
  <si>
    <t>994</t>
  </si>
  <si>
    <t>873</t>
  </si>
  <si>
    <t>2026-04-04 03</t>
  </si>
  <si>
    <t>17,115</t>
  </si>
  <si>
    <t>3,732</t>
  </si>
  <si>
    <t>1,030</t>
  </si>
  <si>
    <t>2,218</t>
  </si>
  <si>
    <t>465</t>
  </si>
  <si>
    <t>13,323</t>
  </si>
  <si>
    <t>219</t>
  </si>
  <si>
    <t>13,104</t>
  </si>
  <si>
    <t>376</t>
  </si>
  <si>
    <t>186</t>
  </si>
  <si>
    <t>12,487</t>
  </si>
  <si>
    <t>60</t>
  </si>
  <si>
    <t>2,833</t>
  </si>
  <si>
    <t>2,806</t>
  </si>
  <si>
    <t>2026-04-04 04</t>
  </si>
  <si>
    <t>20,572</t>
  </si>
  <si>
    <t>3,559</t>
  </si>
  <si>
    <t>1,071</t>
  </si>
  <si>
    <t>2,127</t>
  </si>
  <si>
    <t>350</t>
  </si>
  <si>
    <t>16,945</t>
  </si>
  <si>
    <t>406</t>
  </si>
  <si>
    <t>16,539</t>
  </si>
  <si>
    <t>1,190</t>
  </si>
  <si>
    <t>121</t>
  </si>
  <si>
    <t>3,352</t>
  </si>
  <si>
    <t>275</t>
  </si>
  <si>
    <t>11,988</t>
  </si>
  <si>
    <t>68</t>
  </si>
  <si>
    <t>1,396</t>
  </si>
  <si>
    <t>1,364</t>
  </si>
  <si>
    <t>54</t>
  </si>
  <si>
    <t>2026-04-04 05</t>
  </si>
  <si>
    <t>2,990</t>
  </si>
  <si>
    <t>1,834</t>
  </si>
  <si>
    <t>452</t>
  </si>
  <si>
    <t>1,317</t>
  </si>
  <si>
    <t>1,091</t>
  </si>
  <si>
    <t>180</t>
  </si>
  <si>
    <t>911</t>
  </si>
  <si>
    <t>65</t>
  </si>
  <si>
    <t>1,120</t>
  </si>
  <si>
    <t>164</t>
  </si>
  <si>
    <t>2026-04-04 06</t>
  </si>
  <si>
    <t>5,789</t>
  </si>
  <si>
    <t>1,898</t>
  </si>
  <si>
    <t>1,277</t>
  </si>
  <si>
    <t>3,862</t>
  </si>
  <si>
    <t>3,793</t>
  </si>
  <si>
    <t>67</t>
  </si>
  <si>
    <t>3,749</t>
  </si>
  <si>
    <t>1,820</t>
  </si>
  <si>
    <t>56</t>
  </si>
  <si>
    <t>2026-04-04 07</t>
  </si>
  <si>
    <t>4,013</t>
  </si>
  <si>
    <t>3,320</t>
  </si>
  <si>
    <t>2,514</t>
  </si>
  <si>
    <t>581</t>
  </si>
  <si>
    <t>653</t>
  </si>
  <si>
    <t>575</t>
  </si>
  <si>
    <t>1,194</t>
  </si>
  <si>
    <t>1,166</t>
  </si>
  <si>
    <t>2026-04-04 08</t>
  </si>
  <si>
    <t>10,828</t>
  </si>
  <si>
    <t>1,176</t>
  </si>
  <si>
    <t>75</t>
  </si>
  <si>
    <t>9,632</t>
  </si>
  <si>
    <t>9,423</t>
  </si>
  <si>
    <t>199</t>
  </si>
  <si>
    <t>9,195</t>
  </si>
  <si>
    <t>618</t>
  </si>
  <si>
    <t>2026-04-04 09</t>
  </si>
  <si>
    <t>11,219</t>
  </si>
  <si>
    <t>1,949</t>
  </si>
  <si>
    <t>150</t>
  </si>
  <si>
    <t>1,553</t>
  </si>
  <si>
    <t>239</t>
  </si>
  <si>
    <t>9,187</t>
  </si>
  <si>
    <t>330</t>
  </si>
  <si>
    <t>8,857</t>
  </si>
  <si>
    <t>449</t>
  </si>
  <si>
    <t>294</t>
  </si>
  <si>
    <t>8,407</t>
  </si>
  <si>
    <t>83</t>
  </si>
  <si>
    <t>1,183</t>
  </si>
  <si>
    <t>1,118</t>
  </si>
  <si>
    <t>59</t>
  </si>
  <si>
    <t>2026-04-04 10</t>
  </si>
  <si>
    <t>276</t>
  </si>
  <si>
    <t>148</t>
  </si>
  <si>
    <t>141</t>
  </si>
  <si>
    <t>2026-04-04 11</t>
  </si>
  <si>
    <t>4,808</t>
  </si>
  <si>
    <t>2,632</t>
  </si>
  <si>
    <t>2,365</t>
  </si>
  <si>
    <t>242</t>
  </si>
  <si>
    <t>2,160</t>
  </si>
  <si>
    <t>2,142</t>
  </si>
  <si>
    <t>61</t>
  </si>
  <si>
    <t>2026-04-04 12</t>
  </si>
  <si>
    <t>6,534</t>
  </si>
  <si>
    <t>4,879</t>
  </si>
  <si>
    <t>301</t>
  </si>
  <si>
    <t>4,344</t>
  </si>
  <si>
    <t>227</t>
  </si>
  <si>
    <t>1,647</t>
  </si>
  <si>
    <t>1,491</t>
  </si>
  <si>
    <t>2026-04-04 13</t>
  </si>
  <si>
    <t>5,237</t>
  </si>
  <si>
    <t>2,324</t>
  </si>
  <si>
    <t>1,977</t>
  </si>
  <si>
    <t>331</t>
  </si>
  <si>
    <t>2,912</t>
  </si>
  <si>
    <t>2,797</t>
  </si>
  <si>
    <t>88</t>
  </si>
  <si>
    <t>113</t>
  </si>
  <si>
    <t>2,709</t>
  </si>
  <si>
    <t>2026-04-04 14</t>
  </si>
  <si>
    <t>13,728</t>
  </si>
  <si>
    <t>580</t>
  </si>
  <si>
    <t>492</t>
  </si>
  <si>
    <t>13,148</t>
  </si>
  <si>
    <t>530</t>
  </si>
  <si>
    <t>12,618</t>
  </si>
  <si>
    <t>12,609</t>
  </si>
  <si>
    <t>2026-04-04 15</t>
  </si>
  <si>
    <t>7,834</t>
  </si>
  <si>
    <t>2,493</t>
  </si>
  <si>
    <t>1,894</t>
  </si>
  <si>
    <t>5,285</t>
  </si>
  <si>
    <t>5,184</t>
  </si>
  <si>
    <t>5,134</t>
  </si>
  <si>
    <t>2,141</t>
  </si>
  <si>
    <t>2026-04-04 16</t>
  </si>
  <si>
    <t>13,693</t>
  </si>
  <si>
    <t>3,049</t>
  </si>
  <si>
    <t>2,383</t>
  </si>
  <si>
    <t>430</t>
  </si>
  <si>
    <t>10,608</t>
  </si>
  <si>
    <t>10,394</t>
  </si>
  <si>
    <t>226</t>
  </si>
  <si>
    <t>10,168</t>
  </si>
  <si>
    <t>1,471</t>
  </si>
  <si>
    <t>2026-04-04 17</t>
  </si>
  <si>
    <t>7,383</t>
  </si>
  <si>
    <t>2,368</t>
  </si>
  <si>
    <t>2,094</t>
  </si>
  <si>
    <t>240</t>
  </si>
  <si>
    <t>5,015</t>
  </si>
  <si>
    <t>4,803</t>
  </si>
  <si>
    <t>257</t>
  </si>
  <si>
    <t>4,546</t>
  </si>
  <si>
    <t>2026-04-04 18</t>
  </si>
  <si>
    <t>3,713</t>
  </si>
  <si>
    <t>2,376</t>
  </si>
  <si>
    <t>495</t>
  </si>
  <si>
    <t>655</t>
  </si>
  <si>
    <t>590</t>
  </si>
  <si>
    <t>2026-04-04 19</t>
  </si>
  <si>
    <t>18,442</t>
  </si>
  <si>
    <t>6,234</t>
  </si>
  <si>
    <t>4,936</t>
  </si>
  <si>
    <t>857</t>
  </si>
  <si>
    <t>12,206</t>
  </si>
  <si>
    <t>475</t>
  </si>
  <si>
    <t>11,731</t>
  </si>
  <si>
    <t>11,429</t>
  </si>
  <si>
    <t>2026-04-04 20</t>
  </si>
  <si>
    <t>20,637</t>
  </si>
  <si>
    <t>4,568</t>
  </si>
  <si>
    <t>3,295</t>
  </si>
  <si>
    <t>1,016</t>
  </si>
  <si>
    <t>16,068</t>
  </si>
  <si>
    <t>614</t>
  </si>
  <si>
    <t>15,454</t>
  </si>
  <si>
    <t>104</t>
  </si>
  <si>
    <t>629</t>
  </si>
  <si>
    <t>506</t>
  </si>
  <si>
    <t>14,797</t>
  </si>
  <si>
    <t>70</t>
  </si>
  <si>
    <t>2026-04-04 21</t>
  </si>
  <si>
    <t>16,934</t>
  </si>
  <si>
    <t>3,339</t>
  </si>
  <si>
    <t>2,690</t>
  </si>
  <si>
    <t>518</t>
  </si>
  <si>
    <t>13,566</t>
  </si>
  <si>
    <t>481</t>
  </si>
  <si>
    <t>13,085</t>
  </si>
  <si>
    <t>472</t>
  </si>
  <si>
    <t>13,045</t>
  </si>
  <si>
    <t>2026-04-04 22</t>
  </si>
  <si>
    <t>7,825</t>
  </si>
  <si>
    <t>522</t>
  </si>
  <si>
    <t>7,114</t>
  </si>
  <si>
    <t>6,769</t>
  </si>
  <si>
    <t>343</t>
  </si>
  <si>
    <t>6,734</t>
  </si>
  <si>
    <t>2026-04-04 23</t>
  </si>
  <si>
    <t>15,678</t>
  </si>
  <si>
    <t>4,917</t>
  </si>
  <si>
    <t>410</t>
  </si>
  <si>
    <t>3,696</t>
  </si>
  <si>
    <t>786</t>
  </si>
  <si>
    <t>10,658</t>
  </si>
  <si>
    <t>10,465</t>
  </si>
  <si>
    <t>714</t>
  </si>
  <si>
    <t>9,643</t>
  </si>
  <si>
    <t>3,854</t>
  </si>
  <si>
    <t>87</t>
  </si>
  <si>
    <t>3,799</t>
  </si>
  <si>
    <t>2026-04-05 00</t>
  </si>
  <si>
    <t>8,045</t>
  </si>
  <si>
    <t>1,587</t>
  </si>
  <si>
    <t>1,280</t>
  </si>
  <si>
    <t>229</t>
  </si>
  <si>
    <t>6,436</t>
  </si>
  <si>
    <t>114</t>
  </si>
  <si>
    <t>6,322</t>
  </si>
  <si>
    <t>6,107</t>
  </si>
  <si>
    <t>951</t>
  </si>
  <si>
    <t>937</t>
  </si>
  <si>
    <t>2026-04-05 01</t>
  </si>
  <si>
    <t>15,333</t>
  </si>
  <si>
    <t>3,726</t>
  </si>
  <si>
    <t>392</t>
  </si>
  <si>
    <t>2,753</t>
  </si>
  <si>
    <t>559</t>
  </si>
  <si>
    <t>11,529</t>
  </si>
  <si>
    <t>200</t>
  </si>
  <si>
    <t>11,329</t>
  </si>
  <si>
    <t>11,034</t>
  </si>
  <si>
    <t>78</t>
  </si>
  <si>
    <t>3,233</t>
  </si>
  <si>
    <t>3,229</t>
  </si>
  <si>
    <t>2026-04-05 02</t>
  </si>
  <si>
    <t>14,868</t>
  </si>
  <si>
    <t>1,533</t>
  </si>
  <si>
    <t>1,331</t>
  </si>
  <si>
    <t>13,310</t>
  </si>
  <si>
    <t>13,098</t>
  </si>
  <si>
    <t>12,606</t>
  </si>
  <si>
    <t>809</t>
  </si>
  <si>
    <t>76</t>
  </si>
  <si>
    <t>2026-04-05 03</t>
  </si>
  <si>
    <t>18,145</t>
  </si>
  <si>
    <t>2,649</t>
  </si>
  <si>
    <t>1,185</t>
  </si>
  <si>
    <t>215</t>
  </si>
  <si>
    <t>15,494</t>
  </si>
  <si>
    <t>15,145</t>
  </si>
  <si>
    <t>650</t>
  </si>
  <si>
    <t>315</t>
  </si>
  <si>
    <t>14,494</t>
  </si>
  <si>
    <t>2026-04-05 04</t>
  </si>
  <si>
    <t>4,661</t>
  </si>
  <si>
    <t>2,566</t>
  </si>
  <si>
    <t>705</t>
  </si>
  <si>
    <t>1,712</t>
  </si>
  <si>
    <t>2,077</t>
  </si>
  <si>
    <t>1,970</t>
  </si>
  <si>
    <t>1,961</t>
  </si>
  <si>
    <t>2026-04-05 05</t>
  </si>
  <si>
    <t>7,901</t>
  </si>
  <si>
    <t>2,752</t>
  </si>
  <si>
    <t>325</t>
  </si>
  <si>
    <t>2,193</t>
  </si>
  <si>
    <t>5,072</t>
  </si>
  <si>
    <t>4,905</t>
  </si>
  <si>
    <t>4,653</t>
  </si>
  <si>
    <t>2,220</t>
  </si>
  <si>
    <t>2,183</t>
  </si>
  <si>
    <t>2026-04-05 06</t>
  </si>
  <si>
    <t>7,191</t>
  </si>
  <si>
    <t>1,402</t>
  </si>
  <si>
    <t>869</t>
  </si>
  <si>
    <t>5,785</t>
  </si>
  <si>
    <t>5,526</t>
  </si>
  <si>
    <t>260</t>
  </si>
  <si>
    <t>233</t>
  </si>
  <si>
    <t>5,264</t>
  </si>
  <si>
    <t>2026-04-05 07</t>
  </si>
  <si>
    <t>2,855</t>
  </si>
  <si>
    <t>2,637</t>
  </si>
  <si>
    <t>169</t>
  </si>
  <si>
    <t>1,886</t>
  </si>
  <si>
    <t>576</t>
  </si>
  <si>
    <t>1,659</t>
  </si>
  <si>
    <t>81</t>
  </si>
  <si>
    <t>2026-04-05 08</t>
  </si>
  <si>
    <t>3,945</t>
  </si>
  <si>
    <t>264</t>
  </si>
  <si>
    <t>3,681</t>
  </si>
  <si>
    <t>3,602</t>
  </si>
  <si>
    <t>3,586</t>
  </si>
  <si>
    <t>82</t>
  </si>
  <si>
    <t>2026-04-05 09</t>
  </si>
  <si>
    <t>631</t>
  </si>
  <si>
    <t>369</t>
  </si>
  <si>
    <t>906</t>
  </si>
  <si>
    <t>2026-04-05 10</t>
  </si>
  <si>
    <t>11,601</t>
  </si>
  <si>
    <t>2,714</t>
  </si>
  <si>
    <t>196</t>
  </si>
  <si>
    <t>2,117</t>
  </si>
  <si>
    <t>387</t>
  </si>
  <si>
    <t>8,848</t>
  </si>
  <si>
    <t>162</t>
  </si>
  <si>
    <t>8,686</t>
  </si>
  <si>
    <t>143</t>
  </si>
  <si>
    <t>144</t>
  </si>
  <si>
    <t>6,875</t>
  </si>
  <si>
    <t>2,281</t>
  </si>
  <si>
    <t>2,280</t>
  </si>
  <si>
    <t>2026-04-05 11</t>
  </si>
  <si>
    <t>7,237</t>
  </si>
  <si>
    <t>1,514</t>
  </si>
  <si>
    <t>1,138</t>
  </si>
  <si>
    <t>298</t>
  </si>
  <si>
    <t>5,706</t>
  </si>
  <si>
    <t>243</t>
  </si>
  <si>
    <t>5,463</t>
  </si>
  <si>
    <t>5,068</t>
  </si>
  <si>
    <t>2026-04-05 12</t>
  </si>
  <si>
    <t>8,590</t>
  </si>
  <si>
    <t>6,720</t>
  </si>
  <si>
    <t>316</t>
  </si>
  <si>
    <t>6,155</t>
  </si>
  <si>
    <t>246</t>
  </si>
  <si>
    <t>1,860</t>
  </si>
  <si>
    <t>86</t>
  </si>
  <si>
    <t>2026-04-05 13</t>
  </si>
  <si>
    <t>11,520</t>
  </si>
  <si>
    <t>3,334</t>
  </si>
  <si>
    <t>2,584</t>
  </si>
  <si>
    <t>728</t>
  </si>
  <si>
    <t>8,186</t>
  </si>
  <si>
    <t>7,880</t>
  </si>
  <si>
    <t>7,879</t>
  </si>
  <si>
    <t>2026-04-05 14</t>
  </si>
  <si>
    <t>8,062</t>
  </si>
  <si>
    <t>1,123</t>
  </si>
  <si>
    <t>211</t>
  </si>
  <si>
    <t>6,603</t>
  </si>
  <si>
    <t>328</t>
  </si>
  <si>
    <t>6,275</t>
  </si>
  <si>
    <t>6,274</t>
  </si>
  <si>
    <t>1,409</t>
  </si>
  <si>
    <t>1,408</t>
  </si>
  <si>
    <t>2026-04-05 15</t>
  </si>
  <si>
    <t>14,201</t>
  </si>
  <si>
    <t>3,835</t>
  </si>
  <si>
    <t>303</t>
  </si>
  <si>
    <t>2,995</t>
  </si>
  <si>
    <t>524</t>
  </si>
  <si>
    <t>10,316</t>
  </si>
  <si>
    <t>221</t>
  </si>
  <si>
    <t>10,095</t>
  </si>
  <si>
    <t>216</t>
  </si>
  <si>
    <t>10,011</t>
  </si>
  <si>
    <t>2,205</t>
  </si>
  <si>
    <t>2026-04-05 16</t>
  </si>
  <si>
    <t>10,743</t>
  </si>
  <si>
    <t>582</t>
  </si>
  <si>
    <t>467</t>
  </si>
  <si>
    <t>10,155</t>
  </si>
  <si>
    <t>9,833</t>
  </si>
  <si>
    <t>591</t>
  </si>
  <si>
    <t>291</t>
  </si>
  <si>
    <t>9,237</t>
  </si>
  <si>
    <t>2026-04-05 17</t>
  </si>
  <si>
    <t>2,528</t>
  </si>
  <si>
    <t>321</t>
  </si>
  <si>
    <t>2026-04-05 18</t>
  </si>
  <si>
    <t>3,434</t>
  </si>
  <si>
    <t>2,317</t>
  </si>
  <si>
    <t>1,088</t>
  </si>
  <si>
    <t>1,098</t>
  </si>
  <si>
    <t>1,117</t>
  </si>
  <si>
    <t>1,069</t>
  </si>
  <si>
    <t>1,010</t>
  </si>
  <si>
    <t>2026-04-05 19</t>
  </si>
  <si>
    <t>17,468</t>
  </si>
  <si>
    <t>6,049</t>
  </si>
  <si>
    <t>293</t>
  </si>
  <si>
    <t>4,908</t>
  </si>
  <si>
    <t>834</t>
  </si>
  <si>
    <t>11,419</t>
  </si>
  <si>
    <t>10,988</t>
  </si>
  <si>
    <t>418</t>
  </si>
  <si>
    <t>10,839</t>
  </si>
  <si>
    <t>2026-04-05 20</t>
  </si>
  <si>
    <t>16,422</t>
  </si>
  <si>
    <t>4,274</t>
  </si>
  <si>
    <t>3,159</t>
  </si>
  <si>
    <t>849</t>
  </si>
  <si>
    <t>12,147</t>
  </si>
  <si>
    <t>510</t>
  </si>
  <si>
    <t>11,637</t>
  </si>
  <si>
    <t>378</t>
  </si>
  <si>
    <t>11,246</t>
  </si>
  <si>
    <t>94</t>
  </si>
  <si>
    <t>2026-04-05 21</t>
  </si>
  <si>
    <t>14,845</t>
  </si>
  <si>
    <t>1,905</t>
  </si>
  <si>
    <t>1,752</t>
  </si>
  <si>
    <t>109</t>
  </si>
  <si>
    <t>12,925</t>
  </si>
  <si>
    <t>382</t>
  </si>
  <si>
    <t>12,543</t>
  </si>
  <si>
    <t>12,520</t>
  </si>
  <si>
    <t>138</t>
  </si>
  <si>
    <t>2026-04-05 22</t>
  </si>
  <si>
    <t>10,301</t>
  </si>
  <si>
    <t>203</t>
  </si>
  <si>
    <t>10,098</t>
  </si>
  <si>
    <t>9,667</t>
  </si>
  <si>
    <t>425</t>
  </si>
  <si>
    <t>9,649</t>
  </si>
  <si>
    <t>2026-04-05 23</t>
  </si>
  <si>
    <t>12,486</t>
  </si>
  <si>
    <t>4,121</t>
  </si>
  <si>
    <t>289</t>
  </si>
  <si>
    <t>3,181</t>
  </si>
  <si>
    <t>637</t>
  </si>
  <si>
    <t>8,311</t>
  </si>
  <si>
    <t>8,177</t>
  </si>
  <si>
    <t>128</t>
  </si>
  <si>
    <t>7,648</t>
  </si>
  <si>
    <t>1,114</t>
  </si>
  <si>
    <t>2026-04-06 00</t>
  </si>
  <si>
    <t>7,062</t>
  </si>
  <si>
    <t>1,959</t>
  </si>
  <si>
    <t>151</t>
  </si>
  <si>
    <t>1,493</t>
  </si>
  <si>
    <t>311</t>
  </si>
  <si>
    <t>5,076</t>
  </si>
  <si>
    <t>5,001</t>
  </si>
  <si>
    <t>4,678</t>
  </si>
  <si>
    <t>632</t>
  </si>
  <si>
    <t>98</t>
  </si>
  <si>
    <t>2026-04-06 01</t>
  </si>
  <si>
    <t>17,313</t>
  </si>
  <si>
    <t>3,265</t>
  </si>
  <si>
    <t>2,552</t>
  </si>
  <si>
    <t>13,930</t>
  </si>
  <si>
    <t>13,704</t>
  </si>
  <si>
    <t>251</t>
  </si>
  <si>
    <t>13,453</t>
  </si>
  <si>
    <t>4,463</t>
  </si>
  <si>
    <t>112</t>
  </si>
  <si>
    <t>4,422</t>
  </si>
  <si>
    <t>2026-04-06 02</t>
  </si>
  <si>
    <t>13,800</t>
  </si>
  <si>
    <t>1,023</t>
  </si>
  <si>
    <t>878</t>
  </si>
  <si>
    <t>12,773</t>
  </si>
  <si>
    <t>12,564</t>
  </si>
  <si>
    <t>305</t>
  </si>
  <si>
    <t>12,258</t>
  </si>
  <si>
    <t>100</t>
  </si>
  <si>
    <t>2026-04-06 03</t>
  </si>
  <si>
    <t>13,585</t>
  </si>
  <si>
    <t>2,241</t>
  </si>
  <si>
    <t>979</t>
  </si>
  <si>
    <t>1,047</t>
  </si>
  <si>
    <t>11,343</t>
  </si>
  <si>
    <t>302</t>
  </si>
  <si>
    <t>11,041</t>
  </si>
  <si>
    <t>534</t>
  </si>
  <si>
    <t>269</t>
  </si>
  <si>
    <t>10,506</t>
  </si>
  <si>
    <t>2026-04-06 04</t>
  </si>
  <si>
    <t>4,971</t>
  </si>
  <si>
    <t>1,974</t>
  </si>
  <si>
    <t>744</t>
  </si>
  <si>
    <t>1,112</t>
  </si>
  <si>
    <t>2,997</t>
  </si>
  <si>
    <t>860</t>
  </si>
  <si>
    <t>2026-04-06 05</t>
  </si>
  <si>
    <t>992</t>
  </si>
  <si>
    <t>903</t>
  </si>
  <si>
    <t>184</t>
  </si>
  <si>
    <t>657</t>
  </si>
  <si>
    <t>1,434</t>
  </si>
  <si>
    <t>1,383</t>
  </si>
  <si>
    <t>2026-04-06 06</t>
  </si>
  <si>
    <t>8,670</t>
  </si>
  <si>
    <t>2,503</t>
  </si>
  <si>
    <t>6,141</t>
  </si>
  <si>
    <t>6,019</t>
  </si>
  <si>
    <t>1,592</t>
  </si>
  <si>
    <t>2026-04-06 07</t>
  </si>
  <si>
    <t>6,887</t>
  </si>
  <si>
    <t>1,558</t>
  </si>
  <si>
    <t>4,603</t>
  </si>
  <si>
    <t>4,501</t>
  </si>
  <si>
    <t>4,314</t>
  </si>
  <si>
    <t>922</t>
  </si>
  <si>
    <t>105</t>
  </si>
  <si>
    <t>2026-04-06 08</t>
  </si>
  <si>
    <t>3,230</t>
  </si>
  <si>
    <t>277</t>
  </si>
  <si>
    <t>2,895</t>
  </si>
  <si>
    <t>2,824</t>
  </si>
  <si>
    <t>2,762</t>
  </si>
  <si>
    <t>198</t>
  </si>
  <si>
    <t>2026-04-06 09</t>
  </si>
  <si>
    <t>12,656</t>
  </si>
  <si>
    <t>10,230</t>
  </si>
  <si>
    <t>9,900</t>
  </si>
  <si>
    <t>484</t>
  </si>
  <si>
    <t>8,938</t>
  </si>
  <si>
    <t>185</t>
  </si>
  <si>
    <t>2,375</t>
  </si>
  <si>
    <t>2,225</t>
  </si>
  <si>
    <t>2026-04-06 10</t>
  </si>
  <si>
    <t>2,000</t>
  </si>
  <si>
    <t>140</t>
  </si>
  <si>
    <t>1,838</t>
  </si>
  <si>
    <t>2026-04-06 11</t>
  </si>
  <si>
    <t>2,079</t>
  </si>
  <si>
    <t>2,056</t>
  </si>
  <si>
    <t>1,825</t>
  </si>
  <si>
    <t>2026-04-06 12</t>
  </si>
  <si>
    <t>7,563</t>
  </si>
  <si>
    <t>6,412</t>
  </si>
  <si>
    <t>6,039</t>
  </si>
  <si>
    <t>1,144</t>
  </si>
  <si>
    <t>1,116</t>
  </si>
  <si>
    <t>1,115</t>
  </si>
  <si>
    <t>110</t>
  </si>
  <si>
    <t>2026-04-06 13</t>
  </si>
  <si>
    <t>7,748</t>
  </si>
  <si>
    <t>2,359</t>
  </si>
  <si>
    <t>2,034</t>
  </si>
  <si>
    <t>309</t>
  </si>
  <si>
    <t>5,389</t>
  </si>
  <si>
    <t>5,147</t>
  </si>
  <si>
    <t>5,145</t>
  </si>
  <si>
    <t>2026-04-06 14</t>
  </si>
  <si>
    <t>9,143</t>
  </si>
  <si>
    <t>984</t>
  </si>
  <si>
    <t>8,159</t>
  </si>
  <si>
    <t>389</t>
  </si>
  <si>
    <t>7,770</t>
  </si>
  <si>
    <t>7,769</t>
  </si>
  <si>
    <t>2026-04-06 15</t>
  </si>
  <si>
    <t>11,098</t>
  </si>
  <si>
    <t>3,552</t>
  </si>
  <si>
    <t>2,729</t>
  </si>
  <si>
    <t>7,478</t>
  </si>
  <si>
    <t>7,325</t>
  </si>
  <si>
    <t>7,262</t>
  </si>
  <si>
    <t>2,920</t>
  </si>
  <si>
    <t>2026-04-06 16</t>
  </si>
  <si>
    <t>16,774</t>
  </si>
  <si>
    <t>2,238</t>
  </si>
  <si>
    <t>1,851</t>
  </si>
  <si>
    <t>14,525</t>
  </si>
  <si>
    <t>14,143</t>
  </si>
  <si>
    <t>536</t>
  </si>
  <si>
    <t>13,603</t>
  </si>
  <si>
    <t>2026-04-06 17</t>
  </si>
  <si>
    <t>3,387</t>
  </si>
  <si>
    <t>2,968</t>
  </si>
  <si>
    <t>374</t>
  </si>
  <si>
    <t>2026-04-06 18</t>
  </si>
  <si>
    <t>3,954</t>
  </si>
  <si>
    <t>2,410</t>
  </si>
  <si>
    <t>157</t>
  </si>
  <si>
    <t>1,465</t>
  </si>
  <si>
    <t>1,544</t>
  </si>
  <si>
    <t>1,476</t>
  </si>
  <si>
    <t>1,474</t>
  </si>
  <si>
    <t>2026-04-06 19</t>
  </si>
  <si>
    <t>18,359</t>
  </si>
  <si>
    <t>386</t>
  </si>
  <si>
    <t>2,462</t>
  </si>
  <si>
    <t>14,279</t>
  </si>
  <si>
    <t>464</t>
  </si>
  <si>
    <t>13,815</t>
  </si>
  <si>
    <t>443</t>
  </si>
  <si>
    <t>13,596</t>
  </si>
  <si>
    <t>2026-04-06 20</t>
  </si>
  <si>
    <t>20,299</t>
  </si>
  <si>
    <t>5,915</t>
  </si>
  <si>
    <t>5,189</t>
  </si>
  <si>
    <t>14,384</t>
  </si>
  <si>
    <t>556</t>
  </si>
  <si>
    <t>13,828</t>
  </si>
  <si>
    <t>419</t>
  </si>
  <si>
    <t>13,379</t>
  </si>
  <si>
    <t>2026-04-06 21</t>
  </si>
  <si>
    <t>17,350</t>
  </si>
  <si>
    <t>3,477</t>
  </si>
  <si>
    <t>3,083</t>
  </si>
  <si>
    <t>13,854</t>
  </si>
  <si>
    <t>363</t>
  </si>
  <si>
    <t>13,491</t>
  </si>
  <si>
    <t>13,468</t>
  </si>
  <si>
    <t>329</t>
  </si>
  <si>
    <t>2026-04-06 22</t>
  </si>
  <si>
    <t>10,351</t>
  </si>
  <si>
    <t>564</t>
  </si>
  <si>
    <t>177</t>
  </si>
  <si>
    <t>9,587</t>
  </si>
  <si>
    <t>9,161</t>
  </si>
  <si>
    <t>421</t>
  </si>
  <si>
    <t>9,122</t>
  </si>
  <si>
    <t>2026-04-06 23</t>
  </si>
  <si>
    <t>14,533</t>
  </si>
  <si>
    <t>4,036</t>
  </si>
  <si>
    <t>3,119</t>
  </si>
  <si>
    <t>623</t>
  </si>
  <si>
    <t>10,407</t>
  </si>
  <si>
    <t>10,227</t>
  </si>
  <si>
    <t>175</t>
  </si>
  <si>
    <t>10,085</t>
  </si>
  <si>
    <t>2,137</t>
  </si>
  <si>
    <t>2,114</t>
  </si>
  <si>
    <t>2026-04-07 00</t>
  </si>
  <si>
    <t>4,919</t>
  </si>
  <si>
    <t>1,150</t>
  </si>
  <si>
    <t>913</t>
  </si>
  <si>
    <t>3,711</t>
  </si>
  <si>
    <t>3,650</t>
  </si>
  <si>
    <t>3,587</t>
  </si>
  <si>
    <t>2,233</t>
  </si>
  <si>
    <t>2026-04-07 01</t>
  </si>
  <si>
    <t>17,405</t>
  </si>
  <si>
    <t>2,523</t>
  </si>
  <si>
    <t>14,823</t>
  </si>
  <si>
    <t>14,593</t>
  </si>
  <si>
    <t>299</t>
  </si>
  <si>
    <t>13,578</t>
  </si>
  <si>
    <t>1,922</t>
  </si>
  <si>
    <t>1,865</t>
  </si>
  <si>
    <t>2026-04-07 02</t>
  </si>
  <si>
    <t>11,447</t>
  </si>
  <si>
    <t>1,172</t>
  </si>
  <si>
    <t>1,039</t>
  </si>
  <si>
    <t>10,273</t>
  </si>
  <si>
    <t>10,141</t>
  </si>
  <si>
    <t>237</t>
  </si>
  <si>
    <t>124</t>
  </si>
  <si>
    <t>9,903</t>
  </si>
  <si>
    <t>2026-04-07 03</t>
  </si>
  <si>
    <t>2,902</t>
  </si>
  <si>
    <t>2,792</t>
  </si>
  <si>
    <t>1,262</t>
  </si>
  <si>
    <t>1,284</t>
  </si>
  <si>
    <t>2026-04-07 04</t>
  </si>
  <si>
    <t>15,593</t>
  </si>
  <si>
    <t>3,624</t>
  </si>
  <si>
    <t>2,904</t>
  </si>
  <si>
    <t>285</t>
  </si>
  <si>
    <t>11,922</t>
  </si>
  <si>
    <t>11,655</t>
  </si>
  <si>
    <t>1,336</t>
  </si>
  <si>
    <t>145</t>
  </si>
  <si>
    <t>9,723</t>
  </si>
  <si>
    <t>2,861</t>
  </si>
  <si>
    <t>2,858</t>
  </si>
  <si>
    <t>126</t>
  </si>
  <si>
    <t>2026-04-07 05</t>
  </si>
  <si>
    <t>13,416</t>
  </si>
  <si>
    <t>1,420</t>
  </si>
  <si>
    <t>1,018</t>
  </si>
  <si>
    <t>152</t>
  </si>
  <si>
    <t>11,959</t>
  </si>
  <si>
    <t>11,660</t>
  </si>
  <si>
    <t>561</t>
  </si>
  <si>
    <t>266</t>
  </si>
  <si>
    <t>10,979</t>
  </si>
  <si>
    <t>210</t>
  </si>
  <si>
    <t>2026-04-07 06</t>
  </si>
  <si>
    <t>1,125</t>
  </si>
  <si>
    <t>402</t>
  </si>
  <si>
    <t>367</t>
  </si>
  <si>
    <t>2026-04-07 07</t>
  </si>
  <si>
    <t>995</t>
  </si>
  <si>
    <t>972</t>
  </si>
  <si>
    <t>665</t>
  </si>
  <si>
    <t>279</t>
  </si>
  <si>
    <t>2026-04-07 08</t>
  </si>
  <si>
    <t>4,133</t>
  </si>
  <si>
    <t>1,552</t>
  </si>
  <si>
    <t>1,292</t>
  </si>
  <si>
    <t>2,534</t>
  </si>
  <si>
    <t>2,479</t>
  </si>
  <si>
    <t>2,478</t>
  </si>
  <si>
    <t>1,464</t>
  </si>
  <si>
    <t>1,387</t>
  </si>
  <si>
    <t>130</t>
  </si>
  <si>
    <t>2026-04-07 09</t>
  </si>
  <si>
    <t>10,399</t>
  </si>
  <si>
    <t>2,606</t>
  </si>
  <si>
    <t>173</t>
  </si>
  <si>
    <t>2,083</t>
  </si>
  <si>
    <t>7,738</t>
  </si>
  <si>
    <t>161</t>
  </si>
  <si>
    <t>7,577</t>
  </si>
  <si>
    <t>7,512</t>
  </si>
  <si>
    <t>2,636</t>
  </si>
  <si>
    <t>131</t>
  </si>
  <si>
    <t>2026-04-07 10</t>
  </si>
  <si>
    <t>8,493</t>
  </si>
  <si>
    <t>7,878</t>
  </si>
  <si>
    <t>7,602</t>
  </si>
  <si>
    <t>1,904</t>
  </si>
  <si>
    <t>5,330</t>
  </si>
  <si>
    <t>2026-04-07 11</t>
  </si>
  <si>
    <t>1,744</t>
  </si>
  <si>
    <t>1,738</t>
  </si>
  <si>
    <t>1,499</t>
  </si>
  <si>
    <t>2026-04-07 12</t>
  </si>
  <si>
    <t>6,660</t>
  </si>
  <si>
    <t>5,600</t>
  </si>
  <si>
    <t>5,215</t>
  </si>
  <si>
    <t>997</t>
  </si>
  <si>
    <t>2026-04-07 13</t>
  </si>
  <si>
    <t>8,648</t>
  </si>
  <si>
    <t>3,100</t>
  </si>
  <si>
    <t>5,261</t>
  </si>
  <si>
    <t>4,994</t>
  </si>
  <si>
    <t>4,990</t>
  </si>
  <si>
    <t>2026-04-07 14</t>
  </si>
  <si>
    <t>10,787</t>
  </si>
  <si>
    <t>450</t>
  </si>
  <si>
    <t>341</t>
  </si>
  <si>
    <t>10,337</t>
  </si>
  <si>
    <t>439</t>
  </si>
  <si>
    <t>9,898</t>
  </si>
  <si>
    <t>9,894</t>
  </si>
  <si>
    <t>136</t>
  </si>
  <si>
    <t>2026-04-07 15</t>
  </si>
  <si>
    <t>12,848</t>
  </si>
  <si>
    <t>3,765</t>
  </si>
  <si>
    <t>501</t>
  </si>
  <si>
    <t>9,013</t>
  </si>
  <si>
    <t>8,841</t>
  </si>
  <si>
    <t>8,694</t>
  </si>
  <si>
    <t>3,284</t>
  </si>
  <si>
    <t>137</t>
  </si>
  <si>
    <t>2026-04-07 16</t>
  </si>
  <si>
    <t>15,783</t>
  </si>
  <si>
    <t>3,648</t>
  </si>
  <si>
    <t>232</t>
  </si>
  <si>
    <t>2,945</t>
  </si>
  <si>
    <t>458</t>
  </si>
  <si>
    <t>11,998</t>
  </si>
  <si>
    <t>11,774</t>
  </si>
  <si>
    <t>11,569</t>
  </si>
  <si>
    <t>1,739</t>
  </si>
  <si>
    <t>1,684</t>
  </si>
  <si>
    <t>2026-04-07 17</t>
  </si>
  <si>
    <t>8,360</t>
  </si>
  <si>
    <t>1,560</t>
  </si>
  <si>
    <t>6,430</t>
  </si>
  <si>
    <t>6,177</t>
  </si>
  <si>
    <t>5,744</t>
  </si>
  <si>
    <t>2026-04-07 18</t>
  </si>
  <si>
    <t>6,694</t>
  </si>
  <si>
    <t>4,569</t>
  </si>
  <si>
    <t>3,542</t>
  </si>
  <si>
    <t>946</t>
  </si>
  <si>
    <t>2,125</t>
  </si>
  <si>
    <t>2,052</t>
  </si>
  <si>
    <t>2026-04-07 19</t>
  </si>
  <si>
    <t>19,612</t>
  </si>
  <si>
    <t>5,124</t>
  </si>
  <si>
    <t>3,739</t>
  </si>
  <si>
    <t>1,017</t>
  </si>
  <si>
    <t>14,486</t>
  </si>
  <si>
    <t>14,019</t>
  </si>
  <si>
    <t>13,903</t>
  </si>
  <si>
    <t>2026-04-07 20</t>
  </si>
  <si>
    <t>23,152</t>
  </si>
  <si>
    <t>5,662</t>
  </si>
  <si>
    <t>550</t>
  </si>
  <si>
    <t>4,348</t>
  </si>
  <si>
    <t>680</t>
  </si>
  <si>
    <t>17,490</t>
  </si>
  <si>
    <t>685</t>
  </si>
  <si>
    <t>16,805</t>
  </si>
  <si>
    <t>1,900</t>
  </si>
  <si>
    <t>548</t>
  </si>
  <si>
    <t>14,854</t>
  </si>
  <si>
    <t>2026-04-07 21</t>
  </si>
  <si>
    <t>20,318</t>
  </si>
  <si>
    <t>4,715</t>
  </si>
  <si>
    <t>3,356</t>
  </si>
  <si>
    <t>15,599</t>
  </si>
  <si>
    <t>554</t>
  </si>
  <si>
    <t>15,045</t>
  </si>
  <si>
    <t>552</t>
  </si>
  <si>
    <t>517</t>
  </si>
  <si>
    <t>14,465</t>
  </si>
  <si>
    <t>2026-04-07 22</t>
  </si>
  <si>
    <t>13,332</t>
  </si>
  <si>
    <t>1,630</t>
  </si>
  <si>
    <t>1,282</t>
  </si>
  <si>
    <t>11,651</t>
  </si>
  <si>
    <t>11,060</t>
  </si>
  <si>
    <t>10,953</t>
  </si>
  <si>
    <t>844</t>
  </si>
  <si>
    <t>826</t>
  </si>
  <si>
    <t>2026-04-07 23</t>
  </si>
  <si>
    <t>10,372</t>
  </si>
  <si>
    <t>3,403</t>
  </si>
  <si>
    <t>2,686</t>
  </si>
  <si>
    <t>6,933</t>
  </si>
  <si>
    <t>6,828</t>
  </si>
  <si>
    <t>6,404</t>
  </si>
  <si>
    <t>755</t>
  </si>
  <si>
    <t>726</t>
  </si>
  <si>
    <t>2026-04-08 00</t>
  </si>
  <si>
    <t>6,681</t>
  </si>
  <si>
    <t>1,871</t>
  </si>
  <si>
    <t>197</t>
  </si>
  <si>
    <t>4,773</t>
  </si>
  <si>
    <t>4,701</t>
  </si>
  <si>
    <t>4,269</t>
  </si>
  <si>
    <t>1,327</t>
  </si>
  <si>
    <t>2026-04-08 01</t>
  </si>
  <si>
    <t>18,561</t>
  </si>
  <si>
    <t>4,120</t>
  </si>
  <si>
    <t>13,639</t>
  </si>
  <si>
    <t>13,459</t>
  </si>
  <si>
    <t>174</t>
  </si>
  <si>
    <t>13,084</t>
  </si>
  <si>
    <t>1,742</t>
  </si>
  <si>
    <t>1,702</t>
  </si>
  <si>
    <t>2026-04-08 02</t>
  </si>
  <si>
    <t>18,878</t>
  </si>
  <si>
    <t>3,289</t>
  </si>
  <si>
    <t>2,985</t>
  </si>
  <si>
    <t>15,582</t>
  </si>
  <si>
    <t>318</t>
  </si>
  <si>
    <t>15,264</t>
  </si>
  <si>
    <t>639</t>
  </si>
  <si>
    <t>14,625</t>
  </si>
  <si>
    <t>2026-04-08 03</t>
  </si>
  <si>
    <t>3,371</t>
  </si>
  <si>
    <t>3,349</t>
  </si>
  <si>
    <t>1,250</t>
  </si>
  <si>
    <t>2026-04-08 04</t>
  </si>
  <si>
    <t>7,015</t>
  </si>
  <si>
    <t>3,322</t>
  </si>
  <si>
    <t>519</t>
  </si>
  <si>
    <t>2,717</t>
  </si>
  <si>
    <t>3,676</t>
  </si>
  <si>
    <t>3,499</t>
  </si>
  <si>
    <t>2,427</t>
  </si>
  <si>
    <t>846</t>
  </si>
  <si>
    <t>2026-04-08 05</t>
  </si>
  <si>
    <t>12,130</t>
  </si>
  <si>
    <t>3,491</t>
  </si>
  <si>
    <t>3,128</t>
  </si>
  <si>
    <t>8,572</t>
  </si>
  <si>
    <t>8,247</t>
  </si>
  <si>
    <t>833</t>
  </si>
  <si>
    <t>204</t>
  </si>
  <si>
    <t>7,207</t>
  </si>
  <si>
    <t>2,041</t>
  </si>
  <si>
    <t>2,012</t>
  </si>
  <si>
    <t>2026-04-08 06</t>
  </si>
  <si>
    <t>1,473</t>
  </si>
  <si>
    <t>274</t>
  </si>
  <si>
    <t>2026-04-08 07</t>
  </si>
  <si>
    <t>2,073</t>
  </si>
  <si>
    <t>1,214</t>
  </si>
  <si>
    <t>2026-04-08 08</t>
  </si>
  <si>
    <t>856</t>
  </si>
  <si>
    <t>620</t>
  </si>
  <si>
    <t>2026-04-08 09</t>
  </si>
  <si>
    <t>2,846</t>
  </si>
  <si>
    <t>364</t>
  </si>
  <si>
    <t>2,413</t>
  </si>
  <si>
    <t>2,354</t>
  </si>
  <si>
    <t>2026-04-08 10</t>
  </si>
  <si>
    <t>12,569</t>
  </si>
  <si>
    <t>2,794</t>
  </si>
  <si>
    <t>2,113</t>
  </si>
  <si>
    <t>9,350</t>
  </si>
  <si>
    <t>9,173</t>
  </si>
  <si>
    <t>163</t>
  </si>
  <si>
    <t>7,338</t>
  </si>
  <si>
    <t>2,780</t>
  </si>
  <si>
    <t>2026-04-08 11</t>
  </si>
  <si>
    <t>8,789</t>
  </si>
  <si>
    <t>1,665</t>
  </si>
  <si>
    <t>7,091</t>
  </si>
  <si>
    <t>6,809</t>
  </si>
  <si>
    <t>248</t>
  </si>
  <si>
    <t>6,121</t>
  </si>
  <si>
    <t>2026-04-08 12</t>
  </si>
  <si>
    <t>8,296</t>
  </si>
  <si>
    <t>6,454</t>
  </si>
  <si>
    <t>370</t>
  </si>
  <si>
    <t>1,804</t>
  </si>
  <si>
    <t>1,768</t>
  </si>
  <si>
    <t>1,766</t>
  </si>
  <si>
    <t>2026-04-08 13</t>
  </si>
  <si>
    <t>7,365</t>
  </si>
  <si>
    <t>4,684</t>
  </si>
  <si>
    <t>4,262</t>
  </si>
  <si>
    <t>2,677</t>
  </si>
  <si>
    <t>2,563</t>
  </si>
  <si>
    <t>2,556</t>
  </si>
  <si>
    <t>2026-04-08 14</t>
  </si>
  <si>
    <t>15,322</t>
  </si>
  <si>
    <t>1,849</t>
  </si>
  <si>
    <t>1,401</t>
  </si>
  <si>
    <t>13,470</t>
  </si>
  <si>
    <t>652</t>
  </si>
  <si>
    <t>12,818</t>
  </si>
  <si>
    <t>12,810</t>
  </si>
  <si>
    <t>2026-04-08 15</t>
  </si>
  <si>
    <t>7,935</t>
  </si>
  <si>
    <t>1,973</t>
  </si>
  <si>
    <t>5,190</t>
  </si>
  <si>
    <t>1,864</t>
  </si>
  <si>
    <t>2026-04-08 16</t>
  </si>
  <si>
    <t>13,569</t>
  </si>
  <si>
    <t>3,385</t>
  </si>
  <si>
    <t>192</t>
  </si>
  <si>
    <t>391</t>
  </si>
  <si>
    <t>10,140</t>
  </si>
  <si>
    <t>9,918</t>
  </si>
  <si>
    <t>9,719</t>
  </si>
  <si>
    <t>1,866</t>
  </si>
  <si>
    <t>2026-04-08 17</t>
  </si>
  <si>
    <t>6,618</t>
  </si>
  <si>
    <t>1,423</t>
  </si>
  <si>
    <t>1,300</t>
  </si>
  <si>
    <t>5,195</t>
  </si>
  <si>
    <t>4,553</t>
  </si>
  <si>
    <t>2026-04-08 18</t>
  </si>
  <si>
    <t>6,371</t>
  </si>
  <si>
    <t>4,405</t>
  </si>
  <si>
    <t>3,150</t>
  </si>
  <si>
    <t>1,100</t>
  </si>
  <si>
    <t>1,966</t>
  </si>
  <si>
    <t>1,893</t>
  </si>
  <si>
    <t>2026-04-08 19</t>
  </si>
  <si>
    <t>19,817</t>
  </si>
  <si>
    <t>4,135</t>
  </si>
  <si>
    <t>300</t>
  </si>
  <si>
    <t>2,924</t>
  </si>
  <si>
    <t>868</t>
  </si>
  <si>
    <t>15,677</t>
  </si>
  <si>
    <t>15,176</t>
  </si>
  <si>
    <t>344</t>
  </si>
  <si>
    <t>480</t>
  </si>
  <si>
    <t>2026-04-08 20</t>
  </si>
  <si>
    <t>21,646</t>
  </si>
  <si>
    <t>5,415</t>
  </si>
  <si>
    <t>597</t>
  </si>
  <si>
    <t>4,230</t>
  </si>
  <si>
    <t>539</t>
  </si>
  <si>
    <t>16,231</t>
  </si>
  <si>
    <t>693</t>
  </si>
  <si>
    <t>15,538</t>
  </si>
  <si>
    <t>13,837</t>
  </si>
  <si>
    <t>2026-04-08 21</t>
  </si>
  <si>
    <t>4,205</t>
  </si>
  <si>
    <t>3,161</t>
  </si>
  <si>
    <t>874</t>
  </si>
  <si>
    <t>14,567</t>
  </si>
  <si>
    <t>14,025</t>
  </si>
  <si>
    <t>706</t>
  </si>
  <si>
    <t>500</t>
  </si>
  <si>
    <t>12,736</t>
  </si>
  <si>
    <t>2026-04-08 22</t>
  </si>
  <si>
    <t>15,559</t>
  </si>
  <si>
    <t>3,192</t>
  </si>
  <si>
    <t>490</t>
  </si>
  <si>
    <t>12,312</t>
  </si>
  <si>
    <t>11,659</t>
  </si>
  <si>
    <t>11,590</t>
  </si>
  <si>
    <t>929</t>
  </si>
  <si>
    <t>2026-04-08 23</t>
  </si>
  <si>
    <t>2,480</t>
  </si>
  <si>
    <t>366</t>
  </si>
  <si>
    <t>388</t>
  </si>
  <si>
    <t>375</t>
  </si>
  <si>
    <t>462</t>
  </si>
  <si>
    <t>2026-04-09 00</t>
  </si>
  <si>
    <t>11,625</t>
  </si>
  <si>
    <t>1,411</t>
  </si>
  <si>
    <t>1,111</t>
  </si>
  <si>
    <t>10,161</t>
  </si>
  <si>
    <t>9,995</t>
  </si>
  <si>
    <t>9,885</t>
  </si>
  <si>
    <t>636</t>
  </si>
  <si>
    <t>600</t>
  </si>
  <si>
    <t>2026-04-09 01</t>
  </si>
  <si>
    <t>16,270</t>
  </si>
  <si>
    <t>3,595</t>
  </si>
  <si>
    <t>2,886</t>
  </si>
  <si>
    <t>469</t>
  </si>
  <si>
    <t>12,608</t>
  </si>
  <si>
    <t>12,406</t>
  </si>
  <si>
    <t>12,094</t>
  </si>
  <si>
    <t>617</t>
  </si>
  <si>
    <t>2026-04-09 02</t>
  </si>
  <si>
    <t>19,316</t>
  </si>
  <si>
    <t>3,545</t>
  </si>
  <si>
    <t>2,910</t>
  </si>
  <si>
    <t>385</t>
  </si>
  <si>
    <t>15,668</t>
  </si>
  <si>
    <t>15,452</t>
  </si>
  <si>
    <t>14,336</t>
  </si>
  <si>
    <t>3,121</t>
  </si>
  <si>
    <t>3,085</t>
  </si>
  <si>
    <t>2026-04-09 03</t>
  </si>
  <si>
    <t>12,397</t>
  </si>
  <si>
    <t>4,169</t>
  </si>
  <si>
    <t>1,287</t>
  </si>
  <si>
    <t>2,582</t>
  </si>
  <si>
    <t>8,217</t>
  </si>
  <si>
    <t>7,905</t>
  </si>
  <si>
    <t>2026-04-09 04</t>
  </si>
  <si>
    <t>8,637</t>
  </si>
  <si>
    <t>4,729</t>
  </si>
  <si>
    <t>931</t>
  </si>
  <si>
    <t>3,871</t>
  </si>
  <si>
    <t>3,752</t>
  </si>
  <si>
    <t>1,650</t>
  </si>
  <si>
    <t>1,267</t>
  </si>
  <si>
    <t>2026-04-09 05</t>
  </si>
  <si>
    <t>16,732</t>
  </si>
  <si>
    <t>2,306</t>
  </si>
  <si>
    <t>339</t>
  </si>
  <si>
    <t>13,884</t>
  </si>
  <si>
    <t>13,447</t>
  </si>
  <si>
    <t>930</t>
  </si>
  <si>
    <t>307</t>
  </si>
  <si>
    <t>11,677</t>
  </si>
  <si>
    <t>774</t>
  </si>
  <si>
    <t>2026-04-09 06</t>
  </si>
  <si>
    <t>1,658</t>
  </si>
  <si>
    <t>1,641</t>
  </si>
  <si>
    <t>489</t>
  </si>
  <si>
    <t>862</t>
  </si>
  <si>
    <t>2026-04-09 07</t>
  </si>
  <si>
    <t>2,001</t>
  </si>
  <si>
    <t>1,887</t>
  </si>
  <si>
    <t>1,310</t>
  </si>
  <si>
    <t>485</t>
  </si>
  <si>
    <t>1,104</t>
  </si>
  <si>
    <t>967</t>
  </si>
  <si>
    <t>2026-04-09 08</t>
  </si>
  <si>
    <t>1,795</t>
  </si>
  <si>
    <t>6,334</t>
  </si>
  <si>
    <t>6,193</t>
  </si>
  <si>
    <t>1,902</t>
  </si>
  <si>
    <t>2026-04-09 09</t>
  </si>
  <si>
    <t>12,866</t>
  </si>
  <si>
    <t>1,272</t>
  </si>
  <si>
    <t>1,019</t>
  </si>
  <si>
    <t>11,558</t>
  </si>
  <si>
    <t>11,194</t>
  </si>
  <si>
    <t>401</t>
  </si>
  <si>
    <t>10,788</t>
  </si>
  <si>
    <t>2026-04-09 10</t>
  </si>
  <si>
    <t>3,091</t>
  </si>
  <si>
    <t>692</t>
  </si>
  <si>
    <t>608</t>
  </si>
  <si>
    <t>2,040</t>
  </si>
  <si>
    <t>359</t>
  </si>
  <si>
    <t>2026-04-09 11</t>
  </si>
  <si>
    <t>4,366</t>
  </si>
  <si>
    <t>4,360</t>
  </si>
  <si>
    <t>529</t>
  </si>
  <si>
    <t>2026-04-09 12</t>
  </si>
  <si>
    <t>4,760</t>
  </si>
  <si>
    <t>4,049</t>
  </si>
  <si>
    <t>295</t>
  </si>
  <si>
    <t>286</t>
  </si>
  <si>
    <t>265</t>
  </si>
  <si>
    <t>2026-04-09 13</t>
  </si>
  <si>
    <t>9,051</t>
  </si>
  <si>
    <t>4,342</t>
  </si>
  <si>
    <t>4,108</t>
  </si>
  <si>
    <t>4,707</t>
  </si>
  <si>
    <t>4,565</t>
  </si>
  <si>
    <t>2,268</t>
  </si>
  <si>
    <t>2,296</t>
  </si>
  <si>
    <t>2026-04-09 14</t>
  </si>
  <si>
    <t>14,476</t>
  </si>
  <si>
    <t>2,135</t>
  </si>
  <si>
    <t>2,043</t>
  </si>
  <si>
    <t>12,341</t>
  </si>
  <si>
    <t>537</t>
  </si>
  <si>
    <t>11,804</t>
  </si>
  <si>
    <t>11,799</t>
  </si>
  <si>
    <t>2026-04-09 15</t>
  </si>
  <si>
    <t>5,515</t>
  </si>
  <si>
    <t>2,567</t>
  </si>
  <si>
    <t>2,923</t>
  </si>
  <si>
    <t>2,857</t>
  </si>
  <si>
    <t>2,810</t>
  </si>
  <si>
    <t>926</t>
  </si>
  <si>
    <t>2026-04-09 16</t>
  </si>
  <si>
    <t>12,902</t>
  </si>
  <si>
    <t>3,329</t>
  </si>
  <si>
    <t>2,581</t>
  </si>
  <si>
    <t>498</t>
  </si>
  <si>
    <t>9,511</t>
  </si>
  <si>
    <t>181</t>
  </si>
  <si>
    <t>9,330</t>
  </si>
  <si>
    <t>9,165</t>
  </si>
  <si>
    <t>2026-04-09 17</t>
  </si>
  <si>
    <t>9,604</t>
  </si>
  <si>
    <t>2,111</t>
  </si>
  <si>
    <t>1,940</t>
  </si>
  <si>
    <t>7,493</t>
  </si>
  <si>
    <t>270</t>
  </si>
  <si>
    <t>7,223</t>
  </si>
  <si>
    <t>6,722</t>
  </si>
  <si>
    <t>2026-04-09 18</t>
  </si>
  <si>
    <t>6,003</t>
  </si>
  <si>
    <t>3,033</t>
  </si>
  <si>
    <t>2,045</t>
  </si>
  <si>
    <t>867</t>
  </si>
  <si>
    <t>2,856</t>
  </si>
  <si>
    <t>2,849</t>
  </si>
  <si>
    <t>2026-04-09 19</t>
  </si>
  <si>
    <t>19,493</t>
  </si>
  <si>
    <t>5,226</t>
  </si>
  <si>
    <t>4,007</t>
  </si>
  <si>
    <t>912</t>
  </si>
  <si>
    <t>14,267</t>
  </si>
  <si>
    <t>13,792</t>
  </si>
  <si>
    <t>13,567</t>
  </si>
  <si>
    <t>2026-04-09 20</t>
  </si>
  <si>
    <t>21,249</t>
  </si>
  <si>
    <t>6,705</t>
  </si>
  <si>
    <t>4,633</t>
  </si>
  <si>
    <t>14,544</t>
  </si>
  <si>
    <t>589</t>
  </si>
  <si>
    <t>13,955</t>
  </si>
  <si>
    <t>1,444</t>
  </si>
  <si>
    <t>12,485</t>
  </si>
  <si>
    <t>2026-04-09 21</t>
  </si>
  <si>
    <t>18,867</t>
  </si>
  <si>
    <t>4,807</t>
  </si>
  <si>
    <t>3,928</t>
  </si>
  <si>
    <t>762</t>
  </si>
  <si>
    <t>14,055</t>
  </si>
  <si>
    <t>13,474</t>
  </si>
  <si>
    <t>478</t>
  </si>
  <si>
    <t>12,835</t>
  </si>
  <si>
    <t>2026-04-09 22</t>
  </si>
  <si>
    <t>10,115</t>
  </si>
  <si>
    <t>2,875</t>
  </si>
  <si>
    <t>2,298</t>
  </si>
  <si>
    <t>488</t>
  </si>
  <si>
    <t>7,178</t>
  </si>
  <si>
    <t>422</t>
  </si>
  <si>
    <t>6,756</t>
  </si>
  <si>
    <t>6,680</t>
  </si>
  <si>
    <t>1,537</t>
  </si>
  <si>
    <t>1,483</t>
  </si>
  <si>
    <t>2026-04-09 23</t>
  </si>
  <si>
    <t>7,080</t>
  </si>
  <si>
    <t>3,679</t>
  </si>
  <si>
    <t>3,253</t>
  </si>
  <si>
    <t>3,185</t>
  </si>
  <si>
    <t>3,182</t>
  </si>
  <si>
    <t>3,344</t>
  </si>
  <si>
    <t>3,290</t>
  </si>
  <si>
    <t>序号</t>
  </si>
  <si>
    <t>省份</t>
  </si>
  <si>
    <t>地市</t>
  </si>
  <si>
    <t>机构</t>
  </si>
  <si>
    <t>车间</t>
  </si>
  <si>
    <t>上机量-上机总量</t>
  </si>
  <si>
    <t>上机量-散件外走数</t>
  </si>
  <si>
    <t>上机量-分拣封发-总包数</t>
  </si>
  <si>
    <t>上机量-分拣封发-内件数</t>
  </si>
  <si>
    <t>上机量-总包经转-总包数</t>
  </si>
  <si>
    <t>上机量-总包经转-内件数</t>
  </si>
  <si>
    <t>自动化分拣率</t>
  </si>
  <si>
    <t>未上机量</t>
  </si>
  <si>
    <t>未上机量-散件外走数</t>
  </si>
  <si>
    <t>未上机量-分拣封发-总包数</t>
  </si>
  <si>
    <t>未上机量-分拣封发-内件数</t>
  </si>
  <si>
    <t>未上机量-总包经转-总包数</t>
  </si>
  <si>
    <t>未上机量-总包经转-内件数</t>
  </si>
  <si>
    <t>山东省</t>
  </si>
  <si>
    <t>淄博市</t>
  </si>
  <si>
    <t>82.23%</t>
  </si>
  <si>
    <t>74.07%</t>
  </si>
  <si>
    <t>80.19%</t>
  </si>
  <si>
    <t>72.54%</t>
  </si>
  <si>
    <t>64.89%</t>
  </si>
  <si>
    <t>70.51%</t>
  </si>
  <si>
    <t>9.25%</t>
  </si>
  <si>
    <t>16.21%</t>
  </si>
  <si>
    <t>56.63%</t>
  </si>
  <si>
    <t>82.73%</t>
  </si>
  <si>
    <t>49.17%</t>
  </si>
  <si>
    <t>9.78%</t>
  </si>
  <si>
    <t>0.18%</t>
  </si>
  <si>
    <t>50.79%</t>
  </si>
  <si>
    <t>92.06%</t>
  </si>
  <si>
    <t>71.72%</t>
  </si>
  <si>
    <t>81.53%</t>
  </si>
  <si>
    <t>0.73%</t>
  </si>
  <si>
    <t>48.56%</t>
  </si>
  <si>
    <t>71.60%</t>
  </si>
  <si>
    <t>68.68%</t>
  </si>
  <si>
    <t>74.31%</t>
  </si>
  <si>
    <t>79.03%</t>
  </si>
  <si>
    <t>68.64%</t>
  </si>
  <si>
    <t>78.18%</t>
  </si>
  <si>
    <t>78.06%</t>
  </si>
  <si>
    <t>77.91%</t>
  </si>
  <si>
    <t>54.42%</t>
  </si>
  <si>
    <t>53.90%</t>
  </si>
  <si>
    <t>76.22%</t>
  </si>
  <si>
    <t>22.93%</t>
  </si>
  <si>
    <t>7.37%</t>
  </si>
  <si>
    <t>81.26%</t>
  </si>
  <si>
    <t>49.56%</t>
  </si>
  <si>
    <t>84.34%</t>
  </si>
  <si>
    <t>1.66%</t>
  </si>
  <si>
    <t>0.27%</t>
  </si>
  <si>
    <t>77.30%</t>
  </si>
  <si>
    <t>85.06%</t>
  </si>
  <si>
    <t>71.89%</t>
  </si>
  <si>
    <t>69.59%</t>
  </si>
  <si>
    <t>0.00%</t>
  </si>
  <si>
    <t>14.98%</t>
  </si>
  <si>
    <t>68.86%</t>
  </si>
  <si>
    <t>63.11%</t>
  </si>
  <si>
    <t>73.77%</t>
  </si>
  <si>
    <t>66.86%</t>
  </si>
  <si>
    <t>67.75%</t>
  </si>
  <si>
    <t>81.67%</t>
  </si>
  <si>
    <t>75.68%</t>
  </si>
  <si>
    <t>80.52%</t>
  </si>
  <si>
    <t>61.97%</t>
  </si>
  <si>
    <t>55.39%</t>
  </si>
  <si>
    <t>72.27%</t>
  </si>
  <si>
    <t>35.49%</t>
  </si>
  <si>
    <t>4.35%</t>
  </si>
  <si>
    <t>74.00%</t>
  </si>
  <si>
    <t>79.75%</t>
  </si>
  <si>
    <t>81.02%</t>
  </si>
  <si>
    <t>65.35%</t>
  </si>
  <si>
    <t>0.53%</t>
  </si>
  <si>
    <t>52.17%</t>
  </si>
  <si>
    <t>86.25%</t>
  </si>
  <si>
    <t>74.56%</t>
  </si>
  <si>
    <t>80.31%</t>
  </si>
  <si>
    <t>2.81%</t>
  </si>
  <si>
    <t>42.10%</t>
  </si>
  <si>
    <t>67.13%</t>
  </si>
  <si>
    <t>67.40%</t>
  </si>
  <si>
    <t>82.43%</t>
  </si>
  <si>
    <t>76.23%</t>
  </si>
  <si>
    <t>73.44%</t>
  </si>
  <si>
    <t>76.61%</t>
  </si>
  <si>
    <t>76.07%</t>
  </si>
  <si>
    <t>65.97%</t>
  </si>
  <si>
    <t>8.48%</t>
  </si>
  <si>
    <t>65.98%</t>
  </si>
  <si>
    <t>20.41%</t>
  </si>
  <si>
    <t>87.34%</t>
  </si>
  <si>
    <t>79.68%</t>
  </si>
  <si>
    <t>37.25%</t>
  </si>
  <si>
    <t>1.03%</t>
  </si>
  <si>
    <t>51.98%</t>
  </si>
  <si>
    <t>93.97%</t>
  </si>
  <si>
    <t>66.91%</t>
  </si>
  <si>
    <t>76.02%</t>
  </si>
  <si>
    <t>65.14%</t>
  </si>
  <si>
    <t>20.09%</t>
  </si>
  <si>
    <t>62.63%</t>
  </si>
  <si>
    <t>72.89%</t>
  </si>
  <si>
    <t>79.44%</t>
  </si>
  <si>
    <t>90.43%</t>
  </si>
  <si>
    <t>66.39%</t>
  </si>
  <si>
    <t>80.54%</t>
  </si>
  <si>
    <t>75.63%</t>
  </si>
  <si>
    <t>88.19%</t>
  </si>
  <si>
    <t>83.54%</t>
  </si>
  <si>
    <t>3.06%</t>
  </si>
  <si>
    <t>60.33%</t>
  </si>
  <si>
    <t>79.83%</t>
  </si>
  <si>
    <t>12.83%</t>
  </si>
  <si>
    <t>91.84%</t>
  </si>
  <si>
    <t>5.01%</t>
  </si>
  <si>
    <t>70.81%</t>
  </si>
  <si>
    <t>76.67%</t>
  </si>
  <si>
    <t>0.16%</t>
  </si>
  <si>
    <t>68.61%</t>
  </si>
  <si>
    <t>79.59%</t>
  </si>
  <si>
    <t>72.35%</t>
  </si>
  <si>
    <t>91.68%</t>
  </si>
  <si>
    <t>0.24%</t>
  </si>
  <si>
    <t>30.87%</t>
  </si>
  <si>
    <t>62.48%</t>
  </si>
  <si>
    <t>70.20%</t>
  </si>
  <si>
    <t>85.19%</t>
  </si>
  <si>
    <t>94.96%</t>
  </si>
  <si>
    <t>64.68%</t>
  </si>
  <si>
    <t>70.61%</t>
  </si>
  <si>
    <t>79.55%</t>
  </si>
  <si>
    <t>91.02%</t>
  </si>
  <si>
    <t>81.58%</t>
  </si>
  <si>
    <t>4.47%</t>
  </si>
  <si>
    <t>15.71%</t>
  </si>
  <si>
    <t>69.62%</t>
  </si>
  <si>
    <t>66.17%</t>
  </si>
  <si>
    <t>88.16%</t>
  </si>
  <si>
    <t>78.67%</t>
  </si>
  <si>
    <t>61.88%</t>
  </si>
  <si>
    <t>5.23%</t>
  </si>
  <si>
    <t>0.20%</t>
  </si>
  <si>
    <t>66.44%</t>
  </si>
  <si>
    <t>87.32%</t>
  </si>
  <si>
    <t>66.68%</t>
  </si>
  <si>
    <t>84.86%</t>
  </si>
  <si>
    <t>0.74%</t>
  </si>
  <si>
    <t>38.05%</t>
  </si>
  <si>
    <t>74.65%</t>
  </si>
  <si>
    <t>67.11%</t>
  </si>
  <si>
    <t>79.13%</t>
  </si>
  <si>
    <t>92.28%</t>
  </si>
  <si>
    <t>71.21%</t>
  </si>
  <si>
    <t>75.70%</t>
  </si>
  <si>
    <t>83.49%</t>
  </si>
  <si>
    <t>88.94%</t>
  </si>
  <si>
    <t>4.04%</t>
  </si>
  <si>
    <t>66.52%</t>
  </si>
  <si>
    <t>87.95%</t>
  </si>
  <si>
    <t>32.72%</t>
  </si>
  <si>
    <t>7.44%</t>
  </si>
  <si>
    <t>61.23%</t>
  </si>
  <si>
    <t>72.99%</t>
  </si>
  <si>
    <t>91.39%</t>
  </si>
  <si>
    <t>3.58%</t>
  </si>
  <si>
    <t>0.12%</t>
  </si>
  <si>
    <t>58.08%</t>
  </si>
  <si>
    <t>93.30%</t>
  </si>
  <si>
    <t>69.32%</t>
  </si>
  <si>
    <t>75.37%</t>
  </si>
  <si>
    <t>74.51%</t>
  </si>
  <si>
    <t>31.54%</t>
  </si>
  <si>
    <t>71.06%</t>
  </si>
  <si>
    <t>65.19%</t>
  </si>
  <si>
    <t>72.81%</t>
  </si>
  <si>
    <t>86.42%</t>
  </si>
  <si>
    <t>65.75%</t>
  </si>
  <si>
    <t>70.78%</t>
  </si>
  <si>
    <t>72.98%</t>
  </si>
  <si>
    <t>81.62%</t>
  </si>
  <si>
    <t>5.78%</t>
  </si>
  <si>
    <t>0.56%</t>
  </si>
  <si>
    <t>65.96%</t>
  </si>
  <si>
    <t>8.36%</t>
  </si>
  <si>
    <t>13.16%</t>
  </si>
  <si>
    <t>1.64%</t>
  </si>
  <si>
    <t>82.95%</t>
  </si>
  <si>
    <t>71.62%</t>
  </si>
  <si>
    <t>156</t>
  </si>
  <si>
    <t>78.17%</t>
  </si>
  <si>
    <t>0.32%</t>
  </si>
  <si>
    <t>158</t>
  </si>
  <si>
    <t>35.10%</t>
  </si>
  <si>
    <t>85.09%</t>
  </si>
  <si>
    <t>68.19%</t>
  </si>
  <si>
    <t>73.54%</t>
  </si>
  <si>
    <t>75.32%</t>
  </si>
  <si>
    <t>30.57%</t>
  </si>
  <si>
    <t>75.43%</t>
  </si>
  <si>
    <t>65.36%</t>
  </si>
  <si>
    <t>70.89%</t>
  </si>
  <si>
    <t>75.85%</t>
  </si>
  <si>
    <t>22.49%</t>
  </si>
  <si>
    <t>86.95%</t>
  </si>
  <si>
    <t>76.66%</t>
  </si>
  <si>
    <t>79.47%</t>
  </si>
  <si>
    <t>65.69%</t>
  </si>
  <si>
    <t>18.32%</t>
  </si>
  <si>
    <t>13.35%</t>
  </si>
  <si>
    <t>176</t>
  </si>
  <si>
    <t>76.05%</t>
  </si>
  <si>
    <t>178</t>
  </si>
  <si>
    <t>87.08%</t>
  </si>
  <si>
    <t>17.98%</t>
  </si>
  <si>
    <t>3.54%</t>
  </si>
  <si>
    <t>1.04%</t>
  </si>
  <si>
    <t>25.54%</t>
  </si>
  <si>
    <t>81.88%</t>
  </si>
  <si>
    <t>54.49%</t>
  </si>
  <si>
    <t>73.17%</t>
  </si>
  <si>
    <t>75.35%</t>
  </si>
  <si>
    <t>48.50%</t>
  </si>
  <si>
    <t>70.00%</t>
  </si>
  <si>
    <t>189</t>
  </si>
  <si>
    <t>60.59%</t>
  </si>
  <si>
    <t>69.20%</t>
  </si>
  <si>
    <t>191</t>
  </si>
  <si>
    <t>70.39%</t>
  </si>
  <si>
    <t>46.97%</t>
  </si>
  <si>
    <t>日期</t>
  </si>
  <si>
    <t>时段</t>
  </si>
  <si>
    <t>班次</t>
  </si>
  <si>
    <t>频次</t>
  </si>
  <si>
    <t>卸车量</t>
  </si>
  <si>
    <t>环线量</t>
  </si>
  <si>
    <t>集包量</t>
  </si>
  <si>
    <t>管理</t>
  </si>
  <si>
    <t>卸车网格</t>
  </si>
  <si>
    <t>集包网格</t>
  </si>
  <si>
    <t>北环网格</t>
  </si>
  <si>
    <t>南环网格</t>
  </si>
  <si>
    <t>特快</t>
  </si>
  <si>
    <t>其它</t>
  </si>
  <si>
    <t>27万</t>
  </si>
  <si>
    <t>工作内容</t>
  </si>
  <si>
    <t>关注点</t>
  </si>
  <si>
    <t>网格长</t>
  </si>
  <si>
    <t>卸车</t>
  </si>
  <si>
    <t>翻面</t>
  </si>
  <si>
    <t>勾核</t>
  </si>
  <si>
    <t>粗分</t>
  </si>
  <si>
    <t>疏堵</t>
  </si>
  <si>
    <t>拆包、整理</t>
  </si>
  <si>
    <t>问题邮件</t>
  </si>
  <si>
    <t>复用</t>
  </si>
  <si>
    <t>供件（均件、疏堵）</t>
  </si>
  <si>
    <t>齐格/封包</t>
  </si>
  <si>
    <t>处理问题件、预支袋牌</t>
  </si>
  <si>
    <t>人工集包</t>
  </si>
  <si>
    <t>人工上包、翻包、异形件盘剥、拆包</t>
  </si>
  <si>
    <t>分拣</t>
  </si>
  <si>
    <t>扫描</t>
  </si>
  <si>
    <t>码货</t>
  </si>
  <si>
    <t>封发车</t>
  </si>
  <si>
    <t>回流</t>
  </si>
  <si>
    <t>问题件处理</t>
  </si>
  <si>
    <t>接挂信、报刊</t>
  </si>
  <si>
    <t>发验</t>
  </si>
  <si>
    <t>客服</t>
  </si>
  <si>
    <t>西场</t>
  </si>
  <si>
    <t>门卫值班</t>
  </si>
  <si>
    <t>0000-0100</t>
  </si>
  <si>
    <t>夜班</t>
  </si>
  <si>
    <t>0050 济临4卸车，清理落地
破损发验</t>
  </si>
  <si>
    <t>0030北京一干发车
0010广州一干发车</t>
  </si>
  <si>
    <t>0100-0200</t>
  </si>
  <si>
    <t>0200济加三收尾车发车</t>
  </si>
  <si>
    <t>0200-0300</t>
  </si>
  <si>
    <t>济加1进局卸车</t>
  </si>
  <si>
    <t>0230分拣进行停机班清，同时处理退换件、轻薄异型件</t>
  </si>
  <si>
    <t>0300-0400</t>
  </si>
  <si>
    <t>0315潍坊特快
0345济南特快
文件 特安 贵品交接</t>
  </si>
  <si>
    <t>0320优先处理博山、高清、沂源赶0530发车</t>
  </si>
  <si>
    <t>7人复用南北环</t>
  </si>
  <si>
    <t>潍坊航站&amp;济南航站</t>
  </si>
  <si>
    <t>0330视进口的货量进行清人；</t>
  </si>
  <si>
    <t>依据到件情况清人</t>
  </si>
  <si>
    <t>0400-0500</t>
  </si>
  <si>
    <t>班清，整理</t>
  </si>
  <si>
    <t>0440 平服挂信扫描
0500文件交接</t>
  </si>
  <si>
    <t>0500-0600</t>
  </si>
  <si>
    <t>0520济加2卸车</t>
  </si>
  <si>
    <t>0510报纸靠车尾部装车、报纸车间袋牌
0530博山、沂源、高青一频
其余流向关注发出时间点，提前10分钟完成封车动作</t>
  </si>
  <si>
    <t>0600-0700</t>
  </si>
  <si>
    <t>0610卸车 班清</t>
  </si>
  <si>
    <t>0700-0800</t>
  </si>
  <si>
    <t>白班</t>
  </si>
  <si>
    <t>进口赶二频进局车辆</t>
  </si>
  <si>
    <t>外派5人，协助环线装车
场地卫生打扫</t>
  </si>
  <si>
    <t>处理进口博山、淄川、周村二频快件</t>
  </si>
  <si>
    <t>开早会
0740装车周村、淄川2频装车</t>
  </si>
  <si>
    <t>关注扫描人员是否使用PDA
邮路是否正确
龙门架顶扫是否开启
强调码货规则，禁止抛甩</t>
  </si>
  <si>
    <t>早会
2频扫描装车</t>
  </si>
  <si>
    <t xml:space="preserve">基准值 </t>
  </si>
  <si>
    <t>0800-0900</t>
  </si>
  <si>
    <t>处理进口博山、淄川、周村二频快件
清退空袋、人工分拣轻薄件</t>
  </si>
  <si>
    <t>0830博山2频封车
0850淄川、周村2频封车</t>
  </si>
  <si>
    <t>2频扫描装车</t>
  </si>
  <si>
    <t>关注华光、石桥、光学姐、直投中心的错分白给</t>
  </si>
  <si>
    <t>0900-1000</t>
  </si>
  <si>
    <t>进口赶二频进局车辆
0920-0950休息吃饭</t>
  </si>
  <si>
    <r>
      <rPr>
        <sz val="9"/>
        <color indexed="8"/>
        <rFont val="微软雅黑"/>
        <charset val="134"/>
      </rPr>
      <t xml:space="preserve">0900-0920休息
</t>
    </r>
    <r>
      <rPr>
        <b/>
        <sz val="9"/>
        <color indexed="8"/>
        <rFont val="微软雅黑"/>
        <charset val="134"/>
      </rPr>
      <t>进口清场，</t>
    </r>
    <r>
      <rPr>
        <sz val="9"/>
        <color indexed="8"/>
        <rFont val="微软雅黑"/>
        <charset val="134"/>
      </rPr>
      <t>清理三频快件</t>
    </r>
  </si>
  <si>
    <t>0920-0940休息
装车临淄2频</t>
  </si>
  <si>
    <t>1000-1100</t>
  </si>
  <si>
    <t>进口清场，邮报纸，装桓台
装标快邮装，寻找遗留邮件</t>
  </si>
  <si>
    <t>清理三频快件</t>
  </si>
  <si>
    <t>扫件
1040 沂源平服挂信件
1050封沂源2频</t>
  </si>
  <si>
    <t>1100-1200</t>
  </si>
  <si>
    <t>清场</t>
  </si>
  <si>
    <t>出口作业，5组出口卸车，每组1个卸车，1个翻面1个粗分共五组</t>
  </si>
  <si>
    <t>1100-1130进口清场，清理三频快件
1130-1200整组外派1人拆包，1人预制袋牌，2人南环，6人标快，10人北环</t>
  </si>
  <si>
    <t>1120进口清场转场出口</t>
  </si>
  <si>
    <t>串行车辆装装车</t>
  </si>
  <si>
    <t>1、关注串行车辆装车隔离
2、班清检查邮件全部按频次赶发
3、关注文件、挂信、报纸装车情况</t>
  </si>
  <si>
    <t>中班
1130-2330</t>
  </si>
  <si>
    <t>1200-1300</t>
  </si>
  <si>
    <t>出口</t>
  </si>
  <si>
    <t>1130-1420增加作业垛口赶发济南邮航路</t>
  </si>
  <si>
    <t>确保一频返程车辆贵重物品、标快文件、生鲜类快件及时赶发3频</t>
  </si>
  <si>
    <t>整组外派1人拆包，1人预制袋牌，2人南环，6人标快，10人北环</t>
  </si>
  <si>
    <t>外派10人北环2人南环</t>
  </si>
  <si>
    <t>1200分济南航站邮件，配发扫描装车
1240装淄川、周村、高青落地邮件</t>
  </si>
  <si>
    <t>切换出口</t>
  </si>
  <si>
    <t>一干顶扫，邮路及装车情况</t>
  </si>
  <si>
    <t>1300-1400</t>
  </si>
  <si>
    <t>确保一频返程车辆贵重物品、标快文件、生鲜类快件及时赶发3频
2人与北环装车复用</t>
  </si>
  <si>
    <t>出口快件清理</t>
  </si>
  <si>
    <t>1320济南航站文件，扫描配发装车
1330封区县3频
1340从19号口北环区域清理南环邮件</t>
  </si>
  <si>
    <t>1400-1500</t>
  </si>
  <si>
    <t>1420-1530切换进口作业</t>
  </si>
  <si>
    <t>外派集包网格5人
进口邮件落地5人
2人与北环装车复用</t>
  </si>
  <si>
    <t>1500-1600</t>
  </si>
  <si>
    <t>进口作业</t>
  </si>
  <si>
    <t>进口邮件落地5人
2人与北环装车复用</t>
  </si>
  <si>
    <t>转进口</t>
  </si>
  <si>
    <t>1500封济自半一
1540进口操作，扫描人员扫</t>
  </si>
  <si>
    <t>1600-1700</t>
  </si>
  <si>
    <t>进口清场</t>
  </si>
  <si>
    <t>1600装广东、北京落地邮路</t>
  </si>
  <si>
    <t>切换进口</t>
  </si>
  <si>
    <t>检查清场情况</t>
  </si>
  <si>
    <t>1700-1800</t>
  </si>
  <si>
    <t>转出口</t>
  </si>
  <si>
    <t>出口作业</t>
  </si>
  <si>
    <t>1800-1900</t>
  </si>
  <si>
    <t>进口操作</t>
  </si>
  <si>
    <t>协助北环及卸车口进行人员复用</t>
  </si>
  <si>
    <t>分拣7快包2标快</t>
  </si>
  <si>
    <t>1900-2000</t>
  </si>
  <si>
    <t>2000-2100</t>
  </si>
  <si>
    <t>2020巡查卸车区、文件标快、次晨达、挂特快、统一交接南环</t>
  </si>
  <si>
    <t>2100-2200</t>
  </si>
  <si>
    <t>2200-2300</t>
  </si>
  <si>
    <t>2215班清
2235切换进口大件落地，小件送集包区</t>
  </si>
  <si>
    <t>2300-0000</t>
  </si>
  <si>
    <t>2330中班下班
2组卸车</t>
  </si>
  <si>
    <t>2330中班下班
切换进口作业</t>
  </si>
  <si>
    <t xml:space="preserve">2340转进口
2320齐河潍坊二干发车
</t>
  </si>
  <si>
    <t>中班下班</t>
  </si>
  <si>
    <t>一、用工情况一览</t>
  </si>
  <si>
    <t>2025/4/11写实</t>
  </si>
  <si>
    <t>0330视卸车到件情况场内减员</t>
  </si>
  <si>
    <t>生产人员人数：167人</t>
  </si>
  <si>
    <t>班组</t>
  </si>
  <si>
    <t>白班：人数65人</t>
  </si>
  <si>
    <t>夜班：人数96人</t>
  </si>
  <si>
    <t>时间轴</t>
  </si>
  <si>
    <t>0700</t>
  </si>
  <si>
    <t>25万</t>
  </si>
  <si>
    <t>管理薪资</t>
  </si>
  <si>
    <t>卸车人数</t>
  </si>
  <si>
    <t>卸车人效</t>
  </si>
  <si>
    <t>卸车薪资</t>
  </si>
  <si>
    <t>卸车盈亏</t>
  </si>
  <si>
    <t>集包人数</t>
  </si>
  <si>
    <t>集包人效</t>
  </si>
  <si>
    <t>集包单价</t>
  </si>
  <si>
    <t>集包收入</t>
  </si>
  <si>
    <t>集包薪资</t>
  </si>
  <si>
    <t>集包盈亏</t>
  </si>
  <si>
    <t>环线人数</t>
  </si>
  <si>
    <t>环线人效</t>
  </si>
  <si>
    <t>环线单价</t>
  </si>
  <si>
    <t>环线收入</t>
  </si>
  <si>
    <t>环线薪资</t>
  </si>
  <si>
    <t>文件人数</t>
  </si>
  <si>
    <t>发验人数</t>
  </si>
  <si>
    <t>客服人数</t>
  </si>
  <si>
    <t>接发员</t>
  </si>
  <si>
    <t>其他成本</t>
  </si>
  <si>
    <t>总盈亏</t>
  </si>
  <si>
    <t>人数验证</t>
  </si>
  <si>
    <t>总表人数</t>
  </si>
  <si>
    <t>=</t>
  </si>
  <si>
    <t>SUMIFS(卸车数据!$J$6:$J$1048576,卸车数据!$R$6:$R$1048576,"&gt;="&amp;A</t>
  </si>
  <si>
    <t>3+TIME(</t>
  </si>
  <si>
    <t>,0,0),卸车数据!$R$6:$R$1048576,"&lt;"&amp;A</t>
  </si>
  <si>
    <t>,0,0))</t>
  </si>
  <si>
    <t>4+TIME(</t>
  </si>
  <si>
    <t>5+TIME(</t>
  </si>
  <si>
    <t>6+TIME(</t>
  </si>
  <si>
    <t>7+TIME(</t>
  </si>
  <si>
    <t>8+TIME(</t>
  </si>
  <si>
    <t>9+TIME(</t>
  </si>
  <si>
    <t>10+TIME(</t>
  </si>
  <si>
    <t>11+TIME(</t>
  </si>
  <si>
    <t>12+TIME(</t>
  </si>
  <si>
    <t>13+TIME(</t>
  </si>
  <si>
    <t>14+TIME(</t>
  </si>
  <si>
    <t>15+TIME(</t>
  </si>
  <si>
    <t>16+TIME(</t>
  </si>
  <si>
    <t>17+TIME(</t>
  </si>
  <si>
    <t>18+TIME(</t>
  </si>
  <si>
    <t>19+TIME(</t>
  </si>
  <si>
    <t>20+TIME(</t>
  </si>
  <si>
    <t>21+TIME(</t>
  </si>
  <si>
    <t>22+TIME(</t>
  </si>
  <si>
    <t>23+TIME(</t>
  </si>
  <si>
    <t>24+TIME(</t>
  </si>
  <si>
    <t>25+TIME(</t>
  </si>
  <si>
    <t>26+TIME(</t>
  </si>
  <si>
    <t>6'!K3</t>
  </si>
  <si>
    <t>6'!W3</t>
  </si>
  <si>
    <t>6'!AG3+'6'!AR3</t>
  </si>
  <si>
    <t>6'!BA3</t>
  </si>
  <si>
    <t>6'!BD3</t>
  </si>
  <si>
    <t>6'!BE3</t>
  </si>
  <si>
    <t>6'!BF3</t>
  </si>
  <si>
    <t>=6'!K3</t>
  </si>
  <si>
    <t>=6'!W3</t>
  </si>
  <si>
    <t>=6'!AG3+'6'!AR3</t>
  </si>
  <si>
    <t>=6'!BA3</t>
  </si>
  <si>
    <t>=6'!BD3</t>
  </si>
  <si>
    <t>=6'!BE3</t>
  </si>
  <si>
    <t>=6'!BF3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</si>
</sst>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43">
    <font>
      <sz val="11"/>
      <color theme="1"/>
      <name val="宋体"/>
      <charset val="134"/>
      <scheme val="minor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sz val="11"/>
      <color indexed="8"/>
      <name val="微软雅黑"/>
      <charset val="134"/>
    </font>
    <font>
      <sz val="14"/>
      <color indexed="8"/>
      <name val="微软雅黑"/>
      <charset val="134"/>
    </font>
    <font>
      <b/>
      <sz val="11"/>
      <color theme="0"/>
      <name val="微软雅黑"/>
      <charset val="134"/>
    </font>
    <font>
      <b/>
      <sz val="14"/>
      <color theme="0"/>
      <name val="微软雅黑"/>
      <charset val="134"/>
    </font>
    <font>
      <sz val="20"/>
      <color indexed="8"/>
      <name val="微软雅黑"/>
      <charset val="134"/>
    </font>
    <font>
      <b/>
      <sz val="11"/>
      <color theme="1"/>
      <name val="微软雅黑"/>
      <charset val="134"/>
    </font>
    <font>
      <sz val="12"/>
      <color indexed="8"/>
      <name val="微软雅黑"/>
      <charset val="134"/>
    </font>
    <font>
      <sz val="16"/>
      <color indexed="8"/>
      <name val="微软雅黑"/>
      <charset val="134"/>
    </font>
    <font>
      <b/>
      <sz val="14"/>
      <color indexed="8"/>
      <name val="微软雅黑"/>
      <charset val="134"/>
    </font>
    <font>
      <sz val="10"/>
      <name val="Arial"/>
      <charset val="0"/>
    </font>
    <font>
      <sz val="12"/>
      <color indexed="9"/>
      <name val="微软雅黑"/>
      <charset val="0"/>
    </font>
    <font>
      <sz val="12"/>
      <color indexed="8"/>
      <name val="微软雅黑"/>
      <charset val="0"/>
    </font>
    <font>
      <sz val="15"/>
      <color theme="1"/>
      <name val="Arial Unicode MS"/>
      <charset val="134"/>
    </font>
    <font>
      <sz val="10"/>
      <color theme="1"/>
      <name val="Arial Unicode MS"/>
      <charset val="134"/>
    </font>
    <font>
      <b/>
      <sz val="18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indexed="8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1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22" applyNumberFormat="0" applyAlignment="0" applyProtection="0">
      <alignment vertical="center"/>
    </xf>
    <xf numFmtId="0" fontId="30" fillId="16" borderId="23" applyNumberFormat="0" applyAlignment="0" applyProtection="0">
      <alignment vertical="center"/>
    </xf>
    <xf numFmtId="0" fontId="31" fillId="16" borderId="22" applyNumberFormat="0" applyAlignment="0" applyProtection="0">
      <alignment vertical="center"/>
    </xf>
    <xf numFmtId="0" fontId="32" fillId="17" borderId="24" applyNumberFormat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20" fontId="2" fillId="0" borderId="1" xfId="0" applyNumberFormat="1" applyFont="1" applyFill="1" applyBorder="1" applyAlignment="1">
      <alignment horizontal="center" vertical="center" wrapText="1"/>
    </xf>
    <xf numFmtId="58" fontId="1" fillId="0" borderId="0" xfId="0" applyNumberFormat="1" applyFont="1" applyFill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 wrapText="1"/>
    </xf>
    <xf numFmtId="20" fontId="1" fillId="0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20" fontId="8" fillId="4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58" fontId="6" fillId="2" borderId="1" xfId="0" applyNumberFormat="1" applyFont="1" applyFill="1" applyBorder="1" applyAlignment="1">
      <alignment horizontal="center" vertical="center" wrapText="1"/>
    </xf>
    <xf numFmtId="20" fontId="6" fillId="2" borderId="1" xfId="0" applyNumberFormat="1" applyFont="1" applyFill="1" applyBorder="1" applyAlignment="1">
      <alignment horizontal="center" vertical="center" wrapText="1"/>
    </xf>
    <xf numFmtId="20" fontId="6" fillId="7" borderId="2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20" fontId="6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20" fontId="6" fillId="8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20" fontId="6" fillId="3" borderId="2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58" fontId="12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177" fontId="5" fillId="0" borderId="0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176" fontId="5" fillId="2" borderId="0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/>
    <xf numFmtId="0" fontId="16" fillId="12" borderId="9" xfId="0" applyFont="1" applyFill="1" applyBorder="1" applyAlignment="1">
      <alignment horizontal="center"/>
    </xf>
    <xf numFmtId="0" fontId="17" fillId="13" borderId="9" xfId="0" applyFont="1" applyFill="1" applyBorder="1" applyAlignment="1">
      <alignment horizontal="center"/>
    </xf>
    <xf numFmtId="0" fontId="0" fillId="0" borderId="0" xfId="0" applyNumberFormat="1" applyFill="1" applyAlignment="1">
      <alignment vertical="center"/>
    </xf>
    <xf numFmtId="0" fontId="18" fillId="0" borderId="10" xfId="0" applyNumberFormat="1" applyFont="1" applyFill="1" applyBorder="1" applyAlignment="1">
      <alignment horizontal="center" vertical="center" wrapText="1"/>
    </xf>
    <xf numFmtId="0" fontId="19" fillId="0" borderId="10" xfId="0" applyNumberFormat="1" applyFont="1" applyFill="1" applyBorder="1" applyAlignment="1">
      <alignment horizontal="center" vertical="center" wrapText="1"/>
    </xf>
    <xf numFmtId="0" fontId="20" fillId="0" borderId="11" xfId="0" applyNumberFormat="1" applyFont="1" applyFill="1" applyBorder="1" applyAlignment="1">
      <alignment horizontal="center" vertical="center" wrapText="1"/>
    </xf>
    <xf numFmtId="0" fontId="20" fillId="0" borderId="12" xfId="0" applyNumberFormat="1" applyFont="1" applyFill="1" applyBorder="1" applyAlignment="1">
      <alignment horizontal="center" vertical="center" wrapText="1"/>
    </xf>
    <xf numFmtId="0" fontId="20" fillId="0" borderId="13" xfId="0" applyNumberFormat="1" applyFont="1" applyFill="1" applyBorder="1" applyAlignment="1">
      <alignment horizontal="center" vertical="center" wrapText="1"/>
    </xf>
    <xf numFmtId="0" fontId="20" fillId="0" borderId="14" xfId="0" applyNumberFormat="1" applyFont="1" applyFill="1" applyBorder="1" applyAlignment="1">
      <alignment horizontal="center" vertical="center" wrapText="1"/>
    </xf>
    <xf numFmtId="0" fontId="20" fillId="0" borderId="0" xfId="0" applyNumberFormat="1" applyFont="1" applyFill="1" applyAlignment="1">
      <alignment horizontal="center" vertical="center" wrapText="1"/>
    </xf>
    <xf numFmtId="0" fontId="20" fillId="0" borderId="15" xfId="0" applyNumberFormat="1" applyFont="1" applyFill="1" applyBorder="1" applyAlignment="1">
      <alignment horizontal="center" vertical="center" wrapText="1"/>
    </xf>
    <xf numFmtId="0" fontId="20" fillId="0" borderId="16" xfId="0" applyNumberFormat="1" applyFont="1" applyFill="1" applyBorder="1" applyAlignment="1">
      <alignment horizontal="center" vertical="center" wrapText="1"/>
    </xf>
    <xf numFmtId="0" fontId="20" fillId="0" borderId="17" xfId="0" applyNumberFormat="1" applyFont="1" applyFill="1" applyBorder="1" applyAlignment="1">
      <alignment horizontal="center" vertical="center" wrapText="1"/>
    </xf>
    <xf numFmtId="0" fontId="20" fillId="0" borderId="18" xfId="0" applyNumberFormat="1" applyFont="1" applyFill="1" applyBorder="1" applyAlignment="1">
      <alignment horizontal="center" vertical="center" wrapText="1"/>
    </xf>
    <xf numFmtId="0" fontId="0" fillId="0" borderId="10" xfId="0" applyNumberFormat="1" applyFill="1" applyBorder="1" applyAlignment="1">
      <alignment horizontal="center"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619124</xdr:colOff>
      <xdr:row>28</xdr:row>
      <xdr:rowOff>447675</xdr:rowOff>
    </xdr:from>
    <xdr:to>
      <xdr:col>15</xdr:col>
      <xdr:colOff>19048</xdr:colOff>
      <xdr:row>29</xdr:row>
      <xdr:rowOff>504825</xdr:rowOff>
    </xdr:to>
    <xdr:sp>
      <xdr:nvSpPr>
        <xdr:cNvPr id="2" name="右箭头 1"/>
        <xdr:cNvSpPr/>
      </xdr:nvSpPr>
      <xdr:spPr>
        <a:xfrm>
          <a:off x="2790190" y="15032355"/>
          <a:ext cx="7614285" cy="567690"/>
        </a:xfrm>
        <a:prstGeom prst="rightArrow">
          <a:avLst>
            <a:gd name="adj1" fmla="val 50000"/>
            <a:gd name="adj2" fmla="val 955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239485</xdr:colOff>
      <xdr:row>27</xdr:row>
      <xdr:rowOff>478971</xdr:rowOff>
    </xdr:from>
    <xdr:to>
      <xdr:col>13</xdr:col>
      <xdr:colOff>250371</xdr:colOff>
      <xdr:row>30</xdr:row>
      <xdr:rowOff>510540</xdr:rowOff>
    </xdr:to>
    <xdr:cxnSp>
      <xdr:nvCxnSpPr>
        <xdr:cNvPr id="3" name="直接连接符 2"/>
        <xdr:cNvCxnSpPr/>
      </xdr:nvCxnSpPr>
      <xdr:spPr>
        <a:xfrm flipH="1">
          <a:off x="9391015" y="14552930"/>
          <a:ext cx="10795" cy="1563370"/>
        </a:xfrm>
        <a:prstGeom prst="line">
          <a:avLst/>
        </a:prstGeom>
        <a:ln>
          <a:prstDash val="sysDash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619124</xdr:colOff>
      <xdr:row>28</xdr:row>
      <xdr:rowOff>447675</xdr:rowOff>
    </xdr:from>
    <xdr:to>
      <xdr:col>15</xdr:col>
      <xdr:colOff>19048</xdr:colOff>
      <xdr:row>29</xdr:row>
      <xdr:rowOff>504825</xdr:rowOff>
    </xdr:to>
    <xdr:sp>
      <xdr:nvSpPr>
        <xdr:cNvPr id="2" name="右箭头 1"/>
        <xdr:cNvSpPr/>
      </xdr:nvSpPr>
      <xdr:spPr>
        <a:xfrm>
          <a:off x="2790190" y="15032355"/>
          <a:ext cx="7614285" cy="567690"/>
        </a:xfrm>
        <a:prstGeom prst="rightArrow">
          <a:avLst>
            <a:gd name="adj1" fmla="val 50000"/>
            <a:gd name="adj2" fmla="val 955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239485</xdr:colOff>
      <xdr:row>27</xdr:row>
      <xdr:rowOff>478971</xdr:rowOff>
    </xdr:from>
    <xdr:to>
      <xdr:col>13</xdr:col>
      <xdr:colOff>250371</xdr:colOff>
      <xdr:row>30</xdr:row>
      <xdr:rowOff>510540</xdr:rowOff>
    </xdr:to>
    <xdr:cxnSp>
      <xdr:nvCxnSpPr>
        <xdr:cNvPr id="3" name="直接连接符 2"/>
        <xdr:cNvCxnSpPr/>
      </xdr:nvCxnSpPr>
      <xdr:spPr>
        <a:xfrm flipH="1">
          <a:off x="9391015" y="14552930"/>
          <a:ext cx="10795" cy="1563370"/>
        </a:xfrm>
        <a:prstGeom prst="line">
          <a:avLst/>
        </a:prstGeom>
        <a:ln>
          <a:prstDash val="sysDash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619124</xdr:colOff>
      <xdr:row>28</xdr:row>
      <xdr:rowOff>447675</xdr:rowOff>
    </xdr:from>
    <xdr:to>
      <xdr:col>15</xdr:col>
      <xdr:colOff>19048</xdr:colOff>
      <xdr:row>29</xdr:row>
      <xdr:rowOff>504825</xdr:rowOff>
    </xdr:to>
    <xdr:sp>
      <xdr:nvSpPr>
        <xdr:cNvPr id="2" name="右箭头 1"/>
        <xdr:cNvSpPr/>
      </xdr:nvSpPr>
      <xdr:spPr>
        <a:xfrm>
          <a:off x="2790190" y="15032355"/>
          <a:ext cx="7614285" cy="567690"/>
        </a:xfrm>
        <a:prstGeom prst="rightArrow">
          <a:avLst>
            <a:gd name="adj1" fmla="val 50000"/>
            <a:gd name="adj2" fmla="val 955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239485</xdr:colOff>
      <xdr:row>27</xdr:row>
      <xdr:rowOff>478971</xdr:rowOff>
    </xdr:from>
    <xdr:to>
      <xdr:col>13</xdr:col>
      <xdr:colOff>250371</xdr:colOff>
      <xdr:row>30</xdr:row>
      <xdr:rowOff>510540</xdr:rowOff>
    </xdr:to>
    <xdr:cxnSp>
      <xdr:nvCxnSpPr>
        <xdr:cNvPr id="3" name="直接连接符 2"/>
        <xdr:cNvCxnSpPr/>
      </xdr:nvCxnSpPr>
      <xdr:spPr>
        <a:xfrm flipH="1">
          <a:off x="9391015" y="14552930"/>
          <a:ext cx="10795" cy="1563370"/>
        </a:xfrm>
        <a:prstGeom prst="line">
          <a:avLst/>
        </a:prstGeom>
        <a:ln>
          <a:prstDash val="sysDash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619124</xdr:colOff>
      <xdr:row>28</xdr:row>
      <xdr:rowOff>447675</xdr:rowOff>
    </xdr:from>
    <xdr:to>
      <xdr:col>15</xdr:col>
      <xdr:colOff>19048</xdr:colOff>
      <xdr:row>29</xdr:row>
      <xdr:rowOff>504825</xdr:rowOff>
    </xdr:to>
    <xdr:sp>
      <xdr:nvSpPr>
        <xdr:cNvPr id="2" name="右箭头 1"/>
        <xdr:cNvSpPr/>
      </xdr:nvSpPr>
      <xdr:spPr>
        <a:xfrm>
          <a:off x="2790190" y="15032355"/>
          <a:ext cx="7614285" cy="567690"/>
        </a:xfrm>
        <a:prstGeom prst="rightArrow">
          <a:avLst>
            <a:gd name="adj1" fmla="val 50000"/>
            <a:gd name="adj2" fmla="val 955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239485</xdr:colOff>
      <xdr:row>27</xdr:row>
      <xdr:rowOff>478971</xdr:rowOff>
    </xdr:from>
    <xdr:to>
      <xdr:col>13</xdr:col>
      <xdr:colOff>250371</xdr:colOff>
      <xdr:row>30</xdr:row>
      <xdr:rowOff>510540</xdr:rowOff>
    </xdr:to>
    <xdr:cxnSp>
      <xdr:nvCxnSpPr>
        <xdr:cNvPr id="3" name="直接连接符 2"/>
        <xdr:cNvCxnSpPr/>
      </xdr:nvCxnSpPr>
      <xdr:spPr>
        <a:xfrm flipH="1">
          <a:off x="9391015" y="14552930"/>
          <a:ext cx="10795" cy="1563370"/>
        </a:xfrm>
        <a:prstGeom prst="line">
          <a:avLst/>
        </a:prstGeom>
        <a:ln>
          <a:prstDash val="sysDash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619124</xdr:colOff>
      <xdr:row>28</xdr:row>
      <xdr:rowOff>447675</xdr:rowOff>
    </xdr:from>
    <xdr:to>
      <xdr:col>15</xdr:col>
      <xdr:colOff>19048</xdr:colOff>
      <xdr:row>29</xdr:row>
      <xdr:rowOff>504825</xdr:rowOff>
    </xdr:to>
    <xdr:sp>
      <xdr:nvSpPr>
        <xdr:cNvPr id="2" name="右箭头 1"/>
        <xdr:cNvSpPr/>
      </xdr:nvSpPr>
      <xdr:spPr>
        <a:xfrm>
          <a:off x="2790190" y="15032355"/>
          <a:ext cx="7614285" cy="567690"/>
        </a:xfrm>
        <a:prstGeom prst="rightArrow">
          <a:avLst>
            <a:gd name="adj1" fmla="val 50000"/>
            <a:gd name="adj2" fmla="val 955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239485</xdr:colOff>
      <xdr:row>27</xdr:row>
      <xdr:rowOff>478971</xdr:rowOff>
    </xdr:from>
    <xdr:to>
      <xdr:col>13</xdr:col>
      <xdr:colOff>250371</xdr:colOff>
      <xdr:row>30</xdr:row>
      <xdr:rowOff>510540</xdr:rowOff>
    </xdr:to>
    <xdr:cxnSp>
      <xdr:nvCxnSpPr>
        <xdr:cNvPr id="3" name="直接连接符 2"/>
        <xdr:cNvCxnSpPr/>
      </xdr:nvCxnSpPr>
      <xdr:spPr>
        <a:xfrm flipH="1">
          <a:off x="9391015" y="14552930"/>
          <a:ext cx="10795" cy="1563370"/>
        </a:xfrm>
        <a:prstGeom prst="line">
          <a:avLst/>
        </a:prstGeom>
        <a:ln>
          <a:prstDash val="sysDash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619124</xdr:colOff>
      <xdr:row>28</xdr:row>
      <xdr:rowOff>447675</xdr:rowOff>
    </xdr:from>
    <xdr:to>
      <xdr:col>15</xdr:col>
      <xdr:colOff>19048</xdr:colOff>
      <xdr:row>29</xdr:row>
      <xdr:rowOff>504825</xdr:rowOff>
    </xdr:to>
    <xdr:sp>
      <xdr:nvSpPr>
        <xdr:cNvPr id="2" name="右箭头 1"/>
        <xdr:cNvSpPr/>
      </xdr:nvSpPr>
      <xdr:spPr>
        <a:xfrm>
          <a:off x="2790190" y="15032355"/>
          <a:ext cx="7614285" cy="567690"/>
        </a:xfrm>
        <a:prstGeom prst="rightArrow">
          <a:avLst>
            <a:gd name="adj1" fmla="val 50000"/>
            <a:gd name="adj2" fmla="val 955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239485</xdr:colOff>
      <xdr:row>27</xdr:row>
      <xdr:rowOff>478971</xdr:rowOff>
    </xdr:from>
    <xdr:to>
      <xdr:col>13</xdr:col>
      <xdr:colOff>250371</xdr:colOff>
      <xdr:row>30</xdr:row>
      <xdr:rowOff>510540</xdr:rowOff>
    </xdr:to>
    <xdr:cxnSp>
      <xdr:nvCxnSpPr>
        <xdr:cNvPr id="3" name="直接连接符 2"/>
        <xdr:cNvCxnSpPr/>
      </xdr:nvCxnSpPr>
      <xdr:spPr>
        <a:xfrm flipH="1">
          <a:off x="9391015" y="14552930"/>
          <a:ext cx="10795" cy="1563370"/>
        </a:xfrm>
        <a:prstGeom prst="line">
          <a:avLst/>
        </a:prstGeom>
        <a:ln>
          <a:prstDash val="sysDash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619124</xdr:colOff>
      <xdr:row>28</xdr:row>
      <xdr:rowOff>447675</xdr:rowOff>
    </xdr:from>
    <xdr:to>
      <xdr:col>15</xdr:col>
      <xdr:colOff>19048</xdr:colOff>
      <xdr:row>29</xdr:row>
      <xdr:rowOff>504825</xdr:rowOff>
    </xdr:to>
    <xdr:sp>
      <xdr:nvSpPr>
        <xdr:cNvPr id="2" name="右箭头 1"/>
        <xdr:cNvSpPr/>
      </xdr:nvSpPr>
      <xdr:spPr>
        <a:xfrm>
          <a:off x="2790190" y="15032355"/>
          <a:ext cx="7614285" cy="567690"/>
        </a:xfrm>
        <a:prstGeom prst="rightArrow">
          <a:avLst>
            <a:gd name="adj1" fmla="val 50000"/>
            <a:gd name="adj2" fmla="val 955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239485</xdr:colOff>
      <xdr:row>27</xdr:row>
      <xdr:rowOff>478971</xdr:rowOff>
    </xdr:from>
    <xdr:to>
      <xdr:col>13</xdr:col>
      <xdr:colOff>250371</xdr:colOff>
      <xdr:row>30</xdr:row>
      <xdr:rowOff>510540</xdr:rowOff>
    </xdr:to>
    <xdr:cxnSp>
      <xdr:nvCxnSpPr>
        <xdr:cNvPr id="3" name="直接连接符 2"/>
        <xdr:cNvCxnSpPr/>
      </xdr:nvCxnSpPr>
      <xdr:spPr>
        <a:xfrm flipH="1">
          <a:off x="9391015" y="14552930"/>
          <a:ext cx="10795" cy="1563370"/>
        </a:xfrm>
        <a:prstGeom prst="line">
          <a:avLst/>
        </a:prstGeom>
        <a:ln>
          <a:prstDash val="sysDash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619124</xdr:colOff>
      <xdr:row>28</xdr:row>
      <xdr:rowOff>447675</xdr:rowOff>
    </xdr:from>
    <xdr:to>
      <xdr:col>15</xdr:col>
      <xdr:colOff>19048</xdr:colOff>
      <xdr:row>29</xdr:row>
      <xdr:rowOff>504825</xdr:rowOff>
    </xdr:to>
    <xdr:sp>
      <xdr:nvSpPr>
        <xdr:cNvPr id="2" name="右箭头 1"/>
        <xdr:cNvSpPr/>
      </xdr:nvSpPr>
      <xdr:spPr>
        <a:xfrm>
          <a:off x="2790190" y="15032355"/>
          <a:ext cx="7614285" cy="567690"/>
        </a:xfrm>
        <a:prstGeom prst="rightArrow">
          <a:avLst>
            <a:gd name="adj1" fmla="val 50000"/>
            <a:gd name="adj2" fmla="val 955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239485</xdr:colOff>
      <xdr:row>27</xdr:row>
      <xdr:rowOff>478971</xdr:rowOff>
    </xdr:from>
    <xdr:to>
      <xdr:col>13</xdr:col>
      <xdr:colOff>250371</xdr:colOff>
      <xdr:row>30</xdr:row>
      <xdr:rowOff>510540</xdr:rowOff>
    </xdr:to>
    <xdr:cxnSp>
      <xdr:nvCxnSpPr>
        <xdr:cNvPr id="3" name="直接连接符 2"/>
        <xdr:cNvCxnSpPr/>
      </xdr:nvCxnSpPr>
      <xdr:spPr>
        <a:xfrm flipH="1">
          <a:off x="9391015" y="14552930"/>
          <a:ext cx="10795" cy="1563370"/>
        </a:xfrm>
        <a:prstGeom prst="line">
          <a:avLst/>
        </a:prstGeom>
        <a:ln>
          <a:prstDash val="sysDash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619124</xdr:colOff>
      <xdr:row>28</xdr:row>
      <xdr:rowOff>447675</xdr:rowOff>
    </xdr:from>
    <xdr:to>
      <xdr:col>15</xdr:col>
      <xdr:colOff>19048</xdr:colOff>
      <xdr:row>29</xdr:row>
      <xdr:rowOff>504825</xdr:rowOff>
    </xdr:to>
    <xdr:sp>
      <xdr:nvSpPr>
        <xdr:cNvPr id="4" name="右箭头 3"/>
        <xdr:cNvSpPr/>
      </xdr:nvSpPr>
      <xdr:spPr>
        <a:xfrm>
          <a:off x="2790190" y="15032355"/>
          <a:ext cx="7614285" cy="567690"/>
        </a:xfrm>
        <a:prstGeom prst="rightArrow">
          <a:avLst>
            <a:gd name="adj1" fmla="val 50000"/>
            <a:gd name="adj2" fmla="val 955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239485</xdr:colOff>
      <xdr:row>27</xdr:row>
      <xdr:rowOff>478971</xdr:rowOff>
    </xdr:from>
    <xdr:to>
      <xdr:col>13</xdr:col>
      <xdr:colOff>250371</xdr:colOff>
      <xdr:row>30</xdr:row>
      <xdr:rowOff>510540</xdr:rowOff>
    </xdr:to>
    <xdr:cxnSp>
      <xdr:nvCxnSpPr>
        <xdr:cNvPr id="5" name="直接连接符 4"/>
        <xdr:cNvCxnSpPr/>
      </xdr:nvCxnSpPr>
      <xdr:spPr>
        <a:xfrm flipH="1">
          <a:off x="9391015" y="14552930"/>
          <a:ext cx="10795" cy="1563370"/>
        </a:xfrm>
        <a:prstGeom prst="line">
          <a:avLst/>
        </a:prstGeom>
        <a:ln>
          <a:prstDash val="sysDash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619124</xdr:colOff>
      <xdr:row>28</xdr:row>
      <xdr:rowOff>447675</xdr:rowOff>
    </xdr:from>
    <xdr:to>
      <xdr:col>15</xdr:col>
      <xdr:colOff>19048</xdr:colOff>
      <xdr:row>29</xdr:row>
      <xdr:rowOff>504825</xdr:rowOff>
    </xdr:to>
    <xdr:sp>
      <xdr:nvSpPr>
        <xdr:cNvPr id="2" name="右箭头 1"/>
        <xdr:cNvSpPr/>
      </xdr:nvSpPr>
      <xdr:spPr>
        <a:xfrm>
          <a:off x="2790190" y="15032355"/>
          <a:ext cx="7614285" cy="567690"/>
        </a:xfrm>
        <a:prstGeom prst="rightArrow">
          <a:avLst>
            <a:gd name="adj1" fmla="val 50000"/>
            <a:gd name="adj2" fmla="val 955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239485</xdr:colOff>
      <xdr:row>27</xdr:row>
      <xdr:rowOff>478971</xdr:rowOff>
    </xdr:from>
    <xdr:to>
      <xdr:col>13</xdr:col>
      <xdr:colOff>250371</xdr:colOff>
      <xdr:row>30</xdr:row>
      <xdr:rowOff>510540</xdr:rowOff>
    </xdr:to>
    <xdr:cxnSp>
      <xdr:nvCxnSpPr>
        <xdr:cNvPr id="3" name="直接连接符 2"/>
        <xdr:cNvCxnSpPr/>
      </xdr:nvCxnSpPr>
      <xdr:spPr>
        <a:xfrm flipH="1">
          <a:off x="9391015" y="14552930"/>
          <a:ext cx="10795" cy="1563370"/>
        </a:xfrm>
        <a:prstGeom prst="line">
          <a:avLst/>
        </a:prstGeom>
        <a:ln>
          <a:prstDash val="sysDash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619124</xdr:colOff>
      <xdr:row>28</xdr:row>
      <xdr:rowOff>447675</xdr:rowOff>
    </xdr:from>
    <xdr:to>
      <xdr:col>15</xdr:col>
      <xdr:colOff>19048</xdr:colOff>
      <xdr:row>29</xdr:row>
      <xdr:rowOff>504825</xdr:rowOff>
    </xdr:to>
    <xdr:sp>
      <xdr:nvSpPr>
        <xdr:cNvPr id="4" name="右箭头 3"/>
        <xdr:cNvSpPr/>
      </xdr:nvSpPr>
      <xdr:spPr>
        <a:xfrm>
          <a:off x="2790190" y="15032355"/>
          <a:ext cx="7614285" cy="567690"/>
        </a:xfrm>
        <a:prstGeom prst="rightArrow">
          <a:avLst>
            <a:gd name="adj1" fmla="val 50000"/>
            <a:gd name="adj2" fmla="val 9554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239485</xdr:colOff>
      <xdr:row>27</xdr:row>
      <xdr:rowOff>478971</xdr:rowOff>
    </xdr:from>
    <xdr:to>
      <xdr:col>13</xdr:col>
      <xdr:colOff>250371</xdr:colOff>
      <xdr:row>30</xdr:row>
      <xdr:rowOff>510540</xdr:rowOff>
    </xdr:to>
    <xdr:cxnSp>
      <xdr:nvCxnSpPr>
        <xdr:cNvPr id="5" name="直接连接符 4"/>
        <xdr:cNvCxnSpPr/>
      </xdr:nvCxnSpPr>
      <xdr:spPr>
        <a:xfrm flipH="1">
          <a:off x="9391015" y="14552930"/>
          <a:ext cx="10795" cy="1563370"/>
        </a:xfrm>
        <a:prstGeom prst="line">
          <a:avLst/>
        </a:prstGeom>
        <a:ln>
          <a:prstDash val="sysDash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943"/>
  <sheetViews>
    <sheetView topLeftCell="E387" workbookViewId="0">
      <selection activeCell="Z14" sqref="Z14"/>
    </sheetView>
  </sheetViews>
  <sheetFormatPr defaultColWidth="8.88888888888889" defaultRowHeight="14.4"/>
  <cols>
    <col min="1" max="1" width="5.41666666666667" style="102"/>
    <col min="2" max="2" width="40" style="102"/>
    <col min="3" max="3" width="12.5555555555556" style="102"/>
    <col min="4" max="5" width="11.7777777777778" style="102"/>
    <col min="6" max="6" width="13.4722222222222" style="102"/>
    <col min="7" max="7" width="16.9722222222222" style="102"/>
    <col min="8" max="8" width="11.4166666666667" style="102"/>
    <col min="9" max="9" width="9.19444444444444" style="102"/>
    <col min="10" max="10" width="6.66666666666667" style="102"/>
    <col min="11" max="12" width="9.19444444444444" style="102"/>
    <col min="13" max="13" width="10.6666666666667" style="102"/>
    <col min="14" max="14" width="7.30555555555556" style="102"/>
    <col min="15" max="15" width="9.19444444444444" style="102"/>
    <col min="16" max="16" width="7.30555555555556" style="102"/>
    <col min="17" max="18" width="16.4166666666667" style="102"/>
    <col min="19" max="19" width="16.6388888888889" style="102"/>
    <col min="20" max="20" width="10.9722222222222" style="102"/>
    <col min="21" max="16384" width="8.88888888888889" style="102"/>
  </cols>
  <sheetData>
    <row r="1" s="102" customFormat="1" ht="25.8" customHeight="1" spans="1:20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7"/>
    </row>
    <row r="2" s="102" customFormat="1" spans="1:20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10"/>
    </row>
    <row r="3" s="102" customFormat="1" spans="1:20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3"/>
    </row>
    <row r="4" s="102" customFormat="1" ht="15" customHeight="1" spans="1:20">
      <c r="A4" s="104" t="s">
        <v>1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</row>
    <row r="5" s="102" customFormat="1" ht="15" spans="1:20">
      <c r="A5" s="104" t="s">
        <v>2</v>
      </c>
      <c r="B5" s="104" t="s">
        <v>3</v>
      </c>
      <c r="C5" s="104" t="s">
        <v>4</v>
      </c>
      <c r="D5" s="104" t="s">
        <v>5</v>
      </c>
      <c r="E5" s="104" t="s">
        <v>6</v>
      </c>
      <c r="F5" s="104" t="s">
        <v>7</v>
      </c>
      <c r="G5" s="104" t="s">
        <v>8</v>
      </c>
      <c r="H5" s="104" t="s">
        <v>9</v>
      </c>
      <c r="I5" s="104" t="s">
        <v>10</v>
      </c>
      <c r="J5" s="104" t="s">
        <v>11</v>
      </c>
      <c r="K5" s="104" t="s">
        <v>12</v>
      </c>
      <c r="L5" s="104" t="s">
        <v>13</v>
      </c>
      <c r="M5" s="104" t="s">
        <v>14</v>
      </c>
      <c r="N5" s="104" t="s">
        <v>15</v>
      </c>
      <c r="O5" s="104" t="s">
        <v>16</v>
      </c>
      <c r="P5" s="104" t="s">
        <v>17</v>
      </c>
      <c r="Q5" s="104" t="s">
        <v>18</v>
      </c>
      <c r="R5" s="104" t="s">
        <v>19</v>
      </c>
      <c r="S5" s="104" t="s">
        <v>20</v>
      </c>
      <c r="T5" s="104" t="s">
        <v>21</v>
      </c>
    </row>
    <row r="6" s="102" customFormat="1" ht="15" spans="1:20">
      <c r="A6" s="104" t="s">
        <v>22</v>
      </c>
      <c r="B6" s="104" t="s">
        <v>23</v>
      </c>
      <c r="C6" s="114"/>
      <c r="D6" s="114"/>
      <c r="E6" s="114"/>
      <c r="F6" s="114"/>
      <c r="G6" s="114"/>
      <c r="H6" s="104">
        <v>4017318</v>
      </c>
      <c r="I6" s="104">
        <v>103</v>
      </c>
      <c r="J6" s="104">
        <v>1</v>
      </c>
      <c r="K6" s="104">
        <v>1</v>
      </c>
      <c r="L6" s="104">
        <v>0</v>
      </c>
      <c r="M6" s="104">
        <v>5.15</v>
      </c>
      <c r="N6" s="104" t="s">
        <v>24</v>
      </c>
      <c r="O6" s="104" t="s">
        <v>25</v>
      </c>
      <c r="P6" s="104" t="s">
        <v>26</v>
      </c>
      <c r="Q6" s="104">
        <v>46113.4659722222</v>
      </c>
      <c r="R6" s="104">
        <v>46113.4659722222</v>
      </c>
      <c r="S6" s="104">
        <v>46113.5777777778</v>
      </c>
      <c r="T6" s="104" t="s">
        <v>27</v>
      </c>
    </row>
    <row r="7" s="102" customFormat="1" ht="15" spans="1:20">
      <c r="A7" s="104" t="s">
        <v>22</v>
      </c>
      <c r="B7" s="104" t="s">
        <v>28</v>
      </c>
      <c r="C7" s="114"/>
      <c r="D7" s="104" t="s">
        <v>29</v>
      </c>
      <c r="E7" s="114"/>
      <c r="F7" s="114"/>
      <c r="G7" s="114"/>
      <c r="H7" s="104">
        <v>4012093</v>
      </c>
      <c r="I7" s="104">
        <v>0</v>
      </c>
      <c r="J7" s="104">
        <v>117</v>
      </c>
      <c r="K7" s="104">
        <v>0</v>
      </c>
      <c r="L7" s="104">
        <v>117</v>
      </c>
      <c r="M7" s="104">
        <v>0</v>
      </c>
      <c r="N7" s="104" t="s">
        <v>24</v>
      </c>
      <c r="O7" s="104" t="s">
        <v>25</v>
      </c>
      <c r="P7" s="104" t="s">
        <v>26</v>
      </c>
      <c r="Q7" s="104">
        <v>46113.4736111111</v>
      </c>
      <c r="R7" s="104">
        <v>46113.4736111111</v>
      </c>
      <c r="S7" s="104">
        <v>46113.5805555556</v>
      </c>
      <c r="T7" s="104" t="s">
        <v>30</v>
      </c>
    </row>
    <row r="8" s="102" customFormat="1" ht="15" spans="1:20">
      <c r="A8" s="104" t="s">
        <v>22</v>
      </c>
      <c r="B8" s="104" t="s">
        <v>31</v>
      </c>
      <c r="C8" s="114"/>
      <c r="D8" s="114"/>
      <c r="E8" s="114"/>
      <c r="F8" s="114"/>
      <c r="G8" s="114"/>
      <c r="H8" s="104">
        <v>4013353</v>
      </c>
      <c r="I8" s="104">
        <v>104</v>
      </c>
      <c r="J8" s="104">
        <v>7</v>
      </c>
      <c r="K8" s="104">
        <v>2</v>
      </c>
      <c r="L8" s="104">
        <v>5</v>
      </c>
      <c r="M8" s="104">
        <v>25.819</v>
      </c>
      <c r="N8" s="104" t="s">
        <v>24</v>
      </c>
      <c r="O8" s="104" t="s">
        <v>25</v>
      </c>
      <c r="P8" s="104" t="s">
        <v>26</v>
      </c>
      <c r="Q8" s="104">
        <v>46113.4770833333</v>
      </c>
      <c r="R8" s="104">
        <v>46113.4770833333</v>
      </c>
      <c r="S8" s="104">
        <v>46113.5770833333</v>
      </c>
      <c r="T8" s="104" t="s">
        <v>32</v>
      </c>
    </row>
    <row r="9" s="102" customFormat="1" ht="15" spans="1:20">
      <c r="A9" s="104" t="s">
        <v>22</v>
      </c>
      <c r="B9" s="104" t="s">
        <v>33</v>
      </c>
      <c r="C9" s="114"/>
      <c r="D9" s="114"/>
      <c r="E9" s="114"/>
      <c r="F9" s="114"/>
      <c r="G9" s="114"/>
      <c r="H9" s="104">
        <v>40101</v>
      </c>
      <c r="I9" s="104">
        <v>4</v>
      </c>
      <c r="J9" s="104">
        <v>4</v>
      </c>
      <c r="K9" s="104">
        <v>0</v>
      </c>
      <c r="L9" s="104">
        <v>4</v>
      </c>
      <c r="M9" s="104">
        <v>4.651</v>
      </c>
      <c r="N9" s="104" t="s">
        <v>24</v>
      </c>
      <c r="O9" s="104" t="s">
        <v>25</v>
      </c>
      <c r="P9" s="104" t="s">
        <v>26</v>
      </c>
      <c r="Q9" s="104">
        <v>46113.4777777778</v>
      </c>
      <c r="R9" s="104">
        <v>46113.4777777778</v>
      </c>
      <c r="S9" s="104">
        <v>46113.9236111111</v>
      </c>
      <c r="T9" s="104" t="s">
        <v>34</v>
      </c>
    </row>
    <row r="10" s="102" customFormat="1" ht="15" spans="1:20">
      <c r="A10" s="104" t="s">
        <v>22</v>
      </c>
      <c r="B10" s="104" t="s">
        <v>35</v>
      </c>
      <c r="C10" s="114"/>
      <c r="D10" s="114"/>
      <c r="E10" s="114"/>
      <c r="F10" s="114"/>
      <c r="G10" s="114"/>
      <c r="H10" s="104">
        <v>40101</v>
      </c>
      <c r="I10" s="104">
        <v>1</v>
      </c>
      <c r="J10" s="104">
        <v>1</v>
      </c>
      <c r="K10" s="104">
        <v>0</v>
      </c>
      <c r="L10" s="104">
        <v>1</v>
      </c>
      <c r="M10" s="104">
        <v>6.97</v>
      </c>
      <c r="N10" s="104" t="s">
        <v>24</v>
      </c>
      <c r="O10" s="104" t="s">
        <v>25</v>
      </c>
      <c r="P10" s="104" t="s">
        <v>26</v>
      </c>
      <c r="Q10" s="104">
        <v>46113.4777777778</v>
      </c>
      <c r="R10" s="104">
        <v>46113.4777777778</v>
      </c>
      <c r="S10" s="104">
        <v>46113.5777777778</v>
      </c>
      <c r="T10" s="104" t="s">
        <v>32</v>
      </c>
    </row>
    <row r="11" s="102" customFormat="1" ht="15" spans="1:20">
      <c r="A11" s="104" t="s">
        <v>22</v>
      </c>
      <c r="B11" s="104" t="s">
        <v>36</v>
      </c>
      <c r="C11" s="104" t="s">
        <v>37</v>
      </c>
      <c r="D11" s="104" t="s">
        <v>38</v>
      </c>
      <c r="E11" s="114"/>
      <c r="F11" s="114"/>
      <c r="G11" s="114"/>
      <c r="H11" s="104">
        <v>4010001</v>
      </c>
      <c r="I11" s="104">
        <v>618</v>
      </c>
      <c r="J11" s="104">
        <v>618</v>
      </c>
      <c r="K11" s="104">
        <v>0</v>
      </c>
      <c r="L11" s="104">
        <v>618</v>
      </c>
      <c r="M11" s="104">
        <v>426.583</v>
      </c>
      <c r="N11" s="104" t="s">
        <v>24</v>
      </c>
      <c r="O11" s="104" t="s">
        <v>25</v>
      </c>
      <c r="P11" s="104" t="s">
        <v>26</v>
      </c>
      <c r="Q11" s="104">
        <v>46113.4708333333</v>
      </c>
      <c r="R11" s="104">
        <v>46113.4784722222</v>
      </c>
      <c r="S11" s="104">
        <v>46113.5784722222</v>
      </c>
      <c r="T11" s="104" t="s">
        <v>32</v>
      </c>
    </row>
    <row r="12" s="102" customFormat="1" ht="15" spans="1:20">
      <c r="A12" s="104" t="s">
        <v>22</v>
      </c>
      <c r="B12" s="104" t="s">
        <v>39</v>
      </c>
      <c r="C12" s="104" t="s">
        <v>40</v>
      </c>
      <c r="D12" s="104" t="s">
        <v>41</v>
      </c>
      <c r="E12" s="114"/>
      <c r="F12" s="114"/>
      <c r="G12" s="114"/>
      <c r="H12" s="104">
        <v>4010001</v>
      </c>
      <c r="I12" s="104">
        <v>268</v>
      </c>
      <c r="J12" s="104">
        <v>22</v>
      </c>
      <c r="K12" s="104">
        <v>6</v>
      </c>
      <c r="L12" s="104">
        <v>16</v>
      </c>
      <c r="M12" s="104">
        <v>108.867</v>
      </c>
      <c r="N12" s="104" t="s">
        <v>24</v>
      </c>
      <c r="O12" s="104" t="s">
        <v>25</v>
      </c>
      <c r="P12" s="104" t="s">
        <v>26</v>
      </c>
      <c r="Q12" s="104">
        <v>46113.4736111111</v>
      </c>
      <c r="R12" s="104">
        <v>46113.4784722222</v>
      </c>
      <c r="S12" s="104">
        <v>46113.5784722222</v>
      </c>
      <c r="T12" s="104" t="s">
        <v>32</v>
      </c>
    </row>
    <row r="13" s="102" customFormat="1" ht="15" spans="1:20">
      <c r="A13" s="104" t="s">
        <v>22</v>
      </c>
      <c r="B13" s="104" t="s">
        <v>42</v>
      </c>
      <c r="C13" s="104" t="s">
        <v>43</v>
      </c>
      <c r="D13" s="104" t="s">
        <v>44</v>
      </c>
      <c r="E13" s="114"/>
      <c r="F13" s="114"/>
      <c r="G13" s="114"/>
      <c r="H13" s="104">
        <v>4010001</v>
      </c>
      <c r="I13" s="104">
        <v>691</v>
      </c>
      <c r="J13" s="104">
        <v>421</v>
      </c>
      <c r="K13" s="104">
        <v>11</v>
      </c>
      <c r="L13" s="104">
        <v>410</v>
      </c>
      <c r="M13" s="104">
        <v>146.737</v>
      </c>
      <c r="N13" s="104" t="s">
        <v>24</v>
      </c>
      <c r="O13" s="104" t="s">
        <v>25</v>
      </c>
      <c r="P13" s="104" t="s">
        <v>26</v>
      </c>
      <c r="Q13" s="104">
        <v>46113.4826388889</v>
      </c>
      <c r="R13" s="104">
        <v>46113.4847222222</v>
      </c>
      <c r="S13" s="104">
        <v>46113.5798611111</v>
      </c>
      <c r="T13" s="104" t="s">
        <v>45</v>
      </c>
    </row>
    <row r="14" s="102" customFormat="1" ht="15" spans="1:20">
      <c r="A14" s="104" t="s">
        <v>22</v>
      </c>
      <c r="B14" s="104" t="s">
        <v>33</v>
      </c>
      <c r="C14" s="114"/>
      <c r="D14" s="114"/>
      <c r="E14" s="114"/>
      <c r="F14" s="114"/>
      <c r="G14" s="114"/>
      <c r="H14" s="104">
        <v>40101</v>
      </c>
      <c r="I14" s="104">
        <v>1</v>
      </c>
      <c r="J14" s="104">
        <v>1</v>
      </c>
      <c r="K14" s="104">
        <v>0</v>
      </c>
      <c r="L14" s="104">
        <v>1</v>
      </c>
      <c r="M14" s="104">
        <v>7.86</v>
      </c>
      <c r="N14" s="104" t="s">
        <v>24</v>
      </c>
      <c r="O14" s="104" t="s">
        <v>25</v>
      </c>
      <c r="P14" s="104" t="s">
        <v>26</v>
      </c>
      <c r="Q14" s="104">
        <v>46113.4777777778</v>
      </c>
      <c r="R14" s="104">
        <v>46113.4847222222</v>
      </c>
      <c r="S14" s="104">
        <v>46113.9236111111</v>
      </c>
      <c r="T14" s="104" t="s">
        <v>34</v>
      </c>
    </row>
    <row r="15" s="102" customFormat="1" ht="15" spans="1:20">
      <c r="A15" s="104" t="s">
        <v>22</v>
      </c>
      <c r="B15" s="104" t="s">
        <v>33</v>
      </c>
      <c r="C15" s="114"/>
      <c r="D15" s="114"/>
      <c r="E15" s="114"/>
      <c r="F15" s="114"/>
      <c r="G15" s="114"/>
      <c r="H15" s="104">
        <v>40102</v>
      </c>
      <c r="I15" s="104">
        <v>1</v>
      </c>
      <c r="J15" s="104">
        <v>1</v>
      </c>
      <c r="K15" s="104">
        <v>0</v>
      </c>
      <c r="L15" s="104">
        <v>1</v>
      </c>
      <c r="M15" s="104">
        <v>0.236</v>
      </c>
      <c r="N15" s="104" t="s">
        <v>24</v>
      </c>
      <c r="O15" s="104" t="s">
        <v>25</v>
      </c>
      <c r="P15" s="104" t="s">
        <v>26</v>
      </c>
      <c r="Q15" s="104">
        <v>46113.4847222222</v>
      </c>
      <c r="R15" s="104">
        <v>46113.4847222222</v>
      </c>
      <c r="S15" s="104">
        <v>46113.5777777778</v>
      </c>
      <c r="T15" s="104" t="s">
        <v>46</v>
      </c>
    </row>
    <row r="16" s="102" customFormat="1" ht="15" spans="1:20">
      <c r="A16" s="104" t="s">
        <v>22</v>
      </c>
      <c r="B16" s="104" t="s">
        <v>47</v>
      </c>
      <c r="C16" s="114"/>
      <c r="D16" s="114"/>
      <c r="E16" s="114"/>
      <c r="F16" s="114"/>
      <c r="G16" s="114"/>
      <c r="H16" s="104">
        <v>40101</v>
      </c>
      <c r="I16" s="104">
        <v>6</v>
      </c>
      <c r="J16" s="104">
        <v>6</v>
      </c>
      <c r="K16" s="104">
        <v>0</v>
      </c>
      <c r="L16" s="104">
        <v>6</v>
      </c>
      <c r="M16" s="104">
        <v>13.776</v>
      </c>
      <c r="N16" s="104" t="s">
        <v>24</v>
      </c>
      <c r="O16" s="104" t="s">
        <v>25</v>
      </c>
      <c r="P16" s="104" t="s">
        <v>26</v>
      </c>
      <c r="Q16" s="104">
        <v>46113.4868055556</v>
      </c>
      <c r="R16" s="104">
        <v>46113.4868055556</v>
      </c>
      <c r="S16" s="104">
        <v>46113.9229166667</v>
      </c>
      <c r="T16" s="104" t="s">
        <v>48</v>
      </c>
    </row>
    <row r="17" s="102" customFormat="1" ht="15" spans="1:20">
      <c r="A17" s="104" t="s">
        <v>22</v>
      </c>
      <c r="B17" s="104" t="s">
        <v>33</v>
      </c>
      <c r="C17" s="114"/>
      <c r="D17" s="114"/>
      <c r="E17" s="114"/>
      <c r="F17" s="114"/>
      <c r="G17" s="114"/>
      <c r="H17" s="104">
        <v>40101</v>
      </c>
      <c r="I17" s="104">
        <v>2</v>
      </c>
      <c r="J17" s="104">
        <v>2</v>
      </c>
      <c r="K17" s="104">
        <v>0</v>
      </c>
      <c r="L17" s="104">
        <v>2</v>
      </c>
      <c r="M17" s="104">
        <v>5.752</v>
      </c>
      <c r="N17" s="104" t="s">
        <v>24</v>
      </c>
      <c r="O17" s="104" t="s">
        <v>25</v>
      </c>
      <c r="P17" s="104" t="s">
        <v>26</v>
      </c>
      <c r="Q17" s="104">
        <v>46113.4777777778</v>
      </c>
      <c r="R17" s="104">
        <v>46113.4868055556</v>
      </c>
      <c r="S17" s="104">
        <v>46113.9236111111</v>
      </c>
      <c r="T17" s="104" t="s">
        <v>34</v>
      </c>
    </row>
    <row r="18" s="102" customFormat="1" ht="15" spans="1:20">
      <c r="A18" s="104" t="s">
        <v>22</v>
      </c>
      <c r="B18" s="104" t="s">
        <v>49</v>
      </c>
      <c r="C18" s="104" t="s">
        <v>50</v>
      </c>
      <c r="D18" s="104" t="s">
        <v>51</v>
      </c>
      <c r="E18" s="114"/>
      <c r="F18" s="114"/>
      <c r="G18" s="114"/>
      <c r="H18" s="104">
        <v>4010001</v>
      </c>
      <c r="I18" s="104">
        <v>45</v>
      </c>
      <c r="J18" s="104">
        <v>31</v>
      </c>
      <c r="K18" s="104">
        <v>1</v>
      </c>
      <c r="L18" s="104">
        <v>30</v>
      </c>
      <c r="M18" s="104">
        <v>197.194</v>
      </c>
      <c r="N18" s="104" t="s">
        <v>24</v>
      </c>
      <c r="O18" s="104" t="s">
        <v>25</v>
      </c>
      <c r="P18" s="104" t="s">
        <v>26</v>
      </c>
      <c r="Q18" s="104">
        <v>46113.4902777778</v>
      </c>
      <c r="R18" s="104">
        <v>46113.4923611111</v>
      </c>
      <c r="S18" s="104">
        <v>46113.5784722222</v>
      </c>
      <c r="T18" s="104" t="s">
        <v>52</v>
      </c>
    </row>
    <row r="19" s="102" customFormat="1" ht="15" spans="1:20">
      <c r="A19" s="104" t="s">
        <v>22</v>
      </c>
      <c r="B19" s="104" t="s">
        <v>53</v>
      </c>
      <c r="C19" s="104" t="s">
        <v>54</v>
      </c>
      <c r="D19" s="104" t="s">
        <v>55</v>
      </c>
      <c r="E19" s="114"/>
      <c r="F19" s="114"/>
      <c r="G19" s="114"/>
      <c r="H19" s="104">
        <v>4010001</v>
      </c>
      <c r="I19" s="104">
        <v>97</v>
      </c>
      <c r="J19" s="104">
        <v>22</v>
      </c>
      <c r="K19" s="104">
        <v>2</v>
      </c>
      <c r="L19" s="104">
        <v>20</v>
      </c>
      <c r="M19" s="104">
        <v>91.99</v>
      </c>
      <c r="N19" s="104" t="s">
        <v>24</v>
      </c>
      <c r="O19" s="104" t="s">
        <v>25</v>
      </c>
      <c r="P19" s="104" t="s">
        <v>26</v>
      </c>
      <c r="Q19" s="104">
        <v>46113.4923611111</v>
      </c>
      <c r="R19" s="104">
        <v>46113.4923611111</v>
      </c>
      <c r="S19" s="104">
        <v>46122.5326388889</v>
      </c>
      <c r="T19" s="104" t="s">
        <v>56</v>
      </c>
    </row>
    <row r="20" s="102" customFormat="1" ht="15" spans="1:20">
      <c r="A20" s="104" t="s">
        <v>22</v>
      </c>
      <c r="B20" s="104" t="s">
        <v>57</v>
      </c>
      <c r="C20" s="104" t="s">
        <v>58</v>
      </c>
      <c r="D20" s="104" t="s">
        <v>59</v>
      </c>
      <c r="E20" s="104" t="s">
        <v>60</v>
      </c>
      <c r="F20" s="104" t="s">
        <v>61</v>
      </c>
      <c r="G20" s="114"/>
      <c r="H20" s="104">
        <v>4010001</v>
      </c>
      <c r="I20" s="104">
        <v>122</v>
      </c>
      <c r="J20" s="104">
        <v>101</v>
      </c>
      <c r="K20" s="104">
        <v>13</v>
      </c>
      <c r="L20" s="104">
        <v>52</v>
      </c>
      <c r="M20" s="104">
        <v>85.128</v>
      </c>
      <c r="N20" s="104" t="s">
        <v>24</v>
      </c>
      <c r="O20" s="104" t="s">
        <v>25</v>
      </c>
      <c r="P20" s="104" t="s">
        <v>26</v>
      </c>
      <c r="Q20" s="104">
        <v>46113.4909722222</v>
      </c>
      <c r="R20" s="104">
        <v>46113.4930555556</v>
      </c>
      <c r="S20" s="104">
        <v>46113.5798611111</v>
      </c>
      <c r="T20" s="104" t="s">
        <v>62</v>
      </c>
    </row>
    <row r="21" s="102" customFormat="1" ht="15" spans="1:20">
      <c r="A21" s="104" t="s">
        <v>22</v>
      </c>
      <c r="B21" s="104" t="s">
        <v>47</v>
      </c>
      <c r="C21" s="114"/>
      <c r="D21" s="114"/>
      <c r="E21" s="114"/>
      <c r="F21" s="114"/>
      <c r="G21" s="114"/>
      <c r="H21" s="104">
        <v>40101</v>
      </c>
      <c r="I21" s="104">
        <v>1</v>
      </c>
      <c r="J21" s="104">
        <v>1</v>
      </c>
      <c r="K21" s="104">
        <v>0</v>
      </c>
      <c r="L21" s="104">
        <v>1</v>
      </c>
      <c r="M21" s="104">
        <v>6.305</v>
      </c>
      <c r="N21" s="104" t="s">
        <v>24</v>
      </c>
      <c r="O21" s="104" t="s">
        <v>25</v>
      </c>
      <c r="P21" s="104" t="s">
        <v>26</v>
      </c>
      <c r="Q21" s="104">
        <v>46113.4868055556</v>
      </c>
      <c r="R21" s="104">
        <v>46113.4930555556</v>
      </c>
      <c r="S21" s="104">
        <v>46113.9229166667</v>
      </c>
      <c r="T21" s="104" t="s">
        <v>48</v>
      </c>
    </row>
    <row r="22" s="102" customFormat="1" ht="15" spans="1:20">
      <c r="A22" s="104" t="s">
        <v>22</v>
      </c>
      <c r="B22" s="104" t="s">
        <v>63</v>
      </c>
      <c r="C22" s="104" t="s">
        <v>64</v>
      </c>
      <c r="D22" s="104" t="s">
        <v>65</v>
      </c>
      <c r="E22" s="114"/>
      <c r="F22" s="114"/>
      <c r="G22" s="114"/>
      <c r="H22" s="104">
        <v>4010001</v>
      </c>
      <c r="I22" s="104">
        <v>625</v>
      </c>
      <c r="J22" s="104">
        <v>625</v>
      </c>
      <c r="K22" s="104">
        <v>6</v>
      </c>
      <c r="L22" s="104">
        <v>619</v>
      </c>
      <c r="M22" s="104">
        <v>773.78</v>
      </c>
      <c r="N22" s="104" t="s">
        <v>24</v>
      </c>
      <c r="O22" s="104" t="s">
        <v>25</v>
      </c>
      <c r="P22" s="104" t="s">
        <v>26</v>
      </c>
      <c r="Q22" s="104">
        <v>46113.49375</v>
      </c>
      <c r="R22" s="104">
        <v>46113.49375</v>
      </c>
      <c r="S22" s="104">
        <v>46113.5798611111</v>
      </c>
      <c r="T22" s="104" t="s">
        <v>66</v>
      </c>
    </row>
    <row r="23" s="102" customFormat="1" ht="15" spans="1:20">
      <c r="A23" s="104" t="s">
        <v>22</v>
      </c>
      <c r="B23" s="104" t="s">
        <v>67</v>
      </c>
      <c r="C23" s="104" t="s">
        <v>68</v>
      </c>
      <c r="D23" s="104" t="s">
        <v>69</v>
      </c>
      <c r="E23" s="114"/>
      <c r="F23" s="114"/>
      <c r="G23" s="114"/>
      <c r="H23" s="104">
        <v>4010001</v>
      </c>
      <c r="I23" s="104">
        <v>208</v>
      </c>
      <c r="J23" s="104">
        <v>52</v>
      </c>
      <c r="K23" s="104">
        <v>1</v>
      </c>
      <c r="L23" s="104">
        <v>51</v>
      </c>
      <c r="M23" s="104">
        <v>120.829</v>
      </c>
      <c r="N23" s="104" t="s">
        <v>24</v>
      </c>
      <c r="O23" s="104" t="s">
        <v>70</v>
      </c>
      <c r="P23" s="104" t="s">
        <v>26</v>
      </c>
      <c r="Q23" s="104">
        <v>46113.4944444444</v>
      </c>
      <c r="R23" s="104">
        <v>46113.4958333333</v>
      </c>
      <c r="S23" s="104">
        <v>46113.58125</v>
      </c>
      <c r="T23" s="104" t="s">
        <v>71</v>
      </c>
    </row>
    <row r="24" s="102" customFormat="1" ht="15" spans="1:20">
      <c r="A24" s="104" t="s">
        <v>22</v>
      </c>
      <c r="B24" s="104" t="s">
        <v>72</v>
      </c>
      <c r="C24" s="104" t="s">
        <v>73</v>
      </c>
      <c r="D24" s="104" t="s">
        <v>74</v>
      </c>
      <c r="E24" s="114"/>
      <c r="F24" s="114"/>
      <c r="G24" s="114"/>
      <c r="H24" s="104">
        <v>4010001</v>
      </c>
      <c r="I24" s="104">
        <v>211</v>
      </c>
      <c r="J24" s="104">
        <v>83</v>
      </c>
      <c r="K24" s="104">
        <v>3</v>
      </c>
      <c r="L24" s="104">
        <v>80</v>
      </c>
      <c r="M24" s="104">
        <v>142.73</v>
      </c>
      <c r="N24" s="104" t="s">
        <v>24</v>
      </c>
      <c r="O24" s="104" t="s">
        <v>25</v>
      </c>
      <c r="P24" s="104" t="s">
        <v>26</v>
      </c>
      <c r="Q24" s="104">
        <v>46113.5020833333</v>
      </c>
      <c r="R24" s="104">
        <v>46113.5020833333</v>
      </c>
      <c r="S24" s="104">
        <v>46113.5777777778</v>
      </c>
      <c r="T24" s="104" t="s">
        <v>75</v>
      </c>
    </row>
    <row r="25" s="102" customFormat="1" ht="15" spans="1:20">
      <c r="A25" s="104" t="s">
        <v>22</v>
      </c>
      <c r="B25" s="104" t="s">
        <v>76</v>
      </c>
      <c r="C25" s="104" t="s">
        <v>77</v>
      </c>
      <c r="D25" s="104" t="s">
        <v>78</v>
      </c>
      <c r="E25" s="114"/>
      <c r="F25" s="104" t="s">
        <v>79</v>
      </c>
      <c r="G25" s="114"/>
      <c r="H25" s="104">
        <v>4010001</v>
      </c>
      <c r="I25" s="104">
        <v>1452</v>
      </c>
      <c r="J25" s="104">
        <v>1444</v>
      </c>
      <c r="K25" s="104">
        <v>2</v>
      </c>
      <c r="L25" s="104">
        <v>1442</v>
      </c>
      <c r="M25" s="104">
        <v>3765.295</v>
      </c>
      <c r="N25" s="104" t="s">
        <v>24</v>
      </c>
      <c r="O25" s="104" t="s">
        <v>25</v>
      </c>
      <c r="P25" s="104" t="s">
        <v>26</v>
      </c>
      <c r="Q25" s="104">
        <v>46113.5013888889</v>
      </c>
      <c r="R25" s="104">
        <v>46113.5027777778</v>
      </c>
      <c r="S25" s="104">
        <v>46113.5798611111</v>
      </c>
      <c r="T25" s="104" t="s">
        <v>80</v>
      </c>
    </row>
    <row r="26" s="102" customFormat="1" ht="15" spans="1:20">
      <c r="A26" s="104" t="s">
        <v>22</v>
      </c>
      <c r="B26" s="104" t="s">
        <v>81</v>
      </c>
      <c r="C26" s="114"/>
      <c r="D26" s="114"/>
      <c r="E26" s="114"/>
      <c r="F26" s="114"/>
      <c r="G26" s="114"/>
      <c r="H26" s="104">
        <v>4013561</v>
      </c>
      <c r="I26" s="104">
        <v>13</v>
      </c>
      <c r="J26" s="104">
        <v>11</v>
      </c>
      <c r="K26" s="104">
        <v>0</v>
      </c>
      <c r="L26" s="104">
        <v>11</v>
      </c>
      <c r="M26" s="104">
        <v>8.299</v>
      </c>
      <c r="N26" s="104" t="s">
        <v>24</v>
      </c>
      <c r="O26" s="104" t="s">
        <v>25</v>
      </c>
      <c r="P26" s="104" t="s">
        <v>26</v>
      </c>
      <c r="Q26" s="104">
        <v>46113.7138888889</v>
      </c>
      <c r="R26" s="104">
        <v>46113.7138888889</v>
      </c>
      <c r="S26" s="104">
        <v>46113.9236111111</v>
      </c>
      <c r="T26" s="104" t="s">
        <v>82</v>
      </c>
    </row>
    <row r="27" s="102" customFormat="1" ht="15" spans="1:20">
      <c r="A27" s="104" t="s">
        <v>22</v>
      </c>
      <c r="B27" s="104" t="s">
        <v>81</v>
      </c>
      <c r="C27" s="114"/>
      <c r="D27" s="114"/>
      <c r="E27" s="114"/>
      <c r="F27" s="114"/>
      <c r="G27" s="114"/>
      <c r="H27" s="104">
        <v>40101</v>
      </c>
      <c r="I27" s="104">
        <v>98</v>
      </c>
      <c r="J27" s="104">
        <v>15</v>
      </c>
      <c r="K27" s="104">
        <v>0</v>
      </c>
      <c r="L27" s="104">
        <v>15</v>
      </c>
      <c r="M27" s="104">
        <v>27.458</v>
      </c>
      <c r="N27" s="104" t="s">
        <v>24</v>
      </c>
      <c r="O27" s="104" t="s">
        <v>25</v>
      </c>
      <c r="P27" s="104" t="s">
        <v>26</v>
      </c>
      <c r="Q27" s="104">
        <v>46113.7138888889</v>
      </c>
      <c r="R27" s="104">
        <v>46113.7138888889</v>
      </c>
      <c r="S27" s="104">
        <v>46113.9236111111</v>
      </c>
      <c r="T27" s="104" t="s">
        <v>82</v>
      </c>
    </row>
    <row r="28" s="102" customFormat="1" ht="15" spans="1:20">
      <c r="A28" s="104" t="s">
        <v>22</v>
      </c>
      <c r="B28" s="104" t="s">
        <v>81</v>
      </c>
      <c r="C28" s="114"/>
      <c r="D28" s="114"/>
      <c r="E28" s="114"/>
      <c r="F28" s="114"/>
      <c r="G28" s="114"/>
      <c r="H28" s="104">
        <v>4013805</v>
      </c>
      <c r="I28" s="104">
        <v>12</v>
      </c>
      <c r="J28" s="104">
        <v>3</v>
      </c>
      <c r="K28" s="104">
        <v>0</v>
      </c>
      <c r="L28" s="104">
        <v>3</v>
      </c>
      <c r="M28" s="104">
        <v>5.942</v>
      </c>
      <c r="N28" s="104" t="s">
        <v>24</v>
      </c>
      <c r="O28" s="104" t="s">
        <v>25</v>
      </c>
      <c r="P28" s="104" t="s">
        <v>26</v>
      </c>
      <c r="Q28" s="104">
        <v>46113.7138888889</v>
      </c>
      <c r="R28" s="104">
        <v>46113.7138888889</v>
      </c>
      <c r="S28" s="104">
        <v>46113.9236111111</v>
      </c>
      <c r="T28" s="104" t="s">
        <v>82</v>
      </c>
    </row>
    <row r="29" s="102" customFormat="1" ht="15" spans="1:20">
      <c r="A29" s="104" t="s">
        <v>22</v>
      </c>
      <c r="B29" s="104" t="s">
        <v>81</v>
      </c>
      <c r="C29" s="114"/>
      <c r="D29" s="114"/>
      <c r="E29" s="114"/>
      <c r="F29" s="114"/>
      <c r="G29" s="114"/>
      <c r="H29" s="104">
        <v>4013793</v>
      </c>
      <c r="I29" s="104">
        <v>91</v>
      </c>
      <c r="J29" s="104">
        <v>4</v>
      </c>
      <c r="K29" s="104">
        <v>0</v>
      </c>
      <c r="L29" s="104">
        <v>4</v>
      </c>
      <c r="M29" s="104">
        <v>35.961</v>
      </c>
      <c r="N29" s="104" t="s">
        <v>24</v>
      </c>
      <c r="O29" s="104" t="s">
        <v>25</v>
      </c>
      <c r="P29" s="104" t="s">
        <v>26</v>
      </c>
      <c r="Q29" s="104">
        <v>46113.7138888889</v>
      </c>
      <c r="R29" s="104">
        <v>46113.7138888889</v>
      </c>
      <c r="S29" s="104">
        <v>46113.9236111111</v>
      </c>
      <c r="T29" s="104" t="s">
        <v>82</v>
      </c>
    </row>
    <row r="30" s="102" customFormat="1" ht="15" spans="1:20">
      <c r="A30" s="104" t="s">
        <v>22</v>
      </c>
      <c r="B30" s="104" t="s">
        <v>81</v>
      </c>
      <c r="C30" s="114"/>
      <c r="D30" s="114"/>
      <c r="E30" s="114"/>
      <c r="F30" s="114"/>
      <c r="G30" s="114"/>
      <c r="H30" s="104">
        <v>4013646</v>
      </c>
      <c r="I30" s="104">
        <v>25</v>
      </c>
      <c r="J30" s="104">
        <v>12</v>
      </c>
      <c r="K30" s="104">
        <v>0</v>
      </c>
      <c r="L30" s="104">
        <v>12</v>
      </c>
      <c r="M30" s="104">
        <v>8.24</v>
      </c>
      <c r="N30" s="104" t="s">
        <v>24</v>
      </c>
      <c r="O30" s="104" t="s">
        <v>25</v>
      </c>
      <c r="P30" s="104" t="s">
        <v>26</v>
      </c>
      <c r="Q30" s="104">
        <v>46113.7138888889</v>
      </c>
      <c r="R30" s="104">
        <v>46113.7138888889</v>
      </c>
      <c r="S30" s="104">
        <v>46113.9236111111</v>
      </c>
      <c r="T30" s="104" t="s">
        <v>82</v>
      </c>
    </row>
    <row r="31" s="102" customFormat="1" ht="15" spans="1:20">
      <c r="A31" s="104" t="s">
        <v>22</v>
      </c>
      <c r="B31" s="104" t="s">
        <v>83</v>
      </c>
      <c r="C31" s="114"/>
      <c r="D31" s="114"/>
      <c r="E31" s="114"/>
      <c r="F31" s="114"/>
      <c r="G31" s="114"/>
      <c r="H31" s="104">
        <v>40101</v>
      </c>
      <c r="I31" s="104">
        <v>27</v>
      </c>
      <c r="J31" s="104">
        <v>9</v>
      </c>
      <c r="K31" s="104">
        <v>0</v>
      </c>
      <c r="L31" s="104">
        <v>9</v>
      </c>
      <c r="M31" s="104">
        <v>17.511</v>
      </c>
      <c r="N31" s="104" t="s">
        <v>24</v>
      </c>
      <c r="O31" s="104" t="s">
        <v>25</v>
      </c>
      <c r="P31" s="104" t="s">
        <v>26</v>
      </c>
      <c r="Q31" s="104">
        <v>46113.7145833333</v>
      </c>
      <c r="R31" s="104">
        <v>46113.7145833333</v>
      </c>
      <c r="S31" s="104">
        <v>46113.9229166667</v>
      </c>
      <c r="T31" s="104" t="s">
        <v>84</v>
      </c>
    </row>
    <row r="32" s="102" customFormat="1" ht="15" spans="1:20">
      <c r="A32" s="104" t="s">
        <v>22</v>
      </c>
      <c r="B32" s="104" t="s">
        <v>83</v>
      </c>
      <c r="C32" s="114"/>
      <c r="D32" s="114"/>
      <c r="E32" s="114"/>
      <c r="F32" s="114"/>
      <c r="G32" s="114"/>
      <c r="H32" s="104">
        <v>4013647</v>
      </c>
      <c r="I32" s="104">
        <v>49</v>
      </c>
      <c r="J32" s="104">
        <v>15</v>
      </c>
      <c r="K32" s="104">
        <v>2</v>
      </c>
      <c r="L32" s="104">
        <v>13</v>
      </c>
      <c r="M32" s="104">
        <v>12.29</v>
      </c>
      <c r="N32" s="104" t="s">
        <v>24</v>
      </c>
      <c r="O32" s="104" t="s">
        <v>25</v>
      </c>
      <c r="P32" s="104" t="s">
        <v>26</v>
      </c>
      <c r="Q32" s="104">
        <v>46113.7145833333</v>
      </c>
      <c r="R32" s="104">
        <v>46113.7145833333</v>
      </c>
      <c r="S32" s="104">
        <v>46113.9229166667</v>
      </c>
      <c r="T32" s="104" t="s">
        <v>85</v>
      </c>
    </row>
    <row r="33" s="102" customFormat="1" ht="15" spans="1:20">
      <c r="A33" s="104" t="s">
        <v>22</v>
      </c>
      <c r="B33" s="104" t="s">
        <v>86</v>
      </c>
      <c r="C33" s="114"/>
      <c r="D33" s="114"/>
      <c r="E33" s="114"/>
      <c r="F33" s="114"/>
      <c r="G33" s="114"/>
      <c r="H33" s="104">
        <v>40101</v>
      </c>
      <c r="I33" s="104">
        <v>18</v>
      </c>
      <c r="J33" s="104">
        <v>3</v>
      </c>
      <c r="K33" s="104">
        <v>0</v>
      </c>
      <c r="L33" s="104">
        <v>3</v>
      </c>
      <c r="M33" s="104">
        <v>13.148</v>
      </c>
      <c r="N33" s="104" t="s">
        <v>24</v>
      </c>
      <c r="O33" s="104" t="s">
        <v>25</v>
      </c>
      <c r="P33" s="104" t="s">
        <v>26</v>
      </c>
      <c r="Q33" s="104">
        <v>46113.7145833333</v>
      </c>
      <c r="R33" s="104">
        <v>46113.7145833333</v>
      </c>
      <c r="S33" s="104">
        <v>46113.9236111111</v>
      </c>
      <c r="T33" s="104" t="s">
        <v>84</v>
      </c>
    </row>
    <row r="34" s="102" customFormat="1" ht="15" spans="1:20">
      <c r="A34" s="104" t="s">
        <v>22</v>
      </c>
      <c r="B34" s="104" t="s">
        <v>87</v>
      </c>
      <c r="C34" s="114"/>
      <c r="D34" s="114"/>
      <c r="E34" s="114"/>
      <c r="F34" s="114"/>
      <c r="G34" s="114"/>
      <c r="H34" s="104">
        <v>40101</v>
      </c>
      <c r="I34" s="104">
        <v>5</v>
      </c>
      <c r="J34" s="104">
        <v>4</v>
      </c>
      <c r="K34" s="104">
        <v>0</v>
      </c>
      <c r="L34" s="104">
        <v>4</v>
      </c>
      <c r="M34" s="104">
        <v>5.142</v>
      </c>
      <c r="N34" s="104" t="s">
        <v>24</v>
      </c>
      <c r="O34" s="104" t="s">
        <v>25</v>
      </c>
      <c r="P34" s="104" t="s">
        <v>26</v>
      </c>
      <c r="Q34" s="104">
        <v>46113.7145833333</v>
      </c>
      <c r="R34" s="104">
        <v>46113.7145833333</v>
      </c>
      <c r="S34" s="104">
        <v>46113.9236111111</v>
      </c>
      <c r="T34" s="104" t="s">
        <v>88</v>
      </c>
    </row>
    <row r="35" s="102" customFormat="1" ht="15" spans="1:20">
      <c r="A35" s="104" t="s">
        <v>22</v>
      </c>
      <c r="B35" s="104" t="s">
        <v>89</v>
      </c>
      <c r="C35" s="114"/>
      <c r="D35" s="114"/>
      <c r="E35" s="114"/>
      <c r="F35" s="114"/>
      <c r="G35" s="114"/>
      <c r="H35" s="104">
        <v>40101</v>
      </c>
      <c r="I35" s="104">
        <v>19</v>
      </c>
      <c r="J35" s="104">
        <v>7</v>
      </c>
      <c r="K35" s="104">
        <v>0</v>
      </c>
      <c r="L35" s="104">
        <v>7</v>
      </c>
      <c r="M35" s="104">
        <v>12.804</v>
      </c>
      <c r="N35" s="104" t="s">
        <v>24</v>
      </c>
      <c r="O35" s="104" t="s">
        <v>25</v>
      </c>
      <c r="P35" s="104" t="s">
        <v>26</v>
      </c>
      <c r="Q35" s="104">
        <v>46113.7166666667</v>
      </c>
      <c r="R35" s="104">
        <v>46113.7166666667</v>
      </c>
      <c r="S35" s="104">
        <v>46113.9236111111</v>
      </c>
      <c r="T35" s="104" t="s">
        <v>84</v>
      </c>
    </row>
    <row r="36" s="102" customFormat="1" ht="15" spans="1:20">
      <c r="A36" s="104" t="s">
        <v>22</v>
      </c>
      <c r="B36" s="104" t="s">
        <v>83</v>
      </c>
      <c r="C36" s="114"/>
      <c r="D36" s="114"/>
      <c r="E36" s="114"/>
      <c r="F36" s="114"/>
      <c r="G36" s="114"/>
      <c r="H36" s="104">
        <v>40101</v>
      </c>
      <c r="I36" s="104">
        <v>21</v>
      </c>
      <c r="J36" s="104">
        <v>8</v>
      </c>
      <c r="K36" s="104">
        <v>0</v>
      </c>
      <c r="L36" s="104">
        <v>8</v>
      </c>
      <c r="M36" s="104">
        <v>3.183</v>
      </c>
      <c r="N36" s="104" t="s">
        <v>24</v>
      </c>
      <c r="O36" s="104" t="s">
        <v>25</v>
      </c>
      <c r="P36" s="104" t="s">
        <v>26</v>
      </c>
      <c r="Q36" s="104">
        <v>46113.7145833333</v>
      </c>
      <c r="R36" s="104">
        <v>46113.7173611111</v>
      </c>
      <c r="S36" s="104">
        <v>46113.9229166667</v>
      </c>
      <c r="T36" s="104" t="s">
        <v>84</v>
      </c>
    </row>
    <row r="37" s="102" customFormat="1" ht="15" spans="1:20">
      <c r="A37" s="104" t="s">
        <v>22</v>
      </c>
      <c r="B37" s="104" t="s">
        <v>86</v>
      </c>
      <c r="C37" s="114"/>
      <c r="D37" s="114"/>
      <c r="E37" s="114"/>
      <c r="F37" s="114"/>
      <c r="G37" s="114"/>
      <c r="H37" s="104">
        <v>40101</v>
      </c>
      <c r="I37" s="104">
        <v>19</v>
      </c>
      <c r="J37" s="104">
        <v>11</v>
      </c>
      <c r="K37" s="104">
        <v>0</v>
      </c>
      <c r="L37" s="104">
        <v>11</v>
      </c>
      <c r="M37" s="104">
        <v>23.03</v>
      </c>
      <c r="N37" s="104" t="s">
        <v>24</v>
      </c>
      <c r="O37" s="104" t="s">
        <v>25</v>
      </c>
      <c r="P37" s="104" t="s">
        <v>26</v>
      </c>
      <c r="Q37" s="104">
        <v>46113.7145833333</v>
      </c>
      <c r="R37" s="104">
        <v>46113.7173611111</v>
      </c>
      <c r="S37" s="104">
        <v>46113.9236111111</v>
      </c>
      <c r="T37" s="104" t="s">
        <v>84</v>
      </c>
    </row>
    <row r="38" s="102" customFormat="1" ht="15" spans="1:20">
      <c r="A38" s="104" t="s">
        <v>22</v>
      </c>
      <c r="B38" s="104" t="s">
        <v>87</v>
      </c>
      <c r="C38" s="114"/>
      <c r="D38" s="114"/>
      <c r="E38" s="114"/>
      <c r="F38" s="114"/>
      <c r="G38" s="114"/>
      <c r="H38" s="104">
        <v>40101</v>
      </c>
      <c r="I38" s="104">
        <v>73</v>
      </c>
      <c r="J38" s="104">
        <v>42</v>
      </c>
      <c r="K38" s="104">
        <v>0</v>
      </c>
      <c r="L38" s="104">
        <v>42</v>
      </c>
      <c r="M38" s="104">
        <v>100.398</v>
      </c>
      <c r="N38" s="104" t="s">
        <v>24</v>
      </c>
      <c r="O38" s="104" t="s">
        <v>25</v>
      </c>
      <c r="P38" s="104" t="s">
        <v>26</v>
      </c>
      <c r="Q38" s="104">
        <v>46113.7145833333</v>
      </c>
      <c r="R38" s="104">
        <v>46113.7173611111</v>
      </c>
      <c r="S38" s="104">
        <v>46113.9236111111</v>
      </c>
      <c r="T38" s="104" t="s">
        <v>88</v>
      </c>
    </row>
    <row r="39" s="102" customFormat="1" ht="15" spans="1:20">
      <c r="A39" s="104" t="s">
        <v>22</v>
      </c>
      <c r="B39" s="104" t="s">
        <v>90</v>
      </c>
      <c r="C39" s="114"/>
      <c r="D39" s="114"/>
      <c r="E39" s="114"/>
      <c r="F39" s="114"/>
      <c r="G39" s="114"/>
      <c r="H39" s="104">
        <v>40101</v>
      </c>
      <c r="I39" s="104">
        <v>3</v>
      </c>
      <c r="J39" s="104">
        <v>3</v>
      </c>
      <c r="K39" s="104">
        <v>0</v>
      </c>
      <c r="L39" s="104">
        <v>3</v>
      </c>
      <c r="M39" s="104">
        <v>10.818</v>
      </c>
      <c r="N39" s="104" t="s">
        <v>24</v>
      </c>
      <c r="O39" s="104" t="s">
        <v>25</v>
      </c>
      <c r="P39" s="104" t="s">
        <v>26</v>
      </c>
      <c r="Q39" s="104">
        <v>46113.7180555556</v>
      </c>
      <c r="R39" s="104">
        <v>46113.7180555556</v>
      </c>
      <c r="S39" s="104">
        <v>46113.9229166667</v>
      </c>
      <c r="T39" s="104" t="s">
        <v>34</v>
      </c>
    </row>
    <row r="40" s="102" customFormat="1" ht="15" spans="1:20">
      <c r="A40" s="104" t="s">
        <v>22</v>
      </c>
      <c r="B40" s="104" t="s">
        <v>31</v>
      </c>
      <c r="C40" s="114"/>
      <c r="D40" s="114"/>
      <c r="E40" s="114"/>
      <c r="F40" s="114"/>
      <c r="G40" s="114"/>
      <c r="H40" s="104">
        <v>40101</v>
      </c>
      <c r="I40" s="104">
        <v>1</v>
      </c>
      <c r="J40" s="104">
        <v>1</v>
      </c>
      <c r="K40" s="104">
        <v>0</v>
      </c>
      <c r="L40" s="104">
        <v>1</v>
      </c>
      <c r="M40" s="104">
        <v>0.056</v>
      </c>
      <c r="N40" s="104" t="s">
        <v>24</v>
      </c>
      <c r="O40" s="104" t="s">
        <v>25</v>
      </c>
      <c r="P40" s="104" t="s">
        <v>26</v>
      </c>
      <c r="Q40" s="104">
        <v>46113.5048611111</v>
      </c>
      <c r="R40" s="104">
        <v>46113.7180555556</v>
      </c>
      <c r="S40" s="104">
        <v>46113.9229166667</v>
      </c>
      <c r="T40" s="104" t="s">
        <v>34</v>
      </c>
    </row>
    <row r="41" s="102" customFormat="1" ht="15" spans="1:20">
      <c r="A41" s="104" t="s">
        <v>22</v>
      </c>
      <c r="B41" s="104" t="s">
        <v>33</v>
      </c>
      <c r="C41" s="114"/>
      <c r="D41" s="114"/>
      <c r="E41" s="114"/>
      <c r="F41" s="114"/>
      <c r="G41" s="114"/>
      <c r="H41" s="104">
        <v>40101</v>
      </c>
      <c r="I41" s="104">
        <v>1</v>
      </c>
      <c r="J41" s="104">
        <v>1</v>
      </c>
      <c r="K41" s="104">
        <v>0</v>
      </c>
      <c r="L41" s="104">
        <v>1</v>
      </c>
      <c r="M41" s="104">
        <v>0.486</v>
      </c>
      <c r="N41" s="104" t="s">
        <v>24</v>
      </c>
      <c r="O41" s="104" t="s">
        <v>25</v>
      </c>
      <c r="P41" s="104" t="s">
        <v>26</v>
      </c>
      <c r="Q41" s="104">
        <v>46113.4777777778</v>
      </c>
      <c r="R41" s="104">
        <v>46113.7180555556</v>
      </c>
      <c r="S41" s="104">
        <v>46113.9236111111</v>
      </c>
      <c r="T41" s="104" t="s">
        <v>34</v>
      </c>
    </row>
    <row r="42" s="102" customFormat="1" ht="15" spans="1:20">
      <c r="A42" s="104" t="s">
        <v>22</v>
      </c>
      <c r="B42" s="104" t="s">
        <v>91</v>
      </c>
      <c r="C42" s="104" t="s">
        <v>92</v>
      </c>
      <c r="D42" s="104" t="s">
        <v>93</v>
      </c>
      <c r="E42" s="114"/>
      <c r="F42" s="114"/>
      <c r="G42" s="104">
        <v>12345678911111</v>
      </c>
      <c r="H42" s="104">
        <v>4010002</v>
      </c>
      <c r="I42" s="104">
        <v>1350</v>
      </c>
      <c r="J42" s="104">
        <v>1350</v>
      </c>
      <c r="K42" s="104">
        <v>8</v>
      </c>
      <c r="L42" s="104">
        <v>1342</v>
      </c>
      <c r="M42" s="104">
        <v>2421.625</v>
      </c>
      <c r="N42" s="104" t="s">
        <v>24</v>
      </c>
      <c r="O42" s="104" t="s">
        <v>25</v>
      </c>
      <c r="P42" s="104" t="s">
        <v>26</v>
      </c>
      <c r="Q42" s="104">
        <v>46113.7125</v>
      </c>
      <c r="R42" s="104">
        <v>46113.71875</v>
      </c>
      <c r="S42" s="104">
        <v>46114.0034722222</v>
      </c>
      <c r="T42" s="104" t="s">
        <v>94</v>
      </c>
    </row>
    <row r="43" s="102" customFormat="1" ht="15" spans="1:20">
      <c r="A43" s="104" t="s">
        <v>22</v>
      </c>
      <c r="B43" s="104" t="s">
        <v>83</v>
      </c>
      <c r="C43" s="114"/>
      <c r="D43" s="114"/>
      <c r="E43" s="114"/>
      <c r="F43" s="114"/>
      <c r="G43" s="114"/>
      <c r="H43" s="104">
        <v>4013729</v>
      </c>
      <c r="I43" s="104">
        <v>2</v>
      </c>
      <c r="J43" s="104">
        <v>1</v>
      </c>
      <c r="K43" s="104">
        <v>1</v>
      </c>
      <c r="L43" s="104">
        <v>0</v>
      </c>
      <c r="M43" s="104">
        <v>1.31</v>
      </c>
      <c r="N43" s="104" t="s">
        <v>24</v>
      </c>
      <c r="O43" s="104" t="s">
        <v>25</v>
      </c>
      <c r="P43" s="104" t="s">
        <v>26</v>
      </c>
      <c r="Q43" s="104">
        <v>46113.7215277778</v>
      </c>
      <c r="R43" s="104">
        <v>46113.7215277778</v>
      </c>
      <c r="S43" s="104">
        <v>46113.9229166667</v>
      </c>
      <c r="T43" s="104" t="s">
        <v>95</v>
      </c>
    </row>
    <row r="44" s="102" customFormat="1" ht="15" spans="1:20">
      <c r="A44" s="104" t="s">
        <v>22</v>
      </c>
      <c r="B44" s="104" t="s">
        <v>83</v>
      </c>
      <c r="C44" s="114"/>
      <c r="D44" s="114"/>
      <c r="E44" s="114"/>
      <c r="F44" s="114"/>
      <c r="G44" s="114"/>
      <c r="H44" s="104">
        <v>40101</v>
      </c>
      <c r="I44" s="104">
        <v>54</v>
      </c>
      <c r="J44" s="104">
        <v>12</v>
      </c>
      <c r="K44" s="104">
        <v>0</v>
      </c>
      <c r="L44" s="104">
        <v>12</v>
      </c>
      <c r="M44" s="104">
        <v>6.502</v>
      </c>
      <c r="N44" s="104" t="s">
        <v>24</v>
      </c>
      <c r="O44" s="104" t="s">
        <v>25</v>
      </c>
      <c r="P44" s="104" t="s">
        <v>26</v>
      </c>
      <c r="Q44" s="104">
        <v>46113.7145833333</v>
      </c>
      <c r="R44" s="104">
        <v>46113.7402777778</v>
      </c>
      <c r="S44" s="104">
        <v>46113.9229166667</v>
      </c>
      <c r="T44" s="104" t="s">
        <v>84</v>
      </c>
    </row>
    <row r="45" s="102" customFormat="1" ht="15" spans="1:20">
      <c r="A45" s="104" t="s">
        <v>22</v>
      </c>
      <c r="B45" s="104" t="s">
        <v>86</v>
      </c>
      <c r="C45" s="114"/>
      <c r="D45" s="114"/>
      <c r="E45" s="114"/>
      <c r="F45" s="114"/>
      <c r="G45" s="114"/>
      <c r="H45" s="104">
        <v>40101</v>
      </c>
      <c r="I45" s="104">
        <v>11</v>
      </c>
      <c r="J45" s="104">
        <v>4</v>
      </c>
      <c r="K45" s="104">
        <v>0</v>
      </c>
      <c r="L45" s="104">
        <v>4</v>
      </c>
      <c r="M45" s="104">
        <v>6.415</v>
      </c>
      <c r="N45" s="104" t="s">
        <v>24</v>
      </c>
      <c r="O45" s="104" t="s">
        <v>25</v>
      </c>
      <c r="P45" s="104" t="s">
        <v>26</v>
      </c>
      <c r="Q45" s="104">
        <v>46113.7145833333</v>
      </c>
      <c r="R45" s="104">
        <v>46113.7402777778</v>
      </c>
      <c r="S45" s="104">
        <v>46113.9236111111</v>
      </c>
      <c r="T45" s="104" t="s">
        <v>84</v>
      </c>
    </row>
    <row r="46" s="102" customFormat="1" ht="15" spans="1:20">
      <c r="A46" s="104" t="s">
        <v>22</v>
      </c>
      <c r="B46" s="104" t="s">
        <v>96</v>
      </c>
      <c r="C46" s="114"/>
      <c r="D46" s="114"/>
      <c r="E46" s="114"/>
      <c r="F46" s="114"/>
      <c r="G46" s="114"/>
      <c r="H46" s="104" t="s">
        <v>97</v>
      </c>
      <c r="I46" s="104">
        <v>196965</v>
      </c>
      <c r="J46" s="104">
        <v>6588</v>
      </c>
      <c r="K46" s="104">
        <v>0</v>
      </c>
      <c r="L46" s="104">
        <v>6588</v>
      </c>
      <c r="M46" s="104">
        <v>91343.199</v>
      </c>
      <c r="N46" s="104" t="s">
        <v>24</v>
      </c>
      <c r="O46" s="104" t="s">
        <v>70</v>
      </c>
      <c r="P46" s="104" t="s">
        <v>98</v>
      </c>
      <c r="Q46" s="114"/>
      <c r="R46" s="104">
        <v>46113</v>
      </c>
      <c r="S46" s="114"/>
      <c r="T46" s="114"/>
    </row>
    <row r="47" s="102" customFormat="1" ht="15" spans="1:20">
      <c r="A47" s="104" t="s">
        <v>22</v>
      </c>
      <c r="B47" s="104" t="s">
        <v>99</v>
      </c>
      <c r="C47" s="104" t="s">
        <v>99</v>
      </c>
      <c r="D47" s="104" t="s">
        <v>29</v>
      </c>
      <c r="E47" s="114"/>
      <c r="F47" s="114"/>
      <c r="G47" s="114"/>
      <c r="H47" s="104" t="s">
        <v>99</v>
      </c>
      <c r="I47" s="104">
        <v>10403</v>
      </c>
      <c r="J47" s="104">
        <v>10403</v>
      </c>
      <c r="K47" s="104">
        <v>0</v>
      </c>
      <c r="L47" s="104">
        <v>33</v>
      </c>
      <c r="M47" s="104">
        <v>18135.732</v>
      </c>
      <c r="N47" s="104" t="s">
        <v>24</v>
      </c>
      <c r="O47" s="104" t="s">
        <v>25</v>
      </c>
      <c r="P47" s="104" t="s">
        <v>100</v>
      </c>
      <c r="Q47" s="114"/>
      <c r="R47" s="104">
        <v>46113.0229166667</v>
      </c>
      <c r="S47" s="114"/>
      <c r="T47" s="114"/>
    </row>
    <row r="48" s="102" customFormat="1" ht="15" spans="1:20">
      <c r="A48" s="104" t="s">
        <v>22</v>
      </c>
      <c r="B48" s="104" t="s">
        <v>101</v>
      </c>
      <c r="C48" s="104" t="s">
        <v>102</v>
      </c>
      <c r="D48" s="104" t="s">
        <v>103</v>
      </c>
      <c r="E48" s="104" t="s">
        <v>104</v>
      </c>
      <c r="F48" s="104" t="s">
        <v>105</v>
      </c>
      <c r="G48" s="114"/>
      <c r="H48" s="104">
        <v>3310001</v>
      </c>
      <c r="I48" s="104">
        <v>21318</v>
      </c>
      <c r="J48" s="104">
        <v>3241</v>
      </c>
      <c r="K48" s="104">
        <v>5</v>
      </c>
      <c r="L48" s="104">
        <v>3236</v>
      </c>
      <c r="M48" s="104">
        <v>12249.75</v>
      </c>
      <c r="N48" s="104" t="s">
        <v>24</v>
      </c>
      <c r="O48" s="104" t="s">
        <v>70</v>
      </c>
      <c r="P48" s="104" t="s">
        <v>106</v>
      </c>
      <c r="Q48" s="114"/>
      <c r="R48" s="104">
        <v>46113.0583333333</v>
      </c>
      <c r="S48" s="114"/>
      <c r="T48" s="114"/>
    </row>
    <row r="49" s="102" customFormat="1" ht="15" spans="1:20">
      <c r="A49" s="104" t="s">
        <v>22</v>
      </c>
      <c r="B49" s="104" t="s">
        <v>107</v>
      </c>
      <c r="C49" s="104" t="s">
        <v>108</v>
      </c>
      <c r="D49" s="104" t="s">
        <v>109</v>
      </c>
      <c r="E49" s="104" t="s">
        <v>110</v>
      </c>
      <c r="F49" s="104" t="s">
        <v>111</v>
      </c>
      <c r="G49" s="114"/>
      <c r="H49" s="104">
        <v>3310001</v>
      </c>
      <c r="I49" s="104">
        <v>18465</v>
      </c>
      <c r="J49" s="104">
        <v>2551</v>
      </c>
      <c r="K49" s="104">
        <v>1826</v>
      </c>
      <c r="L49" s="104">
        <v>725</v>
      </c>
      <c r="M49" s="104">
        <v>10161.989</v>
      </c>
      <c r="N49" s="104" t="s">
        <v>24</v>
      </c>
      <c r="O49" s="104" t="s">
        <v>70</v>
      </c>
      <c r="P49" s="104" t="s">
        <v>106</v>
      </c>
      <c r="Q49" s="104">
        <v>46113.0006944444</v>
      </c>
      <c r="R49" s="104">
        <v>46113.1305555556</v>
      </c>
      <c r="S49" s="104">
        <v>46113.1659722222</v>
      </c>
      <c r="T49" s="104" t="s">
        <v>112</v>
      </c>
    </row>
    <row r="50" s="102" customFormat="1" ht="15" spans="1:20">
      <c r="A50" s="104" t="s">
        <v>22</v>
      </c>
      <c r="B50" s="104" t="s">
        <v>113</v>
      </c>
      <c r="C50" s="104" t="s">
        <v>114</v>
      </c>
      <c r="D50" s="104" t="s">
        <v>115</v>
      </c>
      <c r="E50" s="114"/>
      <c r="F50" s="114"/>
      <c r="G50" s="114"/>
      <c r="H50" s="104">
        <v>3310001</v>
      </c>
      <c r="I50" s="104">
        <v>1140</v>
      </c>
      <c r="J50" s="104">
        <v>558</v>
      </c>
      <c r="K50" s="104">
        <v>1</v>
      </c>
      <c r="L50" s="104">
        <v>557</v>
      </c>
      <c r="M50" s="104">
        <v>2027.764</v>
      </c>
      <c r="N50" s="104" t="s">
        <v>24</v>
      </c>
      <c r="O50" s="104" t="s">
        <v>70</v>
      </c>
      <c r="P50" s="104" t="s">
        <v>106</v>
      </c>
      <c r="Q50" s="104">
        <v>46113.1326388889</v>
      </c>
      <c r="R50" s="104">
        <v>46113.1347222222</v>
      </c>
      <c r="S50" s="104">
        <v>46113.1597222222</v>
      </c>
      <c r="T50" s="104" t="s">
        <v>116</v>
      </c>
    </row>
    <row r="51" s="102" customFormat="1" ht="15" spans="1:20">
      <c r="A51" s="104" t="s">
        <v>22</v>
      </c>
      <c r="B51" s="104" t="s">
        <v>117</v>
      </c>
      <c r="C51" s="104" t="s">
        <v>118</v>
      </c>
      <c r="D51" s="104" t="s">
        <v>119</v>
      </c>
      <c r="E51" s="114"/>
      <c r="F51" s="114"/>
      <c r="G51" s="114"/>
      <c r="H51" s="104">
        <v>4010001</v>
      </c>
      <c r="I51" s="104">
        <v>4099</v>
      </c>
      <c r="J51" s="104">
        <v>1788</v>
      </c>
      <c r="K51" s="104">
        <v>330</v>
      </c>
      <c r="L51" s="104">
        <v>1458</v>
      </c>
      <c r="M51" s="104">
        <v>6889.323</v>
      </c>
      <c r="N51" s="104" t="s">
        <v>24</v>
      </c>
      <c r="O51" s="104" t="s">
        <v>70</v>
      </c>
      <c r="P51" s="104" t="s">
        <v>106</v>
      </c>
      <c r="Q51" s="104">
        <v>46113.1451388889</v>
      </c>
      <c r="R51" s="104">
        <v>46113.1597222222</v>
      </c>
      <c r="S51" s="104">
        <v>46113.175</v>
      </c>
      <c r="T51" s="104" t="s">
        <v>120</v>
      </c>
    </row>
    <row r="52" s="102" customFormat="1" ht="15" spans="1:20">
      <c r="A52" s="104" t="s">
        <v>22</v>
      </c>
      <c r="B52" s="104" t="s">
        <v>121</v>
      </c>
      <c r="C52" s="104" t="s">
        <v>122</v>
      </c>
      <c r="D52" s="104" t="s">
        <v>123</v>
      </c>
      <c r="E52" s="104" t="s">
        <v>124</v>
      </c>
      <c r="F52" s="104" t="s">
        <v>125</v>
      </c>
      <c r="G52" s="114"/>
      <c r="H52" s="104">
        <v>4010001</v>
      </c>
      <c r="I52" s="104">
        <v>14940</v>
      </c>
      <c r="J52" s="104">
        <v>3718</v>
      </c>
      <c r="K52" s="104">
        <v>64</v>
      </c>
      <c r="L52" s="104">
        <v>3654</v>
      </c>
      <c r="M52" s="104">
        <v>12642.233</v>
      </c>
      <c r="N52" s="104" t="s">
        <v>24</v>
      </c>
      <c r="O52" s="104" t="s">
        <v>70</v>
      </c>
      <c r="P52" s="104" t="s">
        <v>106</v>
      </c>
      <c r="Q52" s="104">
        <v>46113.1583333333</v>
      </c>
      <c r="R52" s="104">
        <v>46113.1659722222</v>
      </c>
      <c r="S52" s="104">
        <v>46113.2138888889</v>
      </c>
      <c r="T52" s="104" t="s">
        <v>126</v>
      </c>
    </row>
    <row r="53" s="102" customFormat="1" ht="15" spans="1:20">
      <c r="A53" s="104" t="s">
        <v>22</v>
      </c>
      <c r="B53" s="104" t="s">
        <v>127</v>
      </c>
      <c r="C53" s="114"/>
      <c r="D53" s="104" t="s">
        <v>29</v>
      </c>
      <c r="E53" s="114"/>
      <c r="F53" s="114"/>
      <c r="G53" s="114"/>
      <c r="H53" s="104">
        <v>4011844</v>
      </c>
      <c r="I53" s="104">
        <v>134</v>
      </c>
      <c r="J53" s="104">
        <v>26</v>
      </c>
      <c r="K53" s="104">
        <v>0</v>
      </c>
      <c r="L53" s="104">
        <v>26</v>
      </c>
      <c r="M53" s="104">
        <v>6.12</v>
      </c>
      <c r="N53" s="104" t="s">
        <v>24</v>
      </c>
      <c r="O53" s="104" t="s">
        <v>25</v>
      </c>
      <c r="P53" s="104" t="s">
        <v>106</v>
      </c>
      <c r="Q53" s="104">
        <v>46113.1986111111</v>
      </c>
      <c r="R53" s="104">
        <v>46113.1986111111</v>
      </c>
      <c r="S53" s="104">
        <v>46113.2138888889</v>
      </c>
      <c r="T53" s="104" t="s">
        <v>128</v>
      </c>
    </row>
    <row r="54" s="102" customFormat="1" ht="15" spans="1:20">
      <c r="A54" s="104" t="s">
        <v>22</v>
      </c>
      <c r="B54" s="104" t="s">
        <v>129</v>
      </c>
      <c r="C54" s="114"/>
      <c r="D54" s="104" t="s">
        <v>29</v>
      </c>
      <c r="E54" s="114"/>
      <c r="F54" s="114"/>
      <c r="G54" s="114"/>
      <c r="H54" s="104">
        <v>4011838</v>
      </c>
      <c r="I54" s="104">
        <v>143</v>
      </c>
      <c r="J54" s="104">
        <v>134</v>
      </c>
      <c r="K54" s="104">
        <v>1</v>
      </c>
      <c r="L54" s="104">
        <v>133</v>
      </c>
      <c r="M54" s="104">
        <v>0</v>
      </c>
      <c r="N54" s="104" t="s">
        <v>24</v>
      </c>
      <c r="O54" s="104" t="s">
        <v>25</v>
      </c>
      <c r="P54" s="104" t="s">
        <v>106</v>
      </c>
      <c r="Q54" s="104">
        <v>46113.2125</v>
      </c>
      <c r="R54" s="104">
        <v>46113.2125</v>
      </c>
      <c r="S54" s="104">
        <v>46113.2138888889</v>
      </c>
      <c r="T54" s="104" t="s">
        <v>130</v>
      </c>
    </row>
    <row r="55" s="102" customFormat="1" ht="15" spans="1:20">
      <c r="A55" s="104" t="s">
        <v>22</v>
      </c>
      <c r="B55" s="104" t="s">
        <v>28</v>
      </c>
      <c r="C55" s="114"/>
      <c r="D55" s="104" t="s">
        <v>29</v>
      </c>
      <c r="E55" s="114"/>
      <c r="F55" s="114"/>
      <c r="G55" s="114"/>
      <c r="H55" s="104">
        <v>4012090</v>
      </c>
      <c r="I55" s="104">
        <v>0</v>
      </c>
      <c r="J55" s="104">
        <v>91</v>
      </c>
      <c r="K55" s="104">
        <v>0</v>
      </c>
      <c r="L55" s="104">
        <v>91</v>
      </c>
      <c r="M55" s="104">
        <v>0</v>
      </c>
      <c r="N55" s="104" t="s">
        <v>24</v>
      </c>
      <c r="O55" s="104" t="s">
        <v>25</v>
      </c>
      <c r="P55" s="104" t="s">
        <v>106</v>
      </c>
      <c r="Q55" s="104">
        <v>46113.2326388889</v>
      </c>
      <c r="R55" s="104">
        <v>46113.2326388889</v>
      </c>
      <c r="S55" s="104">
        <v>46113.2694444444</v>
      </c>
      <c r="T55" s="104" t="s">
        <v>131</v>
      </c>
    </row>
    <row r="56" s="102" customFormat="1" ht="15" spans="1:20">
      <c r="A56" s="104" t="s">
        <v>22</v>
      </c>
      <c r="B56" s="104" t="s">
        <v>132</v>
      </c>
      <c r="C56" s="104" t="s">
        <v>133</v>
      </c>
      <c r="D56" s="104" t="s">
        <v>134</v>
      </c>
      <c r="E56" s="114"/>
      <c r="F56" s="114"/>
      <c r="G56" s="114"/>
      <c r="H56" s="104">
        <v>3310001</v>
      </c>
      <c r="I56" s="104">
        <v>1036</v>
      </c>
      <c r="J56" s="104">
        <v>789</v>
      </c>
      <c r="K56" s="104">
        <v>0</v>
      </c>
      <c r="L56" s="104">
        <v>789</v>
      </c>
      <c r="M56" s="104">
        <v>2818.772</v>
      </c>
      <c r="N56" s="104" t="s">
        <v>24</v>
      </c>
      <c r="O56" s="104" t="s">
        <v>70</v>
      </c>
      <c r="P56" s="104" t="s">
        <v>106</v>
      </c>
      <c r="Q56" s="104">
        <v>46113.26875</v>
      </c>
      <c r="R56" s="104">
        <v>46113.2694444444</v>
      </c>
      <c r="S56" s="104">
        <v>46113.2784722222</v>
      </c>
      <c r="T56" s="104" t="s">
        <v>135</v>
      </c>
    </row>
    <row r="57" s="102" customFormat="1" ht="15" spans="1:20">
      <c r="A57" s="104" t="s">
        <v>22</v>
      </c>
      <c r="B57" s="104" t="s">
        <v>28</v>
      </c>
      <c r="C57" s="114"/>
      <c r="D57" s="104" t="s">
        <v>29</v>
      </c>
      <c r="E57" s="114"/>
      <c r="F57" s="114"/>
      <c r="G57" s="114"/>
      <c r="H57" s="104">
        <v>4012091</v>
      </c>
      <c r="I57" s="104">
        <v>0</v>
      </c>
      <c r="J57" s="104">
        <v>5</v>
      </c>
      <c r="K57" s="104">
        <v>0</v>
      </c>
      <c r="L57" s="104">
        <v>5</v>
      </c>
      <c r="M57" s="104">
        <v>0</v>
      </c>
      <c r="N57" s="104" t="s">
        <v>24</v>
      </c>
      <c r="O57" s="104" t="s">
        <v>25</v>
      </c>
      <c r="P57" s="104" t="s">
        <v>106</v>
      </c>
      <c r="Q57" s="104">
        <v>46113.2736111111</v>
      </c>
      <c r="R57" s="104">
        <v>46113.2736111111</v>
      </c>
      <c r="S57" s="104">
        <v>46113.2805555556</v>
      </c>
      <c r="T57" s="104" t="s">
        <v>136</v>
      </c>
    </row>
    <row r="58" s="102" customFormat="1" ht="15" spans="1:20">
      <c r="A58" s="104" t="s">
        <v>22</v>
      </c>
      <c r="B58" s="104" t="s">
        <v>28</v>
      </c>
      <c r="C58" s="114"/>
      <c r="D58" s="104" t="s">
        <v>29</v>
      </c>
      <c r="E58" s="114"/>
      <c r="F58" s="114"/>
      <c r="G58" s="114"/>
      <c r="H58" s="104">
        <v>4012092</v>
      </c>
      <c r="I58" s="104">
        <v>0</v>
      </c>
      <c r="J58" s="104">
        <v>27</v>
      </c>
      <c r="K58" s="104">
        <v>0</v>
      </c>
      <c r="L58" s="104">
        <v>27</v>
      </c>
      <c r="M58" s="104">
        <v>0</v>
      </c>
      <c r="N58" s="104" t="s">
        <v>24</v>
      </c>
      <c r="O58" s="104" t="s">
        <v>25</v>
      </c>
      <c r="P58" s="104" t="s">
        <v>26</v>
      </c>
      <c r="Q58" s="104">
        <v>46113.2930555556</v>
      </c>
      <c r="R58" s="104">
        <v>46113.2930555556</v>
      </c>
      <c r="S58" s="104">
        <v>46113.5805555556</v>
      </c>
      <c r="T58" s="104" t="s">
        <v>137</v>
      </c>
    </row>
    <row r="59" s="102" customFormat="1" ht="15" spans="1:20">
      <c r="A59" s="104" t="s">
        <v>22</v>
      </c>
      <c r="B59" s="104" t="s">
        <v>138</v>
      </c>
      <c r="C59" s="104" t="s">
        <v>139</v>
      </c>
      <c r="D59" s="104" t="s">
        <v>140</v>
      </c>
      <c r="E59" s="114"/>
      <c r="F59" s="114"/>
      <c r="G59" s="114"/>
      <c r="H59" s="104">
        <v>4010001</v>
      </c>
      <c r="I59" s="104">
        <v>4067</v>
      </c>
      <c r="J59" s="104">
        <v>1037</v>
      </c>
      <c r="K59" s="104">
        <v>1</v>
      </c>
      <c r="L59" s="104">
        <v>1036</v>
      </c>
      <c r="M59" s="104">
        <v>4174.48</v>
      </c>
      <c r="N59" s="104" t="s">
        <v>24</v>
      </c>
      <c r="O59" s="104" t="s">
        <v>70</v>
      </c>
      <c r="P59" s="104" t="s">
        <v>26</v>
      </c>
      <c r="Q59" s="104">
        <v>46113.3027777778</v>
      </c>
      <c r="R59" s="104">
        <v>46113.3027777778</v>
      </c>
      <c r="S59" s="104">
        <v>46113.3236111111</v>
      </c>
      <c r="T59" s="104" t="s">
        <v>141</v>
      </c>
    </row>
    <row r="60" s="102" customFormat="1" ht="15" spans="1:20">
      <c r="A60" s="104" t="s">
        <v>22</v>
      </c>
      <c r="B60" s="104" t="s">
        <v>142</v>
      </c>
      <c r="C60" s="104" t="s">
        <v>143</v>
      </c>
      <c r="D60" s="104" t="s">
        <v>144</v>
      </c>
      <c r="E60" s="104" t="s">
        <v>145</v>
      </c>
      <c r="F60" s="104" t="s">
        <v>146</v>
      </c>
      <c r="G60" s="114"/>
      <c r="H60" s="104">
        <v>4010001</v>
      </c>
      <c r="I60" s="104">
        <v>16029</v>
      </c>
      <c r="J60" s="104">
        <v>3446</v>
      </c>
      <c r="K60" s="104">
        <v>2</v>
      </c>
      <c r="L60" s="104">
        <v>3444</v>
      </c>
      <c r="M60" s="104">
        <v>10999.229</v>
      </c>
      <c r="N60" s="104" t="s">
        <v>24</v>
      </c>
      <c r="O60" s="104" t="s">
        <v>70</v>
      </c>
      <c r="P60" s="104" t="s">
        <v>26</v>
      </c>
      <c r="Q60" s="104">
        <v>46113.3333333333</v>
      </c>
      <c r="R60" s="104">
        <v>46113.3381944444</v>
      </c>
      <c r="S60" s="104">
        <v>46113.3888888889</v>
      </c>
      <c r="T60" s="104" t="s">
        <v>147</v>
      </c>
    </row>
    <row r="61" s="102" customFormat="1" ht="15" spans="1:20">
      <c r="A61" s="104" t="s">
        <v>22</v>
      </c>
      <c r="B61" s="104" t="s">
        <v>148</v>
      </c>
      <c r="C61" s="104" t="s">
        <v>149</v>
      </c>
      <c r="D61" s="104" t="s">
        <v>150</v>
      </c>
      <c r="E61" s="104" t="s">
        <v>151</v>
      </c>
      <c r="F61" s="104" t="s">
        <v>152</v>
      </c>
      <c r="G61" s="114"/>
      <c r="H61" s="104">
        <v>3310001</v>
      </c>
      <c r="I61" s="104">
        <v>7753</v>
      </c>
      <c r="J61" s="104">
        <v>1793</v>
      </c>
      <c r="K61" s="104">
        <v>0</v>
      </c>
      <c r="L61" s="104">
        <v>1793</v>
      </c>
      <c r="M61" s="104">
        <v>5861.319</v>
      </c>
      <c r="N61" s="104" t="s">
        <v>24</v>
      </c>
      <c r="O61" s="104" t="s">
        <v>70</v>
      </c>
      <c r="P61" s="104" t="s">
        <v>26</v>
      </c>
      <c r="Q61" s="104">
        <v>46113.3451388889</v>
      </c>
      <c r="R61" s="104">
        <v>46113.3479166667</v>
      </c>
      <c r="S61" s="104">
        <v>46113.38125</v>
      </c>
      <c r="T61" s="104" t="s">
        <v>153</v>
      </c>
    </row>
    <row r="62" s="102" customFormat="1" ht="30" spans="1:20">
      <c r="A62" s="104" t="s">
        <v>22</v>
      </c>
      <c r="B62" s="104" t="s">
        <v>154</v>
      </c>
      <c r="C62" s="114"/>
      <c r="D62" s="104" t="s">
        <v>29</v>
      </c>
      <c r="E62" s="114"/>
      <c r="F62" s="114"/>
      <c r="G62" s="114"/>
      <c r="H62" s="104">
        <v>4011014</v>
      </c>
      <c r="I62" s="104">
        <v>353</v>
      </c>
      <c r="J62" s="104">
        <v>353</v>
      </c>
      <c r="K62" s="104">
        <v>0</v>
      </c>
      <c r="L62" s="104">
        <v>353</v>
      </c>
      <c r="M62" s="104">
        <v>194.729</v>
      </c>
      <c r="N62" s="104" t="s">
        <v>24</v>
      </c>
      <c r="O62" s="104" t="s">
        <v>25</v>
      </c>
      <c r="P62" s="104" t="s">
        <v>155</v>
      </c>
      <c r="Q62" s="104">
        <v>46113.3659722222</v>
      </c>
      <c r="R62" s="104">
        <v>46113.3659722222</v>
      </c>
      <c r="S62" s="114"/>
      <c r="T62" s="114"/>
    </row>
    <row r="63" s="102" customFormat="1" ht="15" spans="1:20">
      <c r="A63" s="104" t="s">
        <v>22</v>
      </c>
      <c r="B63" s="104" t="s">
        <v>156</v>
      </c>
      <c r="C63" s="104" t="s">
        <v>157</v>
      </c>
      <c r="D63" s="104" t="s">
        <v>158</v>
      </c>
      <c r="E63" s="114"/>
      <c r="F63" s="114"/>
      <c r="G63" s="114"/>
      <c r="H63" s="104">
        <v>4010001</v>
      </c>
      <c r="I63" s="104">
        <v>8763</v>
      </c>
      <c r="J63" s="104">
        <v>1711</v>
      </c>
      <c r="K63" s="104">
        <v>1</v>
      </c>
      <c r="L63" s="104">
        <v>1710</v>
      </c>
      <c r="M63" s="104">
        <v>6036.995</v>
      </c>
      <c r="N63" s="104" t="s">
        <v>24</v>
      </c>
      <c r="O63" s="104" t="s">
        <v>70</v>
      </c>
      <c r="P63" s="104" t="s">
        <v>26</v>
      </c>
      <c r="Q63" s="104">
        <v>46113.3784722222</v>
      </c>
      <c r="R63" s="104">
        <v>46113.38125</v>
      </c>
      <c r="S63" s="104">
        <v>46113.4326388889</v>
      </c>
      <c r="T63" s="104" t="s">
        <v>147</v>
      </c>
    </row>
    <row r="64" s="102" customFormat="1" ht="15" spans="1:20">
      <c r="A64" s="104" t="s">
        <v>22</v>
      </c>
      <c r="B64" s="104" t="s">
        <v>159</v>
      </c>
      <c r="C64" s="104" t="s">
        <v>160</v>
      </c>
      <c r="D64" s="104" t="s">
        <v>161</v>
      </c>
      <c r="E64" s="114"/>
      <c r="F64" s="114"/>
      <c r="G64" s="114"/>
      <c r="H64" s="104">
        <v>4010001</v>
      </c>
      <c r="I64" s="104">
        <v>466</v>
      </c>
      <c r="J64" s="104">
        <v>466</v>
      </c>
      <c r="K64" s="104">
        <v>464</v>
      </c>
      <c r="L64" s="104">
        <v>2</v>
      </c>
      <c r="M64" s="104">
        <v>0</v>
      </c>
      <c r="N64" s="104" t="s">
        <v>24</v>
      </c>
      <c r="O64" s="104" t="s">
        <v>70</v>
      </c>
      <c r="P64" s="104" t="s">
        <v>26</v>
      </c>
      <c r="Q64" s="104">
        <v>46113.4180555556</v>
      </c>
      <c r="R64" s="104">
        <v>46113.4326388889</v>
      </c>
      <c r="S64" s="104">
        <v>46113.4854166667</v>
      </c>
      <c r="T64" s="104" t="s">
        <v>162</v>
      </c>
    </row>
    <row r="65" s="102" customFormat="1" ht="15" spans="1:20">
      <c r="A65" s="104" t="s">
        <v>22</v>
      </c>
      <c r="B65" s="104" t="s">
        <v>127</v>
      </c>
      <c r="C65" s="114"/>
      <c r="D65" s="104" t="s">
        <v>29</v>
      </c>
      <c r="E65" s="114"/>
      <c r="F65" s="114"/>
      <c r="G65" s="114"/>
      <c r="H65" s="104">
        <v>4011845</v>
      </c>
      <c r="I65" s="104">
        <v>180</v>
      </c>
      <c r="J65" s="104">
        <v>27</v>
      </c>
      <c r="K65" s="104">
        <v>2</v>
      </c>
      <c r="L65" s="104">
        <v>25</v>
      </c>
      <c r="M65" s="104">
        <v>16.912</v>
      </c>
      <c r="N65" s="104" t="s">
        <v>24</v>
      </c>
      <c r="O65" s="104" t="s">
        <v>25</v>
      </c>
      <c r="P65" s="104" t="s">
        <v>26</v>
      </c>
      <c r="Q65" s="104">
        <v>46113.4576388889</v>
      </c>
      <c r="R65" s="104">
        <v>46113.4576388889</v>
      </c>
      <c r="S65" s="104">
        <v>46113.5805555556</v>
      </c>
      <c r="T65" s="104" t="s">
        <v>163</v>
      </c>
    </row>
    <row r="66" s="102" customFormat="1" ht="15" spans="1:20">
      <c r="A66" s="104" t="s">
        <v>22</v>
      </c>
      <c r="B66" s="104" t="s">
        <v>164</v>
      </c>
      <c r="C66" s="104" t="s">
        <v>165</v>
      </c>
      <c r="D66" s="104" t="s">
        <v>166</v>
      </c>
      <c r="E66" s="114"/>
      <c r="F66" s="114"/>
      <c r="G66" s="114"/>
      <c r="H66" s="104">
        <v>4010001</v>
      </c>
      <c r="I66" s="104">
        <v>8368</v>
      </c>
      <c r="J66" s="104">
        <v>8368</v>
      </c>
      <c r="K66" s="104">
        <v>5</v>
      </c>
      <c r="L66" s="104">
        <v>8363</v>
      </c>
      <c r="M66" s="104">
        <v>12178.11</v>
      </c>
      <c r="N66" s="104" t="s">
        <v>24</v>
      </c>
      <c r="O66" s="104" t="s">
        <v>25</v>
      </c>
      <c r="P66" s="104" t="s">
        <v>26</v>
      </c>
      <c r="Q66" s="104">
        <v>46113.5013888889</v>
      </c>
      <c r="R66" s="104">
        <v>46113.5027777778</v>
      </c>
      <c r="S66" s="104">
        <v>46113.5777777778</v>
      </c>
      <c r="T66" s="104" t="s">
        <v>75</v>
      </c>
    </row>
    <row r="67" s="102" customFormat="1" ht="15" spans="1:20">
      <c r="A67" s="104" t="s">
        <v>22</v>
      </c>
      <c r="B67" s="104" t="s">
        <v>31</v>
      </c>
      <c r="C67" s="114"/>
      <c r="D67" s="114"/>
      <c r="E67" s="114"/>
      <c r="F67" s="114"/>
      <c r="G67" s="114"/>
      <c r="H67" s="104">
        <v>40101</v>
      </c>
      <c r="I67" s="104">
        <v>2</v>
      </c>
      <c r="J67" s="104">
        <v>2</v>
      </c>
      <c r="K67" s="104">
        <v>0</v>
      </c>
      <c r="L67" s="104">
        <v>2</v>
      </c>
      <c r="M67" s="104">
        <v>14.075</v>
      </c>
      <c r="N67" s="104" t="s">
        <v>24</v>
      </c>
      <c r="O67" s="104" t="s">
        <v>25</v>
      </c>
      <c r="P67" s="104" t="s">
        <v>26</v>
      </c>
      <c r="Q67" s="104">
        <v>46113.5048611111</v>
      </c>
      <c r="R67" s="104">
        <v>46113.5048611111</v>
      </c>
      <c r="S67" s="104">
        <v>46113.9229166667</v>
      </c>
      <c r="T67" s="104" t="s">
        <v>34</v>
      </c>
    </row>
    <row r="68" s="102" customFormat="1" ht="15" spans="1:20">
      <c r="A68" s="104" t="s">
        <v>22</v>
      </c>
      <c r="B68" s="104" t="s">
        <v>23</v>
      </c>
      <c r="C68" s="114"/>
      <c r="D68" s="114"/>
      <c r="E68" s="114"/>
      <c r="F68" s="114"/>
      <c r="G68" s="114"/>
      <c r="H68" s="104">
        <v>4017319</v>
      </c>
      <c r="I68" s="104">
        <v>828</v>
      </c>
      <c r="J68" s="104">
        <v>828</v>
      </c>
      <c r="K68" s="104">
        <v>1</v>
      </c>
      <c r="L68" s="104">
        <v>827</v>
      </c>
      <c r="M68" s="104">
        <v>1370.76</v>
      </c>
      <c r="N68" s="104" t="s">
        <v>24</v>
      </c>
      <c r="O68" s="104" t="s">
        <v>25</v>
      </c>
      <c r="P68" s="104" t="s">
        <v>26</v>
      </c>
      <c r="Q68" s="104">
        <v>46113.5048611111</v>
      </c>
      <c r="R68" s="104">
        <v>46113.5048611111</v>
      </c>
      <c r="S68" s="104">
        <v>46113.5777777778</v>
      </c>
      <c r="T68" s="104" t="s">
        <v>167</v>
      </c>
    </row>
    <row r="69" s="102" customFormat="1" ht="15" spans="1:20">
      <c r="A69" s="104" t="s">
        <v>22</v>
      </c>
      <c r="B69" s="104" t="s">
        <v>168</v>
      </c>
      <c r="C69" s="104" t="s">
        <v>169</v>
      </c>
      <c r="D69" s="104" t="s">
        <v>170</v>
      </c>
      <c r="E69" s="114"/>
      <c r="F69" s="114"/>
      <c r="G69" s="114"/>
      <c r="H69" s="104">
        <v>4010001</v>
      </c>
      <c r="I69" s="104">
        <v>363</v>
      </c>
      <c r="J69" s="104">
        <v>286</v>
      </c>
      <c r="K69" s="104">
        <v>8</v>
      </c>
      <c r="L69" s="104">
        <v>278</v>
      </c>
      <c r="M69" s="104">
        <v>318.932</v>
      </c>
      <c r="N69" s="104" t="s">
        <v>24</v>
      </c>
      <c r="O69" s="104" t="s">
        <v>25</v>
      </c>
      <c r="P69" s="104" t="s">
        <v>26</v>
      </c>
      <c r="Q69" s="104">
        <v>46113.5048611111</v>
      </c>
      <c r="R69" s="104">
        <v>46113.50625</v>
      </c>
      <c r="S69" s="104">
        <v>46113.5777777778</v>
      </c>
      <c r="T69" s="104" t="s">
        <v>171</v>
      </c>
    </row>
    <row r="70" s="102" customFormat="1" ht="15" spans="1:20">
      <c r="A70" s="104" t="s">
        <v>22</v>
      </c>
      <c r="B70" s="104" t="s">
        <v>172</v>
      </c>
      <c r="C70" s="104" t="s">
        <v>173</v>
      </c>
      <c r="D70" s="104" t="s">
        <v>174</v>
      </c>
      <c r="E70" s="114"/>
      <c r="F70" s="114"/>
      <c r="G70" s="114"/>
      <c r="H70" s="104">
        <v>4010001</v>
      </c>
      <c r="I70" s="104">
        <v>85</v>
      </c>
      <c r="J70" s="104">
        <v>47</v>
      </c>
      <c r="K70" s="104">
        <v>3</v>
      </c>
      <c r="L70" s="104">
        <v>44</v>
      </c>
      <c r="M70" s="104">
        <v>81.087</v>
      </c>
      <c r="N70" s="104" t="s">
        <v>24</v>
      </c>
      <c r="O70" s="104" t="s">
        <v>25</v>
      </c>
      <c r="P70" s="104" t="s">
        <v>26</v>
      </c>
      <c r="Q70" s="104">
        <v>46113.5048611111</v>
      </c>
      <c r="R70" s="104">
        <v>46113.50625</v>
      </c>
      <c r="S70" s="104">
        <v>46113.5777777778</v>
      </c>
      <c r="T70" s="104" t="s">
        <v>171</v>
      </c>
    </row>
    <row r="71" s="102" customFormat="1" ht="15" spans="1:20">
      <c r="A71" s="104" t="s">
        <v>22</v>
      </c>
      <c r="B71" s="104" t="s">
        <v>175</v>
      </c>
      <c r="C71" s="104" t="s">
        <v>176</v>
      </c>
      <c r="D71" s="104" t="s">
        <v>177</v>
      </c>
      <c r="E71" s="114"/>
      <c r="F71" s="114"/>
      <c r="G71" s="104">
        <v>11111111111111</v>
      </c>
      <c r="H71" s="104">
        <v>4010002</v>
      </c>
      <c r="I71" s="104">
        <v>3096</v>
      </c>
      <c r="J71" s="104">
        <v>3096</v>
      </c>
      <c r="K71" s="104">
        <v>156</v>
      </c>
      <c r="L71" s="104">
        <v>2940</v>
      </c>
      <c r="M71" s="104">
        <v>6385.98</v>
      </c>
      <c r="N71" s="104" t="s">
        <v>24</v>
      </c>
      <c r="O71" s="104" t="s">
        <v>25</v>
      </c>
      <c r="P71" s="104" t="s">
        <v>26</v>
      </c>
      <c r="Q71" s="104">
        <v>46113.5020833333</v>
      </c>
      <c r="R71" s="104">
        <v>46113.5069444444</v>
      </c>
      <c r="S71" s="104">
        <v>46113.5805555556</v>
      </c>
      <c r="T71" s="104" t="s">
        <v>178</v>
      </c>
    </row>
    <row r="72" s="102" customFormat="1" ht="15" spans="1:20">
      <c r="A72" s="104" t="s">
        <v>22</v>
      </c>
      <c r="B72" s="104" t="s">
        <v>31</v>
      </c>
      <c r="C72" s="114"/>
      <c r="D72" s="114"/>
      <c r="E72" s="114"/>
      <c r="F72" s="114"/>
      <c r="G72" s="114"/>
      <c r="H72" s="104">
        <v>4013354</v>
      </c>
      <c r="I72" s="104">
        <v>1</v>
      </c>
      <c r="J72" s="104">
        <v>1</v>
      </c>
      <c r="K72" s="104">
        <v>1</v>
      </c>
      <c r="L72" s="104">
        <v>0</v>
      </c>
      <c r="M72" s="104">
        <v>1</v>
      </c>
      <c r="N72" s="104" t="s">
        <v>24</v>
      </c>
      <c r="O72" s="104" t="s">
        <v>25</v>
      </c>
      <c r="P72" s="104" t="s">
        <v>26</v>
      </c>
      <c r="Q72" s="104">
        <v>46113.5083333333</v>
      </c>
      <c r="R72" s="104">
        <v>46113.5083333333</v>
      </c>
      <c r="S72" s="104">
        <v>46113.5770833333</v>
      </c>
      <c r="T72" s="104" t="s">
        <v>179</v>
      </c>
    </row>
    <row r="73" s="102" customFormat="1" ht="15" spans="1:20">
      <c r="A73" s="104" t="s">
        <v>22</v>
      </c>
      <c r="B73" s="104" t="s">
        <v>180</v>
      </c>
      <c r="C73" s="104" t="s">
        <v>181</v>
      </c>
      <c r="D73" s="104" t="s">
        <v>182</v>
      </c>
      <c r="E73" s="114"/>
      <c r="F73" s="114"/>
      <c r="G73" s="114"/>
      <c r="H73" s="104">
        <v>4010001</v>
      </c>
      <c r="I73" s="104">
        <v>1362</v>
      </c>
      <c r="J73" s="104">
        <v>632</v>
      </c>
      <c r="K73" s="104">
        <v>303</v>
      </c>
      <c r="L73" s="104">
        <v>329</v>
      </c>
      <c r="M73" s="104">
        <v>1679.838</v>
      </c>
      <c r="N73" s="104" t="s">
        <v>24</v>
      </c>
      <c r="O73" s="104" t="s">
        <v>25</v>
      </c>
      <c r="P73" s="104" t="s">
        <v>26</v>
      </c>
      <c r="Q73" s="104">
        <v>46113.5104166667</v>
      </c>
      <c r="R73" s="104">
        <v>46113.5111111111</v>
      </c>
      <c r="S73" s="104">
        <v>46122.5319444444</v>
      </c>
      <c r="T73" s="104" t="s">
        <v>183</v>
      </c>
    </row>
    <row r="74" s="102" customFormat="1" ht="15" spans="1:20">
      <c r="A74" s="104" t="s">
        <v>22</v>
      </c>
      <c r="B74" s="104" t="s">
        <v>184</v>
      </c>
      <c r="C74" s="104" t="s">
        <v>185</v>
      </c>
      <c r="D74" s="104" t="s">
        <v>186</v>
      </c>
      <c r="E74" s="114"/>
      <c r="F74" s="114"/>
      <c r="G74" s="114"/>
      <c r="H74" s="104">
        <v>4010001</v>
      </c>
      <c r="I74" s="104">
        <v>1928</v>
      </c>
      <c r="J74" s="104">
        <v>1851</v>
      </c>
      <c r="K74" s="104">
        <v>13</v>
      </c>
      <c r="L74" s="104">
        <v>1838</v>
      </c>
      <c r="M74" s="104">
        <v>1458.978</v>
      </c>
      <c r="N74" s="104" t="s">
        <v>24</v>
      </c>
      <c r="O74" s="104" t="s">
        <v>25</v>
      </c>
      <c r="P74" s="104" t="s">
        <v>26</v>
      </c>
      <c r="Q74" s="104">
        <v>46113.51875</v>
      </c>
      <c r="R74" s="104">
        <v>46113.5194444444</v>
      </c>
      <c r="S74" s="104">
        <v>46113.5798611111</v>
      </c>
      <c r="T74" s="104" t="s">
        <v>187</v>
      </c>
    </row>
    <row r="75" s="102" customFormat="1" ht="15" spans="1:20">
      <c r="A75" s="104" t="s">
        <v>22</v>
      </c>
      <c r="B75" s="104" t="s">
        <v>188</v>
      </c>
      <c r="C75" s="104" t="s">
        <v>189</v>
      </c>
      <c r="D75" s="104" t="s">
        <v>190</v>
      </c>
      <c r="E75" s="114"/>
      <c r="F75" s="114"/>
      <c r="G75" s="114"/>
      <c r="H75" s="104">
        <v>4010001</v>
      </c>
      <c r="I75" s="104">
        <v>2087</v>
      </c>
      <c r="J75" s="104">
        <v>2032</v>
      </c>
      <c r="K75" s="104">
        <v>7</v>
      </c>
      <c r="L75" s="104">
        <v>2025</v>
      </c>
      <c r="M75" s="104">
        <v>3720.676</v>
      </c>
      <c r="N75" s="104" t="s">
        <v>24</v>
      </c>
      <c r="O75" s="104" t="s">
        <v>25</v>
      </c>
      <c r="P75" s="104" t="s">
        <v>26</v>
      </c>
      <c r="Q75" s="104">
        <v>46113.5215277778</v>
      </c>
      <c r="R75" s="104">
        <v>46113.525</v>
      </c>
      <c r="S75" s="104">
        <v>46113.5798611111</v>
      </c>
      <c r="T75" s="104" t="s">
        <v>191</v>
      </c>
    </row>
    <row r="76" s="102" customFormat="1" ht="15" spans="1:20">
      <c r="A76" s="104" t="s">
        <v>22</v>
      </c>
      <c r="B76" s="104" t="s">
        <v>23</v>
      </c>
      <c r="C76" s="104" t="s">
        <v>192</v>
      </c>
      <c r="D76" s="104" t="s">
        <v>193</v>
      </c>
      <c r="E76" s="114"/>
      <c r="F76" s="114"/>
      <c r="G76" s="114"/>
      <c r="H76" s="104">
        <v>4010001</v>
      </c>
      <c r="I76" s="104">
        <v>213</v>
      </c>
      <c r="J76" s="104">
        <v>213</v>
      </c>
      <c r="K76" s="104">
        <v>0</v>
      </c>
      <c r="L76" s="104">
        <v>213</v>
      </c>
      <c r="M76" s="104">
        <v>200.51</v>
      </c>
      <c r="N76" s="104" t="s">
        <v>24</v>
      </c>
      <c r="O76" s="104" t="s">
        <v>25</v>
      </c>
      <c r="P76" s="104" t="s">
        <v>26</v>
      </c>
      <c r="Q76" s="104">
        <v>46113.5368055556</v>
      </c>
      <c r="R76" s="104">
        <v>46113.5368055556</v>
      </c>
      <c r="S76" s="104">
        <v>46113.5777777778</v>
      </c>
      <c r="T76" s="104" t="s">
        <v>194</v>
      </c>
    </row>
    <row r="77" s="102" customFormat="1" ht="15" spans="1:20">
      <c r="A77" s="104" t="s">
        <v>22</v>
      </c>
      <c r="B77" s="104" t="s">
        <v>91</v>
      </c>
      <c r="C77" s="104" t="s">
        <v>195</v>
      </c>
      <c r="D77" s="104" t="s">
        <v>93</v>
      </c>
      <c r="E77" s="114"/>
      <c r="F77" s="114"/>
      <c r="G77" s="104">
        <v>12345678900000</v>
      </c>
      <c r="H77" s="104">
        <v>4010003</v>
      </c>
      <c r="I77" s="104">
        <v>1607</v>
      </c>
      <c r="J77" s="104">
        <v>1607</v>
      </c>
      <c r="K77" s="104">
        <v>43</v>
      </c>
      <c r="L77" s="104">
        <v>1564</v>
      </c>
      <c r="M77" s="104">
        <v>4822.573</v>
      </c>
      <c r="N77" s="104" t="s">
        <v>24</v>
      </c>
      <c r="O77" s="104" t="s">
        <v>25</v>
      </c>
      <c r="P77" s="104" t="s">
        <v>26</v>
      </c>
      <c r="Q77" s="104">
        <v>46113.54375</v>
      </c>
      <c r="R77" s="104">
        <v>46113.5444444444</v>
      </c>
      <c r="S77" s="104">
        <v>46113.5805555556</v>
      </c>
      <c r="T77" s="104" t="s">
        <v>196</v>
      </c>
    </row>
    <row r="78" s="102" customFormat="1" ht="15" spans="1:20">
      <c r="A78" s="104" t="s">
        <v>22</v>
      </c>
      <c r="B78" s="104" t="s">
        <v>197</v>
      </c>
      <c r="C78" s="104" t="s">
        <v>198</v>
      </c>
      <c r="D78" s="104" t="s">
        <v>199</v>
      </c>
      <c r="E78" s="114"/>
      <c r="F78" s="114"/>
      <c r="G78" s="104">
        <v>11111111111111</v>
      </c>
      <c r="H78" s="104">
        <v>4010001</v>
      </c>
      <c r="I78" s="104">
        <v>8034</v>
      </c>
      <c r="J78" s="104">
        <v>7777</v>
      </c>
      <c r="K78" s="104">
        <v>45</v>
      </c>
      <c r="L78" s="104">
        <v>7732</v>
      </c>
      <c r="M78" s="104">
        <v>9591.155</v>
      </c>
      <c r="N78" s="104" t="s">
        <v>24</v>
      </c>
      <c r="O78" s="104" t="s">
        <v>25</v>
      </c>
      <c r="P78" s="104" t="s">
        <v>26</v>
      </c>
      <c r="Q78" s="104">
        <v>46113.5520833333</v>
      </c>
      <c r="R78" s="104">
        <v>46113.5569444444</v>
      </c>
      <c r="S78" s="104">
        <v>46113.5798611111</v>
      </c>
      <c r="T78" s="104" t="s">
        <v>200</v>
      </c>
    </row>
    <row r="79" s="102" customFormat="1" ht="15" spans="1:20">
      <c r="A79" s="104" t="s">
        <v>22</v>
      </c>
      <c r="B79" s="104" t="s">
        <v>201</v>
      </c>
      <c r="C79" s="104" t="s">
        <v>202</v>
      </c>
      <c r="D79" s="104" t="s">
        <v>203</v>
      </c>
      <c r="E79" s="104" t="s">
        <v>204</v>
      </c>
      <c r="F79" s="104" t="s">
        <v>205</v>
      </c>
      <c r="G79" s="114"/>
      <c r="H79" s="104">
        <v>4010001</v>
      </c>
      <c r="I79" s="104">
        <v>14230</v>
      </c>
      <c r="J79" s="104">
        <v>3006</v>
      </c>
      <c r="K79" s="104">
        <v>15</v>
      </c>
      <c r="L79" s="104">
        <v>2991</v>
      </c>
      <c r="M79" s="104">
        <v>10644.866</v>
      </c>
      <c r="N79" s="104" t="s">
        <v>24</v>
      </c>
      <c r="O79" s="104" t="s">
        <v>70</v>
      </c>
      <c r="P79" s="104" t="s">
        <v>26</v>
      </c>
      <c r="Q79" s="104">
        <v>46113.4861111111</v>
      </c>
      <c r="R79" s="104">
        <v>46113.6145833333</v>
      </c>
      <c r="S79" s="104">
        <v>46113.7041666667</v>
      </c>
      <c r="T79" s="104" t="s">
        <v>206</v>
      </c>
    </row>
    <row r="80" s="102" customFormat="1" ht="15" spans="1:20">
      <c r="A80" s="104" t="s">
        <v>22</v>
      </c>
      <c r="B80" s="104" t="s">
        <v>207</v>
      </c>
      <c r="C80" s="104" t="s">
        <v>208</v>
      </c>
      <c r="D80" s="104" t="s">
        <v>209</v>
      </c>
      <c r="E80" s="104" t="s">
        <v>210</v>
      </c>
      <c r="F80" s="104" t="s">
        <v>211</v>
      </c>
      <c r="G80" s="114"/>
      <c r="H80" s="104">
        <v>4010001</v>
      </c>
      <c r="I80" s="104">
        <v>20300</v>
      </c>
      <c r="J80" s="104">
        <v>3301</v>
      </c>
      <c r="K80" s="104">
        <v>3</v>
      </c>
      <c r="L80" s="104">
        <v>3298</v>
      </c>
      <c r="M80" s="104">
        <v>12766.459</v>
      </c>
      <c r="N80" s="104" t="s">
        <v>24</v>
      </c>
      <c r="O80" s="104" t="s">
        <v>70</v>
      </c>
      <c r="P80" s="104" t="s">
        <v>26</v>
      </c>
      <c r="Q80" s="104">
        <v>46113.5805555556</v>
      </c>
      <c r="R80" s="104">
        <v>46113.6145833333</v>
      </c>
      <c r="S80" s="104">
        <v>46113.7041666667</v>
      </c>
      <c r="T80" s="104" t="s">
        <v>206</v>
      </c>
    </row>
    <row r="81" s="102" customFormat="1" ht="15" spans="1:20">
      <c r="A81" s="104" t="s">
        <v>22</v>
      </c>
      <c r="B81" s="104" t="s">
        <v>212</v>
      </c>
      <c r="C81" s="104" t="s">
        <v>213</v>
      </c>
      <c r="D81" s="104" t="s">
        <v>214</v>
      </c>
      <c r="E81" s="114"/>
      <c r="F81" s="114"/>
      <c r="G81" s="114"/>
      <c r="H81" s="104">
        <v>4010002</v>
      </c>
      <c r="I81" s="104">
        <v>786</v>
      </c>
      <c r="J81" s="104">
        <v>786</v>
      </c>
      <c r="K81" s="104">
        <v>170</v>
      </c>
      <c r="L81" s="104">
        <v>616</v>
      </c>
      <c r="M81" s="104">
        <v>2690.579</v>
      </c>
      <c r="N81" s="104" t="s">
        <v>24</v>
      </c>
      <c r="O81" s="104" t="s">
        <v>25</v>
      </c>
      <c r="P81" s="104" t="s">
        <v>26</v>
      </c>
      <c r="Q81" s="104">
        <v>46113.64375</v>
      </c>
      <c r="R81" s="104">
        <v>46113.7034722222</v>
      </c>
      <c r="S81" s="104">
        <v>46114.0027777778</v>
      </c>
      <c r="T81" s="104" t="s">
        <v>215</v>
      </c>
    </row>
    <row r="82" s="102" customFormat="1" ht="15" spans="1:20">
      <c r="A82" s="104" t="s">
        <v>22</v>
      </c>
      <c r="B82" s="104" t="s">
        <v>164</v>
      </c>
      <c r="C82" s="104" t="s">
        <v>216</v>
      </c>
      <c r="D82" s="104" t="s">
        <v>217</v>
      </c>
      <c r="E82" s="114"/>
      <c r="F82" s="114"/>
      <c r="G82" s="114"/>
      <c r="H82" s="104">
        <v>4010002</v>
      </c>
      <c r="I82" s="104">
        <v>3664</v>
      </c>
      <c r="J82" s="104">
        <v>3664</v>
      </c>
      <c r="K82" s="104">
        <v>4</v>
      </c>
      <c r="L82" s="104">
        <v>3660</v>
      </c>
      <c r="M82" s="104">
        <v>5226.808</v>
      </c>
      <c r="N82" s="104" t="s">
        <v>24</v>
      </c>
      <c r="O82" s="104" t="s">
        <v>25</v>
      </c>
      <c r="P82" s="104" t="s">
        <v>26</v>
      </c>
      <c r="Q82" s="104">
        <v>46113.7090277778</v>
      </c>
      <c r="R82" s="104">
        <v>46113.7104166667</v>
      </c>
      <c r="S82" s="104">
        <v>46114.0041666667</v>
      </c>
      <c r="T82" s="104" t="s">
        <v>218</v>
      </c>
    </row>
    <row r="83" s="102" customFormat="1" ht="15" spans="1:20">
      <c r="A83" s="104" t="s">
        <v>22</v>
      </c>
      <c r="B83" s="104" t="s">
        <v>219</v>
      </c>
      <c r="C83" s="104" t="s">
        <v>220</v>
      </c>
      <c r="D83" s="104" t="s">
        <v>221</v>
      </c>
      <c r="E83" s="114"/>
      <c r="F83" s="114"/>
      <c r="G83" s="104">
        <v>11111111111111</v>
      </c>
      <c r="H83" s="104">
        <v>4010002</v>
      </c>
      <c r="I83" s="104">
        <v>3265</v>
      </c>
      <c r="J83" s="104">
        <v>3265</v>
      </c>
      <c r="K83" s="104">
        <v>4</v>
      </c>
      <c r="L83" s="104">
        <v>3261</v>
      </c>
      <c r="M83" s="104">
        <v>2353.06</v>
      </c>
      <c r="N83" s="104" t="s">
        <v>24</v>
      </c>
      <c r="O83" s="104" t="s">
        <v>25</v>
      </c>
      <c r="P83" s="104" t="s">
        <v>26</v>
      </c>
      <c r="Q83" s="104">
        <v>46113.6881944444</v>
      </c>
      <c r="R83" s="104">
        <v>46113.7111111111</v>
      </c>
      <c r="S83" s="104">
        <v>46114.0034722222</v>
      </c>
      <c r="T83" s="104" t="s">
        <v>222</v>
      </c>
    </row>
    <row r="84" s="102" customFormat="1" ht="15" spans="1:20">
      <c r="A84" s="104" t="s">
        <v>22</v>
      </c>
      <c r="B84" s="104" t="s">
        <v>81</v>
      </c>
      <c r="C84" s="114"/>
      <c r="D84" s="114"/>
      <c r="E84" s="114"/>
      <c r="F84" s="114"/>
      <c r="G84" s="114"/>
      <c r="H84" s="104">
        <v>4013794</v>
      </c>
      <c r="I84" s="104">
        <v>11</v>
      </c>
      <c r="J84" s="104">
        <v>1</v>
      </c>
      <c r="K84" s="104">
        <v>1</v>
      </c>
      <c r="L84" s="104">
        <v>0</v>
      </c>
      <c r="M84" s="104">
        <v>0</v>
      </c>
      <c r="N84" s="104" t="s">
        <v>24</v>
      </c>
      <c r="O84" s="104" t="s">
        <v>25</v>
      </c>
      <c r="P84" s="104" t="s">
        <v>26</v>
      </c>
      <c r="Q84" s="104">
        <v>46113.7138888889</v>
      </c>
      <c r="R84" s="104">
        <v>46113.7138888889</v>
      </c>
      <c r="S84" s="104">
        <v>46113.9236111111</v>
      </c>
      <c r="T84" s="104" t="s">
        <v>82</v>
      </c>
    </row>
    <row r="85" s="102" customFormat="1" ht="15" spans="1:20">
      <c r="A85" s="104" t="s">
        <v>22</v>
      </c>
      <c r="B85" s="104" t="s">
        <v>81</v>
      </c>
      <c r="C85" s="114"/>
      <c r="D85" s="114"/>
      <c r="E85" s="114"/>
      <c r="F85" s="114"/>
      <c r="G85" s="114"/>
      <c r="H85" s="104">
        <v>4013694</v>
      </c>
      <c r="I85" s="104">
        <v>7</v>
      </c>
      <c r="J85" s="104">
        <v>7</v>
      </c>
      <c r="K85" s="104">
        <v>0</v>
      </c>
      <c r="L85" s="104">
        <v>7</v>
      </c>
      <c r="M85" s="104">
        <v>9.48</v>
      </c>
      <c r="N85" s="104" t="s">
        <v>24</v>
      </c>
      <c r="O85" s="104" t="s">
        <v>25</v>
      </c>
      <c r="P85" s="104" t="s">
        <v>26</v>
      </c>
      <c r="Q85" s="104">
        <v>46113.7138888889</v>
      </c>
      <c r="R85" s="104">
        <v>46113.7138888889</v>
      </c>
      <c r="S85" s="104">
        <v>46113.9236111111</v>
      </c>
      <c r="T85" s="104" t="s">
        <v>82</v>
      </c>
    </row>
    <row r="86" s="102" customFormat="1" ht="15" spans="1:20">
      <c r="A86" s="104" t="s">
        <v>22</v>
      </c>
      <c r="B86" s="104" t="s">
        <v>89</v>
      </c>
      <c r="C86" s="114"/>
      <c r="D86" s="114"/>
      <c r="E86" s="114"/>
      <c r="F86" s="114"/>
      <c r="G86" s="114"/>
      <c r="H86" s="104">
        <v>40101</v>
      </c>
      <c r="I86" s="104">
        <v>9</v>
      </c>
      <c r="J86" s="104">
        <v>9</v>
      </c>
      <c r="K86" s="104">
        <v>0</v>
      </c>
      <c r="L86" s="104">
        <v>9</v>
      </c>
      <c r="M86" s="104">
        <v>13.295</v>
      </c>
      <c r="N86" s="104" t="s">
        <v>24</v>
      </c>
      <c r="O86" s="104" t="s">
        <v>25</v>
      </c>
      <c r="P86" s="104" t="s">
        <v>26</v>
      </c>
      <c r="Q86" s="104">
        <v>46113.7166666667</v>
      </c>
      <c r="R86" s="104">
        <v>46113.7402777778</v>
      </c>
      <c r="S86" s="104">
        <v>46113.9236111111</v>
      </c>
      <c r="T86" s="104" t="s">
        <v>84</v>
      </c>
    </row>
    <row r="87" s="102" customFormat="1" ht="15" spans="1:20">
      <c r="A87" s="104" t="s">
        <v>22</v>
      </c>
      <c r="B87" s="104" t="s">
        <v>47</v>
      </c>
      <c r="C87" s="114"/>
      <c r="D87" s="114"/>
      <c r="E87" s="114"/>
      <c r="F87" s="114"/>
      <c r="G87" s="114"/>
      <c r="H87" s="104">
        <v>40101</v>
      </c>
      <c r="I87" s="104">
        <v>11</v>
      </c>
      <c r="J87" s="104">
        <v>2</v>
      </c>
      <c r="K87" s="104">
        <v>1</v>
      </c>
      <c r="L87" s="104">
        <v>1</v>
      </c>
      <c r="M87" s="104">
        <v>8.785</v>
      </c>
      <c r="N87" s="104" t="s">
        <v>24</v>
      </c>
      <c r="O87" s="104" t="s">
        <v>25</v>
      </c>
      <c r="P87" s="104" t="s">
        <v>26</v>
      </c>
      <c r="Q87" s="104">
        <v>46113.4868055556</v>
      </c>
      <c r="R87" s="104">
        <v>46113.7409722222</v>
      </c>
      <c r="S87" s="104">
        <v>46113.9229166667</v>
      </c>
      <c r="T87" s="104" t="s">
        <v>48</v>
      </c>
    </row>
    <row r="88" s="102" customFormat="1" ht="15" spans="1:20">
      <c r="A88" s="104" t="s">
        <v>22</v>
      </c>
      <c r="B88" s="104" t="s">
        <v>33</v>
      </c>
      <c r="C88" s="114"/>
      <c r="D88" s="114"/>
      <c r="E88" s="114"/>
      <c r="F88" s="114"/>
      <c r="G88" s="114"/>
      <c r="H88" s="104">
        <v>4013276</v>
      </c>
      <c r="I88" s="104">
        <v>18</v>
      </c>
      <c r="J88" s="104">
        <v>3</v>
      </c>
      <c r="K88" s="104">
        <v>1</v>
      </c>
      <c r="L88" s="104">
        <v>2</v>
      </c>
      <c r="M88" s="104">
        <v>17.568</v>
      </c>
      <c r="N88" s="104" t="s">
        <v>24</v>
      </c>
      <c r="O88" s="104" t="s">
        <v>25</v>
      </c>
      <c r="P88" s="104" t="s">
        <v>26</v>
      </c>
      <c r="Q88" s="104">
        <v>46113.7409722222</v>
      </c>
      <c r="R88" s="104">
        <v>46113.7409722222</v>
      </c>
      <c r="S88" s="104">
        <v>46113.9236111111</v>
      </c>
      <c r="T88" s="104" t="s">
        <v>48</v>
      </c>
    </row>
    <row r="89" s="102" customFormat="1" ht="15" spans="1:20">
      <c r="A89" s="104" t="s">
        <v>22</v>
      </c>
      <c r="B89" s="104" t="s">
        <v>223</v>
      </c>
      <c r="C89" s="104" t="s">
        <v>224</v>
      </c>
      <c r="D89" s="104" t="s">
        <v>193</v>
      </c>
      <c r="E89" s="114"/>
      <c r="F89" s="114"/>
      <c r="G89" s="104" t="s">
        <v>225</v>
      </c>
      <c r="H89" s="104">
        <v>4010002</v>
      </c>
      <c r="I89" s="104">
        <v>3755</v>
      </c>
      <c r="J89" s="104">
        <v>3755</v>
      </c>
      <c r="K89" s="104">
        <v>206</v>
      </c>
      <c r="L89" s="104">
        <v>3549</v>
      </c>
      <c r="M89" s="104">
        <v>5185.582</v>
      </c>
      <c r="N89" s="104" t="s">
        <v>24</v>
      </c>
      <c r="O89" s="104" t="s">
        <v>25</v>
      </c>
      <c r="P89" s="104" t="s">
        <v>26</v>
      </c>
      <c r="Q89" s="104">
        <v>46113.75</v>
      </c>
      <c r="R89" s="104">
        <v>46113.7638888889</v>
      </c>
      <c r="S89" s="104">
        <v>46114.0034722222</v>
      </c>
      <c r="T89" s="104" t="s">
        <v>226</v>
      </c>
    </row>
    <row r="90" s="102" customFormat="1" ht="15" spans="1:20">
      <c r="A90" s="104" t="s">
        <v>22</v>
      </c>
      <c r="B90" s="104" t="s">
        <v>175</v>
      </c>
      <c r="C90" s="104" t="s">
        <v>227</v>
      </c>
      <c r="D90" s="104" t="s">
        <v>177</v>
      </c>
      <c r="E90" s="114"/>
      <c r="F90" s="114"/>
      <c r="G90" s="104">
        <v>11111111111111</v>
      </c>
      <c r="H90" s="104">
        <v>4010003</v>
      </c>
      <c r="I90" s="104">
        <v>1354</v>
      </c>
      <c r="J90" s="104">
        <v>1354</v>
      </c>
      <c r="K90" s="104">
        <v>91</v>
      </c>
      <c r="L90" s="104">
        <v>1263</v>
      </c>
      <c r="M90" s="104">
        <v>2449</v>
      </c>
      <c r="N90" s="104" t="s">
        <v>24</v>
      </c>
      <c r="O90" s="104" t="s">
        <v>25</v>
      </c>
      <c r="P90" s="104" t="s">
        <v>26</v>
      </c>
      <c r="Q90" s="104">
        <v>46113.7277777778</v>
      </c>
      <c r="R90" s="104">
        <v>46113.7638888889</v>
      </c>
      <c r="S90" s="104">
        <v>46114.0027777778</v>
      </c>
      <c r="T90" s="104" t="s">
        <v>228</v>
      </c>
    </row>
    <row r="91" s="102" customFormat="1" ht="15" spans="1:20">
      <c r="A91" s="104" t="s">
        <v>22</v>
      </c>
      <c r="B91" s="104" t="s">
        <v>229</v>
      </c>
      <c r="C91" s="104" t="s">
        <v>230</v>
      </c>
      <c r="D91" s="104" t="s">
        <v>231</v>
      </c>
      <c r="E91" s="114"/>
      <c r="F91" s="114"/>
      <c r="G91" s="114"/>
      <c r="H91" s="104">
        <v>4010002</v>
      </c>
      <c r="I91" s="104">
        <v>2441</v>
      </c>
      <c r="J91" s="104">
        <v>2441</v>
      </c>
      <c r="K91" s="104">
        <v>7</v>
      </c>
      <c r="L91" s="104">
        <v>2434</v>
      </c>
      <c r="M91" s="104">
        <v>3347.842</v>
      </c>
      <c r="N91" s="104" t="s">
        <v>24</v>
      </c>
      <c r="O91" s="104" t="s">
        <v>25</v>
      </c>
      <c r="P91" s="104" t="s">
        <v>26</v>
      </c>
      <c r="Q91" s="104">
        <v>46113.7291666667</v>
      </c>
      <c r="R91" s="104">
        <v>46113.7638888889</v>
      </c>
      <c r="S91" s="104">
        <v>46114.0027777778</v>
      </c>
      <c r="T91" s="104" t="s">
        <v>228</v>
      </c>
    </row>
    <row r="92" s="102" customFormat="1" ht="15" spans="1:20">
      <c r="A92" s="104" t="s">
        <v>22</v>
      </c>
      <c r="B92" s="104" t="s">
        <v>232</v>
      </c>
      <c r="C92" s="104" t="s">
        <v>233</v>
      </c>
      <c r="D92" s="104" t="s">
        <v>234</v>
      </c>
      <c r="E92" s="114"/>
      <c r="F92" s="114"/>
      <c r="G92" s="114"/>
      <c r="H92" s="104">
        <v>4010002</v>
      </c>
      <c r="I92" s="104">
        <v>2442</v>
      </c>
      <c r="J92" s="104">
        <v>2442</v>
      </c>
      <c r="K92" s="104">
        <v>91</v>
      </c>
      <c r="L92" s="104">
        <v>2351</v>
      </c>
      <c r="M92" s="104">
        <v>2667.787</v>
      </c>
      <c r="N92" s="104" t="s">
        <v>24</v>
      </c>
      <c r="O92" s="104" t="s">
        <v>25</v>
      </c>
      <c r="P92" s="104" t="s">
        <v>26</v>
      </c>
      <c r="Q92" s="104">
        <v>46113.7465277778</v>
      </c>
      <c r="R92" s="104">
        <v>46113.7638888889</v>
      </c>
      <c r="S92" s="104">
        <v>46114.0027777778</v>
      </c>
      <c r="T92" s="104" t="s">
        <v>235</v>
      </c>
    </row>
    <row r="93" s="102" customFormat="1" ht="15" spans="1:20">
      <c r="A93" s="104" t="s">
        <v>22</v>
      </c>
      <c r="B93" s="104" t="s">
        <v>236</v>
      </c>
      <c r="C93" s="114"/>
      <c r="D93" s="114"/>
      <c r="E93" s="114"/>
      <c r="F93" s="114"/>
      <c r="G93" s="114"/>
      <c r="H93" s="104">
        <v>4014802</v>
      </c>
      <c r="I93" s="104">
        <v>2447</v>
      </c>
      <c r="J93" s="104">
        <v>2447</v>
      </c>
      <c r="K93" s="104">
        <v>6</v>
      </c>
      <c r="L93" s="104">
        <v>2441</v>
      </c>
      <c r="M93" s="104">
        <v>3619.315</v>
      </c>
      <c r="N93" s="104" t="s">
        <v>24</v>
      </c>
      <c r="O93" s="104" t="s">
        <v>25</v>
      </c>
      <c r="P93" s="104" t="s">
        <v>26</v>
      </c>
      <c r="Q93" s="104">
        <v>46113.7652777778</v>
      </c>
      <c r="R93" s="104">
        <v>46113.7652777778</v>
      </c>
      <c r="S93" s="104">
        <v>46114.0034722222</v>
      </c>
      <c r="T93" s="104" t="s">
        <v>237</v>
      </c>
    </row>
    <row r="94" s="102" customFormat="1" ht="15" spans="1:20">
      <c r="A94" s="104" t="s">
        <v>22</v>
      </c>
      <c r="B94" s="104" t="s">
        <v>219</v>
      </c>
      <c r="C94" s="104" t="s">
        <v>238</v>
      </c>
      <c r="D94" s="104" t="s">
        <v>239</v>
      </c>
      <c r="E94" s="114"/>
      <c r="F94" s="114"/>
      <c r="G94" s="104">
        <v>11111111111111</v>
      </c>
      <c r="H94" s="104">
        <v>4010003</v>
      </c>
      <c r="I94" s="104">
        <v>2690</v>
      </c>
      <c r="J94" s="104">
        <v>2690</v>
      </c>
      <c r="K94" s="104">
        <v>7</v>
      </c>
      <c r="L94" s="104">
        <v>2683</v>
      </c>
      <c r="M94" s="104">
        <v>2328.35</v>
      </c>
      <c r="N94" s="104" t="s">
        <v>24</v>
      </c>
      <c r="O94" s="104" t="s">
        <v>25</v>
      </c>
      <c r="P94" s="104" t="s">
        <v>26</v>
      </c>
      <c r="Q94" s="104">
        <v>46113.7736111111</v>
      </c>
      <c r="R94" s="104">
        <v>46113.7763888889</v>
      </c>
      <c r="S94" s="104">
        <v>46114.0034722222</v>
      </c>
      <c r="T94" s="104" t="s">
        <v>240</v>
      </c>
    </row>
    <row r="95" s="102" customFormat="1" ht="15" spans="1:20">
      <c r="A95" s="104" t="s">
        <v>22</v>
      </c>
      <c r="B95" s="104" t="s">
        <v>81</v>
      </c>
      <c r="C95" s="104" t="s">
        <v>241</v>
      </c>
      <c r="D95" s="104" t="s">
        <v>38</v>
      </c>
      <c r="E95" s="114"/>
      <c r="F95" s="114"/>
      <c r="G95" s="114"/>
      <c r="H95" s="104">
        <v>4010001</v>
      </c>
      <c r="I95" s="104">
        <v>527</v>
      </c>
      <c r="J95" s="104">
        <v>527</v>
      </c>
      <c r="K95" s="104">
        <v>8</v>
      </c>
      <c r="L95" s="104">
        <v>519</v>
      </c>
      <c r="M95" s="104">
        <v>376.092</v>
      </c>
      <c r="N95" s="104" t="s">
        <v>24</v>
      </c>
      <c r="O95" s="104" t="s">
        <v>25</v>
      </c>
      <c r="P95" s="104" t="s">
        <v>26</v>
      </c>
      <c r="Q95" s="104">
        <v>46113.7652777778</v>
      </c>
      <c r="R95" s="104">
        <v>46113.7770833333</v>
      </c>
      <c r="S95" s="104">
        <v>46113.9236111111</v>
      </c>
      <c r="T95" s="104" t="s">
        <v>242</v>
      </c>
    </row>
    <row r="96" s="102" customFormat="1" ht="15" spans="1:20">
      <c r="A96" s="104" t="s">
        <v>22</v>
      </c>
      <c r="B96" s="104" t="s">
        <v>236</v>
      </c>
      <c r="C96" s="114"/>
      <c r="D96" s="114"/>
      <c r="E96" s="114"/>
      <c r="F96" s="114"/>
      <c r="G96" s="114"/>
      <c r="H96" s="104">
        <v>4014803</v>
      </c>
      <c r="I96" s="104">
        <v>1071</v>
      </c>
      <c r="J96" s="104">
        <v>1071</v>
      </c>
      <c r="K96" s="104">
        <v>4</v>
      </c>
      <c r="L96" s="104">
        <v>1067</v>
      </c>
      <c r="M96" s="104">
        <v>760.116</v>
      </c>
      <c r="N96" s="104" t="s">
        <v>24</v>
      </c>
      <c r="O96" s="104" t="s">
        <v>25</v>
      </c>
      <c r="P96" s="104" t="s">
        <v>26</v>
      </c>
      <c r="Q96" s="104">
        <v>46113.7895833333</v>
      </c>
      <c r="R96" s="104">
        <v>46113.7895833333</v>
      </c>
      <c r="S96" s="104">
        <v>46114.0034722222</v>
      </c>
      <c r="T96" s="104" t="s">
        <v>243</v>
      </c>
    </row>
    <row r="97" s="102" customFormat="1" ht="15" spans="1:20">
      <c r="A97" s="104" t="s">
        <v>22</v>
      </c>
      <c r="B97" s="104" t="s">
        <v>244</v>
      </c>
      <c r="C97" s="104" t="s">
        <v>245</v>
      </c>
      <c r="D97" s="104" t="s">
        <v>41</v>
      </c>
      <c r="E97" s="114"/>
      <c r="F97" s="114"/>
      <c r="G97" s="114"/>
      <c r="H97" s="104">
        <v>4010001</v>
      </c>
      <c r="I97" s="104">
        <v>217</v>
      </c>
      <c r="J97" s="104">
        <v>13</v>
      </c>
      <c r="K97" s="104">
        <v>5</v>
      </c>
      <c r="L97" s="104">
        <v>8</v>
      </c>
      <c r="M97" s="104">
        <v>126.474</v>
      </c>
      <c r="N97" s="104" t="s">
        <v>24</v>
      </c>
      <c r="O97" s="104" t="s">
        <v>25</v>
      </c>
      <c r="P97" s="104" t="s">
        <v>26</v>
      </c>
      <c r="Q97" s="104">
        <v>46113.7833333333</v>
      </c>
      <c r="R97" s="104">
        <v>46113.7895833333</v>
      </c>
      <c r="S97" s="104">
        <v>46114.0048611111</v>
      </c>
      <c r="T97" s="104" t="s">
        <v>246</v>
      </c>
    </row>
    <row r="98" s="102" customFormat="1" ht="15" spans="1:20">
      <c r="A98" s="104" t="s">
        <v>22</v>
      </c>
      <c r="B98" s="104" t="s">
        <v>219</v>
      </c>
      <c r="C98" s="104" t="s">
        <v>247</v>
      </c>
      <c r="D98" s="104" t="s">
        <v>248</v>
      </c>
      <c r="E98" s="114"/>
      <c r="F98" s="114"/>
      <c r="G98" s="104">
        <v>11111111111111</v>
      </c>
      <c r="H98" s="104">
        <v>4010004</v>
      </c>
      <c r="I98" s="104">
        <v>862</v>
      </c>
      <c r="J98" s="104">
        <v>710</v>
      </c>
      <c r="K98" s="104">
        <v>32</v>
      </c>
      <c r="L98" s="104">
        <v>678</v>
      </c>
      <c r="M98" s="104">
        <v>2835.44</v>
      </c>
      <c r="N98" s="104" t="s">
        <v>24</v>
      </c>
      <c r="O98" s="104" t="s">
        <v>25</v>
      </c>
      <c r="P98" s="104" t="s">
        <v>26</v>
      </c>
      <c r="Q98" s="104">
        <v>46113.7909722222</v>
      </c>
      <c r="R98" s="104">
        <v>46113.7951388889</v>
      </c>
      <c r="S98" s="104">
        <v>46114.0034722222</v>
      </c>
      <c r="T98" s="104" t="s">
        <v>85</v>
      </c>
    </row>
    <row r="99" s="102" customFormat="1" ht="15" spans="1:20">
      <c r="A99" s="104" t="s">
        <v>22</v>
      </c>
      <c r="B99" s="104" t="s">
        <v>249</v>
      </c>
      <c r="C99" s="104" t="s">
        <v>250</v>
      </c>
      <c r="D99" s="104" t="s">
        <v>55</v>
      </c>
      <c r="E99" s="114"/>
      <c r="F99" s="114"/>
      <c r="G99" s="114"/>
      <c r="H99" s="104">
        <v>4010001</v>
      </c>
      <c r="I99" s="104">
        <v>60</v>
      </c>
      <c r="J99" s="104">
        <v>60</v>
      </c>
      <c r="K99" s="104">
        <v>0</v>
      </c>
      <c r="L99" s="104">
        <v>60</v>
      </c>
      <c r="M99" s="104">
        <v>94.61</v>
      </c>
      <c r="N99" s="104" t="s">
        <v>24</v>
      </c>
      <c r="O99" s="104" t="s">
        <v>25</v>
      </c>
      <c r="P99" s="104" t="s">
        <v>26</v>
      </c>
      <c r="Q99" s="104">
        <v>46113.79375</v>
      </c>
      <c r="R99" s="104">
        <v>46113.7951388889</v>
      </c>
      <c r="S99" s="104">
        <v>46114.0041666667</v>
      </c>
      <c r="T99" s="104" t="s">
        <v>82</v>
      </c>
    </row>
    <row r="100" s="102" customFormat="1" ht="15" spans="1:20">
      <c r="A100" s="104" t="s">
        <v>22</v>
      </c>
      <c r="B100" s="104" t="s">
        <v>219</v>
      </c>
      <c r="C100" s="104" t="s">
        <v>251</v>
      </c>
      <c r="D100" s="104" t="s">
        <v>252</v>
      </c>
      <c r="E100" s="114"/>
      <c r="F100" s="114"/>
      <c r="G100" s="104">
        <v>11111111111111</v>
      </c>
      <c r="H100" s="104">
        <v>4010001</v>
      </c>
      <c r="I100" s="104">
        <v>6065</v>
      </c>
      <c r="J100" s="104">
        <v>5953</v>
      </c>
      <c r="K100" s="104">
        <v>673</v>
      </c>
      <c r="L100" s="104">
        <v>5280</v>
      </c>
      <c r="M100" s="104">
        <v>3550.382</v>
      </c>
      <c r="N100" s="104" t="s">
        <v>24</v>
      </c>
      <c r="O100" s="104" t="s">
        <v>25</v>
      </c>
      <c r="P100" s="104" t="s">
        <v>26</v>
      </c>
      <c r="Q100" s="104">
        <v>46113.7930555556</v>
      </c>
      <c r="R100" s="104">
        <v>46113.7951388889</v>
      </c>
      <c r="S100" s="104">
        <v>46114.0034722222</v>
      </c>
      <c r="T100" s="104" t="s">
        <v>253</v>
      </c>
    </row>
    <row r="101" s="102" customFormat="1" ht="15" spans="1:20">
      <c r="A101" s="104" t="s">
        <v>22</v>
      </c>
      <c r="B101" s="104" t="s">
        <v>254</v>
      </c>
      <c r="C101" s="104" t="s">
        <v>255</v>
      </c>
      <c r="D101" s="104" t="s">
        <v>182</v>
      </c>
      <c r="E101" s="114"/>
      <c r="F101" s="114"/>
      <c r="G101" s="114"/>
      <c r="H101" s="104">
        <v>4010001</v>
      </c>
      <c r="I101" s="104">
        <v>2830</v>
      </c>
      <c r="J101" s="104">
        <v>2707</v>
      </c>
      <c r="K101" s="104">
        <v>957</v>
      </c>
      <c r="L101" s="104">
        <v>1750</v>
      </c>
      <c r="M101" s="104">
        <v>3752.367</v>
      </c>
      <c r="N101" s="104" t="s">
        <v>24</v>
      </c>
      <c r="O101" s="104" t="s">
        <v>25</v>
      </c>
      <c r="P101" s="104" t="s">
        <v>26</v>
      </c>
      <c r="Q101" s="104">
        <v>46113.8013888889</v>
      </c>
      <c r="R101" s="104">
        <v>46113.80625</v>
      </c>
      <c r="S101" s="104">
        <v>46114.0041666667</v>
      </c>
      <c r="T101" s="104" t="s">
        <v>256</v>
      </c>
    </row>
    <row r="102" s="102" customFormat="1" ht="15" spans="1:20">
      <c r="A102" s="104" t="s">
        <v>22</v>
      </c>
      <c r="B102" s="104" t="s">
        <v>257</v>
      </c>
      <c r="C102" s="104" t="s">
        <v>258</v>
      </c>
      <c r="D102" s="104" t="s">
        <v>259</v>
      </c>
      <c r="E102" s="114"/>
      <c r="F102" s="114"/>
      <c r="G102" s="114"/>
      <c r="H102" s="104">
        <v>4010001</v>
      </c>
      <c r="I102" s="104">
        <v>1857</v>
      </c>
      <c r="J102" s="104">
        <v>1712</v>
      </c>
      <c r="K102" s="104">
        <v>4</v>
      </c>
      <c r="L102" s="104">
        <v>1708</v>
      </c>
      <c r="M102" s="104">
        <v>3053.561</v>
      </c>
      <c r="N102" s="104" t="s">
        <v>24</v>
      </c>
      <c r="O102" s="104" t="s">
        <v>25</v>
      </c>
      <c r="P102" s="104" t="s">
        <v>26</v>
      </c>
      <c r="Q102" s="104">
        <v>46113.8034722222</v>
      </c>
      <c r="R102" s="104">
        <v>46113.80625</v>
      </c>
      <c r="S102" s="104">
        <v>46114.0027777778</v>
      </c>
      <c r="T102" s="104" t="s">
        <v>260</v>
      </c>
    </row>
    <row r="103" s="102" customFormat="1" ht="15" spans="1:20">
      <c r="A103" s="104" t="s">
        <v>22</v>
      </c>
      <c r="B103" s="104" t="s">
        <v>261</v>
      </c>
      <c r="C103" s="104" t="s">
        <v>262</v>
      </c>
      <c r="D103" s="104" t="s">
        <v>199</v>
      </c>
      <c r="E103" s="114"/>
      <c r="F103" s="114"/>
      <c r="G103" s="104">
        <v>25500071256466</v>
      </c>
      <c r="H103" s="104">
        <v>4010002</v>
      </c>
      <c r="I103" s="104">
        <v>1223</v>
      </c>
      <c r="J103" s="104">
        <v>1223</v>
      </c>
      <c r="K103" s="104">
        <v>6</v>
      </c>
      <c r="L103" s="104">
        <v>1217</v>
      </c>
      <c r="M103" s="104">
        <v>1529.98</v>
      </c>
      <c r="N103" s="104" t="s">
        <v>24</v>
      </c>
      <c r="O103" s="104" t="s">
        <v>25</v>
      </c>
      <c r="P103" s="104" t="s">
        <v>26</v>
      </c>
      <c r="Q103" s="104">
        <v>46113.8041666667</v>
      </c>
      <c r="R103" s="104">
        <v>46113.8069444444</v>
      </c>
      <c r="S103" s="104">
        <v>46114.0027777778</v>
      </c>
      <c r="T103" s="104" t="s">
        <v>260</v>
      </c>
    </row>
    <row r="104" s="102" customFormat="1" ht="15" spans="1:20">
      <c r="A104" s="104" t="s">
        <v>22</v>
      </c>
      <c r="B104" s="104" t="s">
        <v>263</v>
      </c>
      <c r="C104" s="104" t="s">
        <v>264</v>
      </c>
      <c r="D104" s="104" t="s">
        <v>265</v>
      </c>
      <c r="E104" s="114"/>
      <c r="F104" s="114"/>
      <c r="G104" s="114"/>
      <c r="H104" s="104">
        <v>4010001</v>
      </c>
      <c r="I104" s="104">
        <v>2541</v>
      </c>
      <c r="J104" s="104">
        <v>1637</v>
      </c>
      <c r="K104" s="104">
        <v>88</v>
      </c>
      <c r="L104" s="104">
        <v>1549</v>
      </c>
      <c r="M104" s="104">
        <v>2685.327</v>
      </c>
      <c r="N104" s="104" t="s">
        <v>24</v>
      </c>
      <c r="O104" s="104" t="s">
        <v>25</v>
      </c>
      <c r="P104" s="104" t="s">
        <v>26</v>
      </c>
      <c r="Q104" s="104">
        <v>46113.8069444444</v>
      </c>
      <c r="R104" s="104">
        <v>46113.8083333333</v>
      </c>
      <c r="S104" s="104">
        <v>46114.0048611111</v>
      </c>
      <c r="T104" s="104" t="s">
        <v>266</v>
      </c>
    </row>
    <row r="105" s="102" customFormat="1" ht="15" spans="1:20">
      <c r="A105" s="104" t="s">
        <v>22</v>
      </c>
      <c r="B105" s="104" t="s">
        <v>229</v>
      </c>
      <c r="C105" s="104" t="s">
        <v>267</v>
      </c>
      <c r="D105" s="104" t="s">
        <v>268</v>
      </c>
      <c r="E105" s="114"/>
      <c r="F105" s="104" t="s">
        <v>79</v>
      </c>
      <c r="G105" s="114"/>
      <c r="H105" s="104">
        <v>4010001</v>
      </c>
      <c r="I105" s="104">
        <v>5583</v>
      </c>
      <c r="J105" s="104">
        <v>5486</v>
      </c>
      <c r="K105" s="104">
        <v>2015</v>
      </c>
      <c r="L105" s="104">
        <v>3471</v>
      </c>
      <c r="M105" s="104">
        <v>9357.149</v>
      </c>
      <c r="N105" s="104" t="s">
        <v>24</v>
      </c>
      <c r="O105" s="104" t="s">
        <v>25</v>
      </c>
      <c r="P105" s="104" t="s">
        <v>26</v>
      </c>
      <c r="Q105" s="104">
        <v>46113.8104166667</v>
      </c>
      <c r="R105" s="104">
        <v>46113.8125</v>
      </c>
      <c r="S105" s="104">
        <v>46114.0027777778</v>
      </c>
      <c r="T105" s="104" t="s">
        <v>269</v>
      </c>
    </row>
    <row r="106" s="102" customFormat="1" ht="15" spans="1:20">
      <c r="A106" s="104" t="s">
        <v>22</v>
      </c>
      <c r="B106" s="104" t="s">
        <v>175</v>
      </c>
      <c r="C106" s="104" t="s">
        <v>270</v>
      </c>
      <c r="D106" s="104" t="s">
        <v>177</v>
      </c>
      <c r="E106" s="114"/>
      <c r="F106" s="114"/>
      <c r="G106" s="104">
        <v>11111111111111</v>
      </c>
      <c r="H106" s="104">
        <v>4020002</v>
      </c>
      <c r="I106" s="104">
        <v>1904</v>
      </c>
      <c r="J106" s="104">
        <v>1904</v>
      </c>
      <c r="K106" s="104">
        <v>3</v>
      </c>
      <c r="L106" s="104">
        <v>1901</v>
      </c>
      <c r="M106" s="104">
        <v>4663.56</v>
      </c>
      <c r="N106" s="104" t="s">
        <v>24</v>
      </c>
      <c r="O106" s="104" t="s">
        <v>25</v>
      </c>
      <c r="P106" s="104" t="s">
        <v>271</v>
      </c>
      <c r="Q106" s="104">
        <v>46114.45</v>
      </c>
      <c r="R106" s="104">
        <v>46114.45625</v>
      </c>
      <c r="S106" s="104">
        <v>46114.5694444444</v>
      </c>
      <c r="T106" s="104" t="s">
        <v>272</v>
      </c>
    </row>
    <row r="107" s="102" customFormat="1" ht="15" spans="1:20">
      <c r="A107" s="104" t="s">
        <v>22</v>
      </c>
      <c r="B107" s="104" t="s">
        <v>36</v>
      </c>
      <c r="C107" s="104" t="s">
        <v>273</v>
      </c>
      <c r="D107" s="104" t="s">
        <v>38</v>
      </c>
      <c r="E107" s="114"/>
      <c r="F107" s="114"/>
      <c r="G107" s="114"/>
      <c r="H107" s="104">
        <v>4020001</v>
      </c>
      <c r="I107" s="104">
        <v>456</v>
      </c>
      <c r="J107" s="104">
        <v>456</v>
      </c>
      <c r="K107" s="104">
        <v>2</v>
      </c>
      <c r="L107" s="104">
        <v>454</v>
      </c>
      <c r="M107" s="104">
        <v>313.581</v>
      </c>
      <c r="N107" s="104" t="s">
        <v>24</v>
      </c>
      <c r="O107" s="104" t="s">
        <v>25</v>
      </c>
      <c r="P107" s="104" t="s">
        <v>271</v>
      </c>
      <c r="Q107" s="104">
        <v>46114.4652777778</v>
      </c>
      <c r="R107" s="104">
        <v>46114.4729166667</v>
      </c>
      <c r="S107" s="104">
        <v>46114.5701388889</v>
      </c>
      <c r="T107" s="104" t="s">
        <v>274</v>
      </c>
    </row>
    <row r="108" s="102" customFormat="1" ht="15" spans="1:20">
      <c r="A108" s="104" t="s">
        <v>22</v>
      </c>
      <c r="B108" s="104" t="s">
        <v>28</v>
      </c>
      <c r="C108" s="114"/>
      <c r="D108" s="104" t="s">
        <v>29</v>
      </c>
      <c r="E108" s="114"/>
      <c r="F108" s="114"/>
      <c r="G108" s="114"/>
      <c r="H108" s="104">
        <v>4022097</v>
      </c>
      <c r="I108" s="104">
        <v>0</v>
      </c>
      <c r="J108" s="104">
        <v>123</v>
      </c>
      <c r="K108" s="104">
        <v>0</v>
      </c>
      <c r="L108" s="104">
        <v>123</v>
      </c>
      <c r="M108" s="104">
        <v>0</v>
      </c>
      <c r="N108" s="104" t="s">
        <v>24</v>
      </c>
      <c r="O108" s="104" t="s">
        <v>25</v>
      </c>
      <c r="P108" s="104" t="s">
        <v>271</v>
      </c>
      <c r="Q108" s="104">
        <v>46114.4777777778</v>
      </c>
      <c r="R108" s="104">
        <v>46114.4777777778</v>
      </c>
      <c r="S108" s="104">
        <v>46114.5701388889</v>
      </c>
      <c r="T108" s="104" t="s">
        <v>275</v>
      </c>
    </row>
    <row r="109" s="102" customFormat="1" ht="15" spans="1:20">
      <c r="A109" s="104" t="s">
        <v>22</v>
      </c>
      <c r="B109" s="104" t="s">
        <v>164</v>
      </c>
      <c r="C109" s="104" t="s">
        <v>276</v>
      </c>
      <c r="D109" s="104" t="s">
        <v>166</v>
      </c>
      <c r="E109" s="114"/>
      <c r="F109" s="114"/>
      <c r="G109" s="114"/>
      <c r="H109" s="104">
        <v>4020001</v>
      </c>
      <c r="I109" s="104">
        <v>5854</v>
      </c>
      <c r="J109" s="104">
        <v>5854</v>
      </c>
      <c r="K109" s="104">
        <v>7</v>
      </c>
      <c r="L109" s="104">
        <v>5847</v>
      </c>
      <c r="M109" s="104">
        <v>9581.134</v>
      </c>
      <c r="N109" s="104" t="s">
        <v>24</v>
      </c>
      <c r="O109" s="104" t="s">
        <v>25</v>
      </c>
      <c r="P109" s="104" t="s">
        <v>271</v>
      </c>
      <c r="Q109" s="104">
        <v>46114.475</v>
      </c>
      <c r="R109" s="104">
        <v>46114.4777777778</v>
      </c>
      <c r="S109" s="104">
        <v>46114.5701388889</v>
      </c>
      <c r="T109" s="104" t="s">
        <v>275</v>
      </c>
    </row>
    <row r="110" s="102" customFormat="1" ht="15" spans="1:20">
      <c r="A110" s="104" t="s">
        <v>22</v>
      </c>
      <c r="B110" s="104" t="s">
        <v>53</v>
      </c>
      <c r="C110" s="104" t="s">
        <v>277</v>
      </c>
      <c r="D110" s="104" t="s">
        <v>55</v>
      </c>
      <c r="E110" s="114"/>
      <c r="F110" s="114"/>
      <c r="G110" s="114"/>
      <c r="H110" s="104">
        <v>4020001</v>
      </c>
      <c r="I110" s="104">
        <v>77</v>
      </c>
      <c r="J110" s="104">
        <v>26</v>
      </c>
      <c r="K110" s="104">
        <v>2</v>
      </c>
      <c r="L110" s="104">
        <v>24</v>
      </c>
      <c r="M110" s="104">
        <v>62.643</v>
      </c>
      <c r="N110" s="104" t="s">
        <v>24</v>
      </c>
      <c r="O110" s="104" t="s">
        <v>25</v>
      </c>
      <c r="P110" s="104" t="s">
        <v>271</v>
      </c>
      <c r="Q110" s="104">
        <v>46114.48125</v>
      </c>
      <c r="R110" s="104">
        <v>46114.48125</v>
      </c>
      <c r="S110" s="104">
        <v>46114.5701388889</v>
      </c>
      <c r="T110" s="104" t="s">
        <v>206</v>
      </c>
    </row>
    <row r="111" s="102" customFormat="1" ht="15" spans="1:20">
      <c r="A111" s="104" t="s">
        <v>22</v>
      </c>
      <c r="B111" s="104" t="s">
        <v>42</v>
      </c>
      <c r="C111" s="104" t="s">
        <v>278</v>
      </c>
      <c r="D111" s="104" t="s">
        <v>44</v>
      </c>
      <c r="E111" s="114"/>
      <c r="F111" s="114"/>
      <c r="G111" s="114"/>
      <c r="H111" s="104">
        <v>4020001</v>
      </c>
      <c r="I111" s="104">
        <v>401</v>
      </c>
      <c r="J111" s="104">
        <v>389</v>
      </c>
      <c r="K111" s="104">
        <v>9</v>
      </c>
      <c r="L111" s="104">
        <v>380</v>
      </c>
      <c r="M111" s="104">
        <v>407.236</v>
      </c>
      <c r="N111" s="104" t="s">
        <v>24</v>
      </c>
      <c r="O111" s="104" t="s">
        <v>25</v>
      </c>
      <c r="P111" s="104" t="s">
        <v>271</v>
      </c>
      <c r="Q111" s="104">
        <v>46114.4840277778</v>
      </c>
      <c r="R111" s="104">
        <v>46114.4861111111</v>
      </c>
      <c r="S111" s="104">
        <v>46114.5708333333</v>
      </c>
      <c r="T111" s="104" t="s">
        <v>279</v>
      </c>
    </row>
    <row r="112" s="102" customFormat="1" ht="15" spans="1:20">
      <c r="A112" s="104" t="s">
        <v>22</v>
      </c>
      <c r="B112" s="104" t="s">
        <v>90</v>
      </c>
      <c r="C112" s="114"/>
      <c r="D112" s="114"/>
      <c r="E112" s="114"/>
      <c r="F112" s="114"/>
      <c r="G112" s="114"/>
      <c r="H112" s="104">
        <v>40201</v>
      </c>
      <c r="I112" s="104">
        <v>1</v>
      </c>
      <c r="J112" s="104">
        <v>1</v>
      </c>
      <c r="K112" s="104">
        <v>0</v>
      </c>
      <c r="L112" s="104">
        <v>1</v>
      </c>
      <c r="M112" s="104">
        <v>0.056</v>
      </c>
      <c r="N112" s="104" t="s">
        <v>24</v>
      </c>
      <c r="O112" s="104" t="s">
        <v>25</v>
      </c>
      <c r="P112" s="104" t="s">
        <v>271</v>
      </c>
      <c r="Q112" s="104">
        <v>46114.4868055556</v>
      </c>
      <c r="R112" s="104">
        <v>46114.4868055556</v>
      </c>
      <c r="S112" s="104">
        <v>46114.7951388889</v>
      </c>
      <c r="T112" s="104" t="s">
        <v>280</v>
      </c>
    </row>
    <row r="113" s="102" customFormat="1" ht="15" spans="1:20">
      <c r="A113" s="104" t="s">
        <v>22</v>
      </c>
      <c r="B113" s="104" t="s">
        <v>33</v>
      </c>
      <c r="C113" s="114"/>
      <c r="D113" s="114"/>
      <c r="E113" s="114"/>
      <c r="F113" s="114"/>
      <c r="G113" s="114"/>
      <c r="H113" s="104">
        <v>40201</v>
      </c>
      <c r="I113" s="104">
        <v>71</v>
      </c>
      <c r="J113" s="104">
        <v>8</v>
      </c>
      <c r="K113" s="104">
        <v>0</v>
      </c>
      <c r="L113" s="104">
        <v>8</v>
      </c>
      <c r="M113" s="104">
        <v>25.314</v>
      </c>
      <c r="N113" s="104" t="s">
        <v>24</v>
      </c>
      <c r="O113" s="104" t="s">
        <v>25</v>
      </c>
      <c r="P113" s="104" t="s">
        <v>271</v>
      </c>
      <c r="Q113" s="104">
        <v>46114.4868055556</v>
      </c>
      <c r="R113" s="104">
        <v>46114.4868055556</v>
      </c>
      <c r="S113" s="104">
        <v>46114.7951388889</v>
      </c>
      <c r="T113" s="104" t="s">
        <v>281</v>
      </c>
    </row>
    <row r="114" s="102" customFormat="1" ht="15" spans="1:20">
      <c r="A114" s="104" t="s">
        <v>22</v>
      </c>
      <c r="B114" s="104" t="s">
        <v>31</v>
      </c>
      <c r="C114" s="114"/>
      <c r="D114" s="114"/>
      <c r="E114" s="114"/>
      <c r="F114" s="114"/>
      <c r="G114" s="114"/>
      <c r="H114" s="104">
        <v>4023355</v>
      </c>
      <c r="I114" s="104">
        <v>37</v>
      </c>
      <c r="J114" s="104">
        <v>5</v>
      </c>
      <c r="K114" s="104">
        <v>1</v>
      </c>
      <c r="L114" s="104">
        <v>4</v>
      </c>
      <c r="M114" s="104">
        <v>15.388</v>
      </c>
      <c r="N114" s="104" t="s">
        <v>24</v>
      </c>
      <c r="O114" s="104" t="s">
        <v>25</v>
      </c>
      <c r="P114" s="104" t="s">
        <v>271</v>
      </c>
      <c r="Q114" s="104">
        <v>46114.4868055556</v>
      </c>
      <c r="R114" s="104">
        <v>46114.4868055556</v>
      </c>
      <c r="S114" s="104">
        <v>46114.5708333333</v>
      </c>
      <c r="T114" s="104" t="s">
        <v>282</v>
      </c>
    </row>
    <row r="115" s="102" customFormat="1" ht="15" spans="1:20">
      <c r="A115" s="104" t="s">
        <v>22</v>
      </c>
      <c r="B115" s="104" t="s">
        <v>31</v>
      </c>
      <c r="C115" s="114"/>
      <c r="D115" s="114"/>
      <c r="E115" s="114"/>
      <c r="F115" s="114"/>
      <c r="G115" s="114"/>
      <c r="H115" s="104">
        <v>40201</v>
      </c>
      <c r="I115" s="104">
        <v>3</v>
      </c>
      <c r="J115" s="104">
        <v>3</v>
      </c>
      <c r="K115" s="104">
        <v>0</v>
      </c>
      <c r="L115" s="104">
        <v>3</v>
      </c>
      <c r="M115" s="104">
        <v>5.541</v>
      </c>
      <c r="N115" s="104" t="s">
        <v>24</v>
      </c>
      <c r="O115" s="104" t="s">
        <v>25</v>
      </c>
      <c r="P115" s="104" t="s">
        <v>271</v>
      </c>
      <c r="Q115" s="104">
        <v>46114.4868055556</v>
      </c>
      <c r="R115" s="104">
        <v>46114.4868055556</v>
      </c>
      <c r="S115" s="104">
        <v>46114.7951388889</v>
      </c>
      <c r="T115" s="104" t="s">
        <v>283</v>
      </c>
    </row>
    <row r="116" s="102" customFormat="1" ht="15" spans="1:20">
      <c r="A116" s="104" t="s">
        <v>22</v>
      </c>
      <c r="B116" s="104" t="s">
        <v>35</v>
      </c>
      <c r="C116" s="114"/>
      <c r="D116" s="114"/>
      <c r="E116" s="114"/>
      <c r="F116" s="114"/>
      <c r="G116" s="114"/>
      <c r="H116" s="104">
        <v>40201</v>
      </c>
      <c r="I116" s="104">
        <v>4</v>
      </c>
      <c r="J116" s="104">
        <v>3</v>
      </c>
      <c r="K116" s="104">
        <v>0</v>
      </c>
      <c r="L116" s="104">
        <v>3</v>
      </c>
      <c r="M116" s="104">
        <v>0.982</v>
      </c>
      <c r="N116" s="104" t="s">
        <v>24</v>
      </c>
      <c r="O116" s="104" t="s">
        <v>25</v>
      </c>
      <c r="P116" s="104" t="s">
        <v>271</v>
      </c>
      <c r="Q116" s="104">
        <v>46114.4868055556</v>
      </c>
      <c r="R116" s="104">
        <v>46114.4868055556</v>
      </c>
      <c r="S116" s="104">
        <v>46114.5708333333</v>
      </c>
      <c r="T116" s="104" t="s">
        <v>279</v>
      </c>
    </row>
    <row r="117" s="102" customFormat="1" ht="15" spans="1:20">
      <c r="A117" s="104" t="s">
        <v>22</v>
      </c>
      <c r="B117" s="104" t="s">
        <v>67</v>
      </c>
      <c r="C117" s="104" t="s">
        <v>284</v>
      </c>
      <c r="D117" s="104" t="s">
        <v>69</v>
      </c>
      <c r="E117" s="114"/>
      <c r="F117" s="114"/>
      <c r="G117" s="114"/>
      <c r="H117" s="104">
        <v>4020001</v>
      </c>
      <c r="I117" s="104">
        <v>1308</v>
      </c>
      <c r="J117" s="104">
        <v>274</v>
      </c>
      <c r="K117" s="104">
        <v>0</v>
      </c>
      <c r="L117" s="104">
        <v>274</v>
      </c>
      <c r="M117" s="104">
        <v>748.863</v>
      </c>
      <c r="N117" s="104" t="s">
        <v>24</v>
      </c>
      <c r="O117" s="104" t="s">
        <v>70</v>
      </c>
      <c r="P117" s="104" t="s">
        <v>271</v>
      </c>
      <c r="Q117" s="104">
        <v>46114.4888888889</v>
      </c>
      <c r="R117" s="104">
        <v>46114.4888888889</v>
      </c>
      <c r="S117" s="104">
        <v>46114.5715277778</v>
      </c>
      <c r="T117" s="104" t="s">
        <v>285</v>
      </c>
    </row>
    <row r="118" s="102" customFormat="1" ht="15" spans="1:20">
      <c r="A118" s="104" t="s">
        <v>22</v>
      </c>
      <c r="B118" s="104" t="s">
        <v>127</v>
      </c>
      <c r="C118" s="114"/>
      <c r="D118" s="104" t="s">
        <v>29</v>
      </c>
      <c r="E118" s="114"/>
      <c r="F118" s="114"/>
      <c r="G118" s="114"/>
      <c r="H118" s="104">
        <v>4021849</v>
      </c>
      <c r="I118" s="104">
        <v>138</v>
      </c>
      <c r="J118" s="104">
        <v>8</v>
      </c>
      <c r="K118" s="104">
        <v>0</v>
      </c>
      <c r="L118" s="104">
        <v>8</v>
      </c>
      <c r="M118" s="104">
        <v>13.395</v>
      </c>
      <c r="N118" s="104" t="s">
        <v>24</v>
      </c>
      <c r="O118" s="104" t="s">
        <v>25</v>
      </c>
      <c r="P118" s="104" t="s">
        <v>271</v>
      </c>
      <c r="Q118" s="104">
        <v>46114.4895833333</v>
      </c>
      <c r="R118" s="104">
        <v>46114.4895833333</v>
      </c>
      <c r="S118" s="104">
        <v>46114.5722222222</v>
      </c>
      <c r="T118" s="104" t="s">
        <v>285</v>
      </c>
    </row>
    <row r="119" s="102" customFormat="1" ht="15" spans="1:20">
      <c r="A119" s="104" t="s">
        <v>22</v>
      </c>
      <c r="B119" s="104" t="s">
        <v>49</v>
      </c>
      <c r="C119" s="104" t="s">
        <v>286</v>
      </c>
      <c r="D119" s="104" t="s">
        <v>51</v>
      </c>
      <c r="E119" s="114"/>
      <c r="F119" s="114"/>
      <c r="G119" s="114"/>
      <c r="H119" s="104">
        <v>4020001</v>
      </c>
      <c r="I119" s="104">
        <v>30</v>
      </c>
      <c r="J119" s="104">
        <v>15</v>
      </c>
      <c r="K119" s="104">
        <v>10</v>
      </c>
      <c r="L119" s="104">
        <v>5</v>
      </c>
      <c r="M119" s="104">
        <v>59.076</v>
      </c>
      <c r="N119" s="104" t="s">
        <v>24</v>
      </c>
      <c r="O119" s="104" t="s">
        <v>25</v>
      </c>
      <c r="P119" s="104" t="s">
        <v>271</v>
      </c>
      <c r="Q119" s="104">
        <v>46114.4798611111</v>
      </c>
      <c r="R119" s="104">
        <v>46114.4895833333</v>
      </c>
      <c r="S119" s="104">
        <v>46114.5729166667</v>
      </c>
      <c r="T119" s="104" t="s">
        <v>287</v>
      </c>
    </row>
    <row r="120" s="102" customFormat="1" ht="15" spans="1:20">
      <c r="A120" s="104" t="s">
        <v>22</v>
      </c>
      <c r="B120" s="104" t="s">
        <v>39</v>
      </c>
      <c r="C120" s="104" t="s">
        <v>288</v>
      </c>
      <c r="D120" s="104" t="s">
        <v>41</v>
      </c>
      <c r="E120" s="114"/>
      <c r="F120" s="114"/>
      <c r="G120" s="114"/>
      <c r="H120" s="104">
        <v>4020001</v>
      </c>
      <c r="I120" s="104">
        <v>301</v>
      </c>
      <c r="J120" s="104">
        <v>14</v>
      </c>
      <c r="K120" s="104">
        <v>13</v>
      </c>
      <c r="L120" s="104">
        <v>1</v>
      </c>
      <c r="M120" s="104">
        <v>184.582</v>
      </c>
      <c r="N120" s="104" t="s">
        <v>24</v>
      </c>
      <c r="O120" s="104" t="s">
        <v>25</v>
      </c>
      <c r="P120" s="104" t="s">
        <v>271</v>
      </c>
      <c r="Q120" s="104">
        <v>46114.475</v>
      </c>
      <c r="R120" s="104">
        <v>46114.4895833333</v>
      </c>
      <c r="S120" s="104">
        <v>46114.5729166667</v>
      </c>
      <c r="T120" s="104" t="s">
        <v>287</v>
      </c>
    </row>
    <row r="121" s="102" customFormat="1" ht="15" spans="1:20">
      <c r="A121" s="104" t="s">
        <v>22</v>
      </c>
      <c r="B121" s="104" t="s">
        <v>172</v>
      </c>
      <c r="C121" s="104" t="s">
        <v>289</v>
      </c>
      <c r="D121" s="104" t="s">
        <v>174</v>
      </c>
      <c r="E121" s="114"/>
      <c r="F121" s="114"/>
      <c r="G121" s="114"/>
      <c r="H121" s="104">
        <v>4020001</v>
      </c>
      <c r="I121" s="104">
        <v>53</v>
      </c>
      <c r="J121" s="104">
        <v>18</v>
      </c>
      <c r="K121" s="104">
        <v>1</v>
      </c>
      <c r="L121" s="104">
        <v>17</v>
      </c>
      <c r="M121" s="104">
        <v>99.23</v>
      </c>
      <c r="N121" s="104" t="s">
        <v>24</v>
      </c>
      <c r="O121" s="104" t="s">
        <v>25</v>
      </c>
      <c r="P121" s="104" t="s">
        <v>271</v>
      </c>
      <c r="Q121" s="104">
        <v>46114.4923611111</v>
      </c>
      <c r="R121" s="104">
        <v>46114.4923611111</v>
      </c>
      <c r="S121" s="104">
        <v>46114.5729166667</v>
      </c>
      <c r="T121" s="104" t="s">
        <v>290</v>
      </c>
    </row>
    <row r="122" s="102" customFormat="1" ht="15" spans="1:20">
      <c r="A122" s="104" t="s">
        <v>22</v>
      </c>
      <c r="B122" s="104" t="s">
        <v>63</v>
      </c>
      <c r="C122" s="104" t="s">
        <v>291</v>
      </c>
      <c r="D122" s="104" t="s">
        <v>65</v>
      </c>
      <c r="E122" s="114"/>
      <c r="F122" s="114"/>
      <c r="G122" s="114"/>
      <c r="H122" s="104">
        <v>4020001</v>
      </c>
      <c r="I122" s="104">
        <v>1225</v>
      </c>
      <c r="J122" s="104">
        <v>1221</v>
      </c>
      <c r="K122" s="104">
        <v>32</v>
      </c>
      <c r="L122" s="104">
        <v>1189</v>
      </c>
      <c r="M122" s="104">
        <v>1493.973</v>
      </c>
      <c r="N122" s="104" t="s">
        <v>24</v>
      </c>
      <c r="O122" s="104" t="s">
        <v>25</v>
      </c>
      <c r="P122" s="104" t="s">
        <v>271</v>
      </c>
      <c r="Q122" s="104">
        <v>46114.49375</v>
      </c>
      <c r="R122" s="104">
        <v>46114.4958333333</v>
      </c>
      <c r="S122" s="104">
        <v>46114.5729166667</v>
      </c>
      <c r="T122" s="104" t="s">
        <v>80</v>
      </c>
    </row>
    <row r="123" s="102" customFormat="1" ht="15" spans="1:20">
      <c r="A123" s="104" t="s">
        <v>22</v>
      </c>
      <c r="B123" s="104" t="s">
        <v>168</v>
      </c>
      <c r="C123" s="104" t="s">
        <v>292</v>
      </c>
      <c r="D123" s="104" t="s">
        <v>293</v>
      </c>
      <c r="E123" s="114"/>
      <c r="F123" s="114"/>
      <c r="G123" s="114"/>
      <c r="H123" s="104">
        <v>4020001</v>
      </c>
      <c r="I123" s="104">
        <v>393</v>
      </c>
      <c r="J123" s="104">
        <v>279</v>
      </c>
      <c r="K123" s="104">
        <v>15</v>
      </c>
      <c r="L123" s="104">
        <v>264</v>
      </c>
      <c r="M123" s="104">
        <v>359.211</v>
      </c>
      <c r="N123" s="104" t="s">
        <v>24</v>
      </c>
      <c r="O123" s="104" t="s">
        <v>25</v>
      </c>
      <c r="P123" s="104" t="s">
        <v>271</v>
      </c>
      <c r="Q123" s="104">
        <v>46114.4972222222</v>
      </c>
      <c r="R123" s="104">
        <v>46114.4986111111</v>
      </c>
      <c r="S123" s="104">
        <v>46114.5729166667</v>
      </c>
      <c r="T123" s="104" t="s">
        <v>294</v>
      </c>
    </row>
    <row r="124" s="102" customFormat="1" ht="15" spans="1:20">
      <c r="A124" s="104" t="s">
        <v>22</v>
      </c>
      <c r="B124" s="104" t="s">
        <v>57</v>
      </c>
      <c r="C124" s="104" t="s">
        <v>295</v>
      </c>
      <c r="D124" s="104" t="s">
        <v>214</v>
      </c>
      <c r="E124" s="114"/>
      <c r="F124" s="114"/>
      <c r="G124" s="114"/>
      <c r="H124" s="104">
        <v>4020001</v>
      </c>
      <c r="I124" s="104">
        <v>47</v>
      </c>
      <c r="J124" s="104">
        <v>40</v>
      </c>
      <c r="K124" s="104">
        <v>5</v>
      </c>
      <c r="L124" s="104">
        <v>35</v>
      </c>
      <c r="M124" s="104">
        <v>34.679</v>
      </c>
      <c r="N124" s="104" t="s">
        <v>24</v>
      </c>
      <c r="O124" s="104" t="s">
        <v>25</v>
      </c>
      <c r="P124" s="104" t="s">
        <v>271</v>
      </c>
      <c r="Q124" s="104">
        <v>46114.4979166667</v>
      </c>
      <c r="R124" s="104">
        <v>46114.4993055556</v>
      </c>
      <c r="S124" s="104">
        <v>46114.5736111111</v>
      </c>
      <c r="T124" s="104" t="s">
        <v>294</v>
      </c>
    </row>
    <row r="125" s="102" customFormat="1" ht="15" spans="1:20">
      <c r="A125" s="104" t="s">
        <v>22</v>
      </c>
      <c r="B125" s="104" t="s">
        <v>180</v>
      </c>
      <c r="C125" s="104" t="s">
        <v>296</v>
      </c>
      <c r="D125" s="104" t="s">
        <v>297</v>
      </c>
      <c r="E125" s="114"/>
      <c r="F125" s="114"/>
      <c r="G125" s="114"/>
      <c r="H125" s="104">
        <v>4020002</v>
      </c>
      <c r="I125" s="104">
        <v>577</v>
      </c>
      <c r="J125" s="104">
        <v>573</v>
      </c>
      <c r="K125" s="104">
        <v>35</v>
      </c>
      <c r="L125" s="104">
        <v>538</v>
      </c>
      <c r="M125" s="104">
        <v>1254.529</v>
      </c>
      <c r="N125" s="104" t="s">
        <v>24</v>
      </c>
      <c r="O125" s="104" t="s">
        <v>25</v>
      </c>
      <c r="P125" s="104" t="s">
        <v>271</v>
      </c>
      <c r="Q125" s="104">
        <v>46114.5020833333</v>
      </c>
      <c r="R125" s="104">
        <v>46114.5020833333</v>
      </c>
      <c r="S125" s="104">
        <v>46114.5736111111</v>
      </c>
      <c r="T125" s="104" t="s">
        <v>171</v>
      </c>
    </row>
    <row r="126" s="102" customFormat="1" ht="15" spans="1:20">
      <c r="A126" s="104" t="s">
        <v>22</v>
      </c>
      <c r="B126" s="104" t="s">
        <v>232</v>
      </c>
      <c r="C126" s="104" t="s">
        <v>298</v>
      </c>
      <c r="D126" s="104" t="s">
        <v>65</v>
      </c>
      <c r="E126" s="114"/>
      <c r="F126" s="114"/>
      <c r="G126" s="114"/>
      <c r="H126" s="104">
        <v>4010001</v>
      </c>
      <c r="I126" s="104">
        <v>2997</v>
      </c>
      <c r="J126" s="104">
        <v>2228</v>
      </c>
      <c r="K126" s="104">
        <v>119</v>
      </c>
      <c r="L126" s="104">
        <v>2109</v>
      </c>
      <c r="M126" s="104">
        <v>2958.578</v>
      </c>
      <c r="N126" s="104" t="s">
        <v>24</v>
      </c>
      <c r="O126" s="104" t="s">
        <v>25</v>
      </c>
      <c r="P126" s="104" t="s">
        <v>26</v>
      </c>
      <c r="Q126" s="104">
        <v>46113.8111111111</v>
      </c>
      <c r="R126" s="104">
        <v>46113.8131944444</v>
      </c>
      <c r="S126" s="104">
        <v>46114.0027777778</v>
      </c>
      <c r="T126" s="104" t="s">
        <v>269</v>
      </c>
    </row>
    <row r="127" s="102" customFormat="1" ht="15" spans="1:20">
      <c r="A127" s="104" t="s">
        <v>22</v>
      </c>
      <c r="B127" s="104" t="s">
        <v>299</v>
      </c>
      <c r="C127" s="104" t="s">
        <v>300</v>
      </c>
      <c r="D127" s="104" t="s">
        <v>174</v>
      </c>
      <c r="E127" s="114"/>
      <c r="F127" s="114"/>
      <c r="G127" s="114"/>
      <c r="H127" s="104">
        <v>4010001</v>
      </c>
      <c r="I127" s="104">
        <v>5</v>
      </c>
      <c r="J127" s="104">
        <v>5</v>
      </c>
      <c r="K127" s="104">
        <v>0</v>
      </c>
      <c r="L127" s="104">
        <v>5</v>
      </c>
      <c r="M127" s="104">
        <v>1.68</v>
      </c>
      <c r="N127" s="104" t="s">
        <v>24</v>
      </c>
      <c r="O127" s="104" t="s">
        <v>25</v>
      </c>
      <c r="P127" s="104" t="s">
        <v>26</v>
      </c>
      <c r="Q127" s="104">
        <v>46113.8145833333</v>
      </c>
      <c r="R127" s="104">
        <v>46113.8159722222</v>
      </c>
      <c r="S127" s="104">
        <v>46114.0041666667</v>
      </c>
      <c r="T127" s="104" t="s">
        <v>301</v>
      </c>
    </row>
    <row r="128" s="102" customFormat="1" ht="15" spans="1:20">
      <c r="A128" s="104" t="s">
        <v>22</v>
      </c>
      <c r="B128" s="104" t="s">
        <v>302</v>
      </c>
      <c r="C128" s="104" t="s">
        <v>303</v>
      </c>
      <c r="D128" s="104" t="s">
        <v>74</v>
      </c>
      <c r="E128" s="114"/>
      <c r="F128" s="114"/>
      <c r="G128" s="114"/>
      <c r="H128" s="104">
        <v>4010001</v>
      </c>
      <c r="I128" s="104">
        <v>1886</v>
      </c>
      <c r="J128" s="104">
        <v>1834</v>
      </c>
      <c r="K128" s="104">
        <v>13</v>
      </c>
      <c r="L128" s="104">
        <v>1821</v>
      </c>
      <c r="M128" s="104">
        <v>1951.506</v>
      </c>
      <c r="N128" s="104" t="s">
        <v>24</v>
      </c>
      <c r="O128" s="104" t="s">
        <v>25</v>
      </c>
      <c r="P128" s="104" t="s">
        <v>26</v>
      </c>
      <c r="Q128" s="104">
        <v>46113.8152777778</v>
      </c>
      <c r="R128" s="104">
        <v>46113.8159722222</v>
      </c>
      <c r="S128" s="104">
        <v>46114.0041666667</v>
      </c>
      <c r="T128" s="104" t="s">
        <v>304</v>
      </c>
    </row>
    <row r="129" s="102" customFormat="1" ht="15" spans="1:20">
      <c r="A129" s="104" t="s">
        <v>22</v>
      </c>
      <c r="B129" s="104" t="s">
        <v>305</v>
      </c>
      <c r="C129" s="104" t="s">
        <v>306</v>
      </c>
      <c r="D129" s="104" t="s">
        <v>307</v>
      </c>
      <c r="E129" s="114"/>
      <c r="F129" s="114"/>
      <c r="G129" s="114"/>
      <c r="H129" s="104">
        <v>4010001</v>
      </c>
      <c r="I129" s="104">
        <v>1017</v>
      </c>
      <c r="J129" s="104">
        <v>927</v>
      </c>
      <c r="K129" s="104">
        <v>2</v>
      </c>
      <c r="L129" s="104">
        <v>925</v>
      </c>
      <c r="M129" s="104">
        <v>887.655</v>
      </c>
      <c r="N129" s="104" t="s">
        <v>24</v>
      </c>
      <c r="O129" s="104" t="s">
        <v>25</v>
      </c>
      <c r="P129" s="104" t="s">
        <v>26</v>
      </c>
      <c r="Q129" s="104">
        <v>46113.8152777778</v>
      </c>
      <c r="R129" s="104">
        <v>46113.8166666667</v>
      </c>
      <c r="S129" s="104">
        <v>46114.0034722222</v>
      </c>
      <c r="T129" s="104" t="s">
        <v>308</v>
      </c>
    </row>
    <row r="130" s="102" customFormat="1" ht="15" spans="1:20">
      <c r="A130" s="104" t="s">
        <v>22</v>
      </c>
      <c r="B130" s="104" t="s">
        <v>261</v>
      </c>
      <c r="C130" s="104" t="s">
        <v>309</v>
      </c>
      <c r="D130" s="104" t="s">
        <v>44</v>
      </c>
      <c r="E130" s="114"/>
      <c r="F130" s="114"/>
      <c r="G130" s="104">
        <v>25646625500071</v>
      </c>
      <c r="H130" s="104">
        <v>4010001</v>
      </c>
      <c r="I130" s="104">
        <v>2168</v>
      </c>
      <c r="J130" s="104">
        <v>1949</v>
      </c>
      <c r="K130" s="104">
        <v>6</v>
      </c>
      <c r="L130" s="104">
        <v>1943</v>
      </c>
      <c r="M130" s="104">
        <v>3185.606</v>
      </c>
      <c r="N130" s="104" t="s">
        <v>24</v>
      </c>
      <c r="O130" s="104" t="s">
        <v>25</v>
      </c>
      <c r="P130" s="104" t="s">
        <v>26</v>
      </c>
      <c r="Q130" s="104">
        <v>46113.8180555556</v>
      </c>
      <c r="R130" s="104">
        <v>46113.8229166667</v>
      </c>
      <c r="S130" s="104">
        <v>46114.0027777778</v>
      </c>
      <c r="T130" s="104" t="s">
        <v>310</v>
      </c>
    </row>
    <row r="131" s="102" customFormat="1" ht="15" spans="1:20">
      <c r="A131" s="104" t="s">
        <v>22</v>
      </c>
      <c r="B131" s="104" t="s">
        <v>311</v>
      </c>
      <c r="C131" s="104" t="s">
        <v>312</v>
      </c>
      <c r="D131" s="104" t="s">
        <v>51</v>
      </c>
      <c r="E131" s="114"/>
      <c r="F131" s="114"/>
      <c r="G131" s="104">
        <v>25500099202506</v>
      </c>
      <c r="H131" s="104">
        <v>4010001</v>
      </c>
      <c r="I131" s="104">
        <v>833</v>
      </c>
      <c r="J131" s="104">
        <v>817</v>
      </c>
      <c r="K131" s="104">
        <v>3</v>
      </c>
      <c r="L131" s="104">
        <v>814</v>
      </c>
      <c r="M131" s="104">
        <v>1137.888</v>
      </c>
      <c r="N131" s="104" t="s">
        <v>24</v>
      </c>
      <c r="O131" s="104" t="s">
        <v>25</v>
      </c>
      <c r="P131" s="104" t="s">
        <v>26</v>
      </c>
      <c r="Q131" s="104">
        <v>46113.8180555556</v>
      </c>
      <c r="R131" s="104">
        <v>46113.8229166667</v>
      </c>
      <c r="S131" s="104">
        <v>46114.0048611111</v>
      </c>
      <c r="T131" s="104" t="s">
        <v>313</v>
      </c>
    </row>
    <row r="132" s="102" customFormat="1" ht="15" spans="1:20">
      <c r="A132" s="104" t="s">
        <v>22</v>
      </c>
      <c r="B132" s="104" t="s">
        <v>314</v>
      </c>
      <c r="C132" s="104" t="s">
        <v>315</v>
      </c>
      <c r="D132" s="104" t="s">
        <v>170</v>
      </c>
      <c r="E132" s="114"/>
      <c r="F132" s="114"/>
      <c r="G132" s="114"/>
      <c r="H132" s="104">
        <v>4010001</v>
      </c>
      <c r="I132" s="104">
        <v>100</v>
      </c>
      <c r="J132" s="104">
        <v>15</v>
      </c>
      <c r="K132" s="104">
        <v>10</v>
      </c>
      <c r="L132" s="104">
        <v>5</v>
      </c>
      <c r="M132" s="104">
        <v>36.295</v>
      </c>
      <c r="N132" s="104" t="s">
        <v>24</v>
      </c>
      <c r="O132" s="104" t="s">
        <v>25</v>
      </c>
      <c r="P132" s="104" t="s">
        <v>26</v>
      </c>
      <c r="Q132" s="104">
        <v>46113.8208333333</v>
      </c>
      <c r="R132" s="104">
        <v>46113.8229166667</v>
      </c>
      <c r="S132" s="104">
        <v>46114.0041666667</v>
      </c>
      <c r="T132" s="104" t="s">
        <v>316</v>
      </c>
    </row>
    <row r="133" s="102" customFormat="1" ht="15" spans="1:20">
      <c r="A133" s="104" t="s">
        <v>22</v>
      </c>
      <c r="B133" s="104" t="s">
        <v>212</v>
      </c>
      <c r="C133" s="104" t="s">
        <v>317</v>
      </c>
      <c r="D133" s="104" t="s">
        <v>59</v>
      </c>
      <c r="E133" s="114"/>
      <c r="F133" s="104" t="s">
        <v>61</v>
      </c>
      <c r="G133" s="114"/>
      <c r="H133" s="104">
        <v>4010001</v>
      </c>
      <c r="I133" s="104">
        <v>1572</v>
      </c>
      <c r="J133" s="104">
        <v>1572</v>
      </c>
      <c r="K133" s="104">
        <v>136</v>
      </c>
      <c r="L133" s="104">
        <v>1436</v>
      </c>
      <c r="M133" s="104">
        <v>2409.053</v>
      </c>
      <c r="N133" s="104" t="s">
        <v>24</v>
      </c>
      <c r="O133" s="104" t="s">
        <v>25</v>
      </c>
      <c r="P133" s="104" t="s">
        <v>26</v>
      </c>
      <c r="Q133" s="104">
        <v>46113.8215277778</v>
      </c>
      <c r="R133" s="104">
        <v>46113.8229166667</v>
      </c>
      <c r="S133" s="104">
        <v>46114.0027777778</v>
      </c>
      <c r="T133" s="104" t="s">
        <v>318</v>
      </c>
    </row>
    <row r="134" s="102" customFormat="1" ht="15" spans="1:20">
      <c r="A134" s="104" t="s">
        <v>22</v>
      </c>
      <c r="B134" s="104" t="s">
        <v>319</v>
      </c>
      <c r="C134" s="104" t="s">
        <v>320</v>
      </c>
      <c r="D134" s="104" t="s">
        <v>321</v>
      </c>
      <c r="E134" s="114"/>
      <c r="F134" s="114"/>
      <c r="G134" s="114"/>
      <c r="H134" s="104">
        <v>4010001</v>
      </c>
      <c r="I134" s="104">
        <v>488</v>
      </c>
      <c r="J134" s="104">
        <v>268</v>
      </c>
      <c r="K134" s="104">
        <v>5</v>
      </c>
      <c r="L134" s="104">
        <v>263</v>
      </c>
      <c r="M134" s="104">
        <v>468.958</v>
      </c>
      <c r="N134" s="104" t="s">
        <v>24</v>
      </c>
      <c r="O134" s="104" t="s">
        <v>25</v>
      </c>
      <c r="P134" s="104" t="s">
        <v>26</v>
      </c>
      <c r="Q134" s="104">
        <v>46113.8284722222</v>
      </c>
      <c r="R134" s="104">
        <v>46113.8298611111</v>
      </c>
      <c r="S134" s="104">
        <v>46114.0034722222</v>
      </c>
      <c r="T134" s="104" t="s">
        <v>322</v>
      </c>
    </row>
    <row r="135" s="102" customFormat="1" ht="15" spans="1:20">
      <c r="A135" s="104" t="s">
        <v>22</v>
      </c>
      <c r="B135" s="104" t="s">
        <v>164</v>
      </c>
      <c r="C135" s="104" t="s">
        <v>323</v>
      </c>
      <c r="D135" s="104" t="s">
        <v>166</v>
      </c>
      <c r="E135" s="114"/>
      <c r="F135" s="114"/>
      <c r="G135" s="114"/>
      <c r="H135" s="104">
        <v>4010003</v>
      </c>
      <c r="I135" s="104">
        <v>961</v>
      </c>
      <c r="J135" s="104">
        <v>961</v>
      </c>
      <c r="K135" s="104">
        <v>0</v>
      </c>
      <c r="L135" s="104">
        <v>961</v>
      </c>
      <c r="M135" s="104">
        <v>1588.779</v>
      </c>
      <c r="N135" s="104" t="s">
        <v>24</v>
      </c>
      <c r="O135" s="104" t="s">
        <v>25</v>
      </c>
      <c r="P135" s="104" t="s">
        <v>26</v>
      </c>
      <c r="Q135" s="104">
        <v>46113.8118055556</v>
      </c>
      <c r="R135" s="104">
        <v>46113.8305555556</v>
      </c>
      <c r="S135" s="104">
        <v>46114.0041666667</v>
      </c>
      <c r="T135" s="104" t="s">
        <v>322</v>
      </c>
    </row>
    <row r="136" s="102" customFormat="1" ht="15" spans="1:20">
      <c r="A136" s="104" t="s">
        <v>22</v>
      </c>
      <c r="B136" s="104" t="s">
        <v>324</v>
      </c>
      <c r="C136" s="104" t="s">
        <v>325</v>
      </c>
      <c r="D136" s="104" t="s">
        <v>326</v>
      </c>
      <c r="E136" s="114"/>
      <c r="F136" s="114"/>
      <c r="G136" s="114"/>
      <c r="H136" s="104">
        <v>4010001</v>
      </c>
      <c r="I136" s="104">
        <v>3647</v>
      </c>
      <c r="J136" s="104">
        <v>2924</v>
      </c>
      <c r="K136" s="104">
        <v>779</v>
      </c>
      <c r="L136" s="104">
        <v>2145</v>
      </c>
      <c r="M136" s="104">
        <v>3483.846</v>
      </c>
      <c r="N136" s="104" t="s">
        <v>24</v>
      </c>
      <c r="O136" s="104" t="s">
        <v>25</v>
      </c>
      <c r="P136" s="104" t="s">
        <v>26</v>
      </c>
      <c r="Q136" s="104">
        <v>46113.8305555556</v>
      </c>
      <c r="R136" s="104">
        <v>46113.8354166667</v>
      </c>
      <c r="S136" s="104">
        <v>46114.0048611111</v>
      </c>
      <c r="T136" s="104" t="s">
        <v>327</v>
      </c>
    </row>
    <row r="137" s="102" customFormat="1" ht="15" spans="1:20">
      <c r="A137" s="104" t="s">
        <v>22</v>
      </c>
      <c r="B137" s="104" t="s">
        <v>223</v>
      </c>
      <c r="C137" s="104" t="s">
        <v>328</v>
      </c>
      <c r="D137" s="104" t="s">
        <v>329</v>
      </c>
      <c r="E137" s="114"/>
      <c r="F137" s="114"/>
      <c r="G137" s="104" t="s">
        <v>330</v>
      </c>
      <c r="H137" s="104">
        <v>4010001</v>
      </c>
      <c r="I137" s="104">
        <v>190</v>
      </c>
      <c r="J137" s="104">
        <v>190</v>
      </c>
      <c r="K137" s="104">
        <v>10</v>
      </c>
      <c r="L137" s="104">
        <v>180</v>
      </c>
      <c r="M137" s="104">
        <v>55.758</v>
      </c>
      <c r="N137" s="104" t="s">
        <v>24</v>
      </c>
      <c r="O137" s="104" t="s">
        <v>25</v>
      </c>
      <c r="P137" s="104" t="s">
        <v>26</v>
      </c>
      <c r="Q137" s="104">
        <v>46113.8375</v>
      </c>
      <c r="R137" s="104">
        <v>46113.8409722222</v>
      </c>
      <c r="S137" s="104">
        <v>46114.0034722222</v>
      </c>
      <c r="T137" s="104" t="s">
        <v>331</v>
      </c>
    </row>
    <row r="138" s="102" customFormat="1" ht="15" spans="1:20">
      <c r="A138" s="104" t="s">
        <v>22</v>
      </c>
      <c r="B138" s="104" t="s">
        <v>332</v>
      </c>
      <c r="C138" s="104" t="s">
        <v>333</v>
      </c>
      <c r="D138" s="104" t="s">
        <v>334</v>
      </c>
      <c r="E138" s="114"/>
      <c r="F138" s="114"/>
      <c r="G138" s="114"/>
      <c r="H138" s="104">
        <v>4010001</v>
      </c>
      <c r="I138" s="104">
        <v>4032</v>
      </c>
      <c r="J138" s="104">
        <v>3788</v>
      </c>
      <c r="K138" s="104">
        <v>9</v>
      </c>
      <c r="L138" s="104">
        <v>3766</v>
      </c>
      <c r="M138" s="104">
        <v>2543.093</v>
      </c>
      <c r="N138" s="104" t="s">
        <v>24</v>
      </c>
      <c r="O138" s="104" t="s">
        <v>25</v>
      </c>
      <c r="P138" s="104" t="s">
        <v>26</v>
      </c>
      <c r="Q138" s="104">
        <v>46113.8347222222</v>
      </c>
      <c r="R138" s="104">
        <v>46113.8444444444</v>
      </c>
      <c r="S138" s="104">
        <v>46114.0034722222</v>
      </c>
      <c r="T138" s="104" t="s">
        <v>335</v>
      </c>
    </row>
    <row r="139" s="102" customFormat="1" ht="15" spans="1:20">
      <c r="A139" s="104" t="s">
        <v>22</v>
      </c>
      <c r="B139" s="104" t="s">
        <v>336</v>
      </c>
      <c r="C139" s="104" t="s">
        <v>337</v>
      </c>
      <c r="D139" s="104" t="s">
        <v>190</v>
      </c>
      <c r="E139" s="114"/>
      <c r="F139" s="114"/>
      <c r="G139" s="114"/>
      <c r="H139" s="104">
        <v>4010001</v>
      </c>
      <c r="I139" s="104">
        <v>7061</v>
      </c>
      <c r="J139" s="104">
        <v>7061</v>
      </c>
      <c r="K139" s="104">
        <v>8</v>
      </c>
      <c r="L139" s="104">
        <v>7053</v>
      </c>
      <c r="M139" s="104">
        <v>6787.79</v>
      </c>
      <c r="N139" s="104" t="s">
        <v>24</v>
      </c>
      <c r="O139" s="104" t="s">
        <v>25</v>
      </c>
      <c r="P139" s="104" t="s">
        <v>26</v>
      </c>
      <c r="Q139" s="104">
        <v>46113.8402777778</v>
      </c>
      <c r="R139" s="104">
        <v>46113.8444444444</v>
      </c>
      <c r="S139" s="104">
        <v>46114.0027777778</v>
      </c>
      <c r="T139" s="104" t="s">
        <v>338</v>
      </c>
    </row>
    <row r="140" s="102" customFormat="1" ht="15" spans="1:20">
      <c r="A140" s="104" t="s">
        <v>22</v>
      </c>
      <c r="B140" s="104" t="s">
        <v>229</v>
      </c>
      <c r="C140" s="104" t="s">
        <v>339</v>
      </c>
      <c r="D140" s="104" t="s">
        <v>340</v>
      </c>
      <c r="E140" s="114"/>
      <c r="F140" s="114"/>
      <c r="G140" s="114"/>
      <c r="H140" s="104">
        <v>4010003</v>
      </c>
      <c r="I140" s="104">
        <v>2569</v>
      </c>
      <c r="J140" s="104">
        <v>2569</v>
      </c>
      <c r="K140" s="104">
        <v>1948</v>
      </c>
      <c r="L140" s="104">
        <v>621</v>
      </c>
      <c r="M140" s="104">
        <v>2948.9</v>
      </c>
      <c r="N140" s="104" t="s">
        <v>24</v>
      </c>
      <c r="O140" s="104" t="s">
        <v>25</v>
      </c>
      <c r="P140" s="104" t="s">
        <v>26</v>
      </c>
      <c r="Q140" s="104">
        <v>46113.8486111111</v>
      </c>
      <c r="R140" s="104">
        <v>46113.9034722222</v>
      </c>
      <c r="S140" s="104">
        <v>46114.0027777778</v>
      </c>
      <c r="T140" s="104" t="s">
        <v>32</v>
      </c>
    </row>
    <row r="141" s="102" customFormat="1" ht="15" spans="1:20">
      <c r="A141" s="104" t="s">
        <v>22</v>
      </c>
      <c r="B141" s="104" t="s">
        <v>127</v>
      </c>
      <c r="C141" s="114"/>
      <c r="D141" s="104" t="s">
        <v>29</v>
      </c>
      <c r="E141" s="114"/>
      <c r="F141" s="114"/>
      <c r="G141" s="114"/>
      <c r="H141" s="104">
        <v>4011846</v>
      </c>
      <c r="I141" s="104">
        <v>0</v>
      </c>
      <c r="J141" s="104">
        <v>1</v>
      </c>
      <c r="K141" s="104">
        <v>0</v>
      </c>
      <c r="L141" s="104">
        <v>1</v>
      </c>
      <c r="M141" s="104">
        <v>0</v>
      </c>
      <c r="N141" s="104" t="s">
        <v>24</v>
      </c>
      <c r="O141" s="104" t="s">
        <v>25</v>
      </c>
      <c r="P141" s="104" t="s">
        <v>26</v>
      </c>
      <c r="Q141" s="104">
        <v>46113.9083333333</v>
      </c>
      <c r="R141" s="104">
        <v>46113.9083333333</v>
      </c>
      <c r="S141" s="104">
        <v>46115.2458333333</v>
      </c>
      <c r="T141" s="104" t="s">
        <v>341</v>
      </c>
    </row>
    <row r="142" s="102" customFormat="1" ht="15" spans="1:20">
      <c r="A142" s="104" t="s">
        <v>22</v>
      </c>
      <c r="B142" s="104" t="s">
        <v>342</v>
      </c>
      <c r="C142" s="104" t="s">
        <v>343</v>
      </c>
      <c r="D142" s="104" t="s">
        <v>344</v>
      </c>
      <c r="E142" s="104" t="s">
        <v>345</v>
      </c>
      <c r="F142" s="104" t="s">
        <v>346</v>
      </c>
      <c r="G142" s="114"/>
      <c r="H142" s="104">
        <v>4010001</v>
      </c>
      <c r="I142" s="104">
        <v>18775</v>
      </c>
      <c r="J142" s="104">
        <v>3636</v>
      </c>
      <c r="K142" s="104">
        <v>7</v>
      </c>
      <c r="L142" s="104">
        <v>3629</v>
      </c>
      <c r="M142" s="104">
        <v>12903.366</v>
      </c>
      <c r="N142" s="104" t="s">
        <v>24</v>
      </c>
      <c r="O142" s="104" t="s">
        <v>70</v>
      </c>
      <c r="P142" s="104" t="s">
        <v>26</v>
      </c>
      <c r="Q142" s="104">
        <v>46113.6986111111</v>
      </c>
      <c r="R142" s="104">
        <v>46113.9368055556</v>
      </c>
      <c r="S142" s="104">
        <v>46113.99375</v>
      </c>
      <c r="T142" s="104" t="s">
        <v>281</v>
      </c>
    </row>
    <row r="143" s="102" customFormat="1" ht="15" spans="1:20">
      <c r="A143" s="104" t="s">
        <v>22</v>
      </c>
      <c r="B143" s="104" t="s">
        <v>101</v>
      </c>
      <c r="C143" s="104" t="s">
        <v>347</v>
      </c>
      <c r="D143" s="104" t="s">
        <v>348</v>
      </c>
      <c r="E143" s="104" t="s">
        <v>349</v>
      </c>
      <c r="F143" s="104" t="s">
        <v>350</v>
      </c>
      <c r="G143" s="114"/>
      <c r="H143" s="104">
        <v>4010001</v>
      </c>
      <c r="I143" s="104">
        <v>22613</v>
      </c>
      <c r="J143" s="104">
        <v>3296</v>
      </c>
      <c r="K143" s="104">
        <v>5</v>
      </c>
      <c r="L143" s="104">
        <v>3291</v>
      </c>
      <c r="M143" s="104">
        <v>12920.636</v>
      </c>
      <c r="N143" s="104" t="s">
        <v>24</v>
      </c>
      <c r="O143" s="104" t="s">
        <v>70</v>
      </c>
      <c r="P143" s="104" t="s">
        <v>26</v>
      </c>
      <c r="Q143" s="104">
        <v>46113.8243055556</v>
      </c>
      <c r="R143" s="104">
        <v>46113.9368055556</v>
      </c>
      <c r="S143" s="104">
        <v>46113.99375</v>
      </c>
      <c r="T143" s="104" t="s">
        <v>351</v>
      </c>
    </row>
    <row r="144" s="102" customFormat="1" ht="15" spans="1:20">
      <c r="A144" s="104" t="s">
        <v>22</v>
      </c>
      <c r="B144" s="104" t="s">
        <v>107</v>
      </c>
      <c r="C144" s="104" t="s">
        <v>352</v>
      </c>
      <c r="D144" s="104" t="s">
        <v>353</v>
      </c>
      <c r="E144" s="104" t="s">
        <v>354</v>
      </c>
      <c r="F144" s="104" t="s">
        <v>355</v>
      </c>
      <c r="G144" s="114"/>
      <c r="H144" s="104">
        <v>4010001</v>
      </c>
      <c r="I144" s="104">
        <v>19223</v>
      </c>
      <c r="J144" s="104">
        <v>2620</v>
      </c>
      <c r="K144" s="104">
        <v>7</v>
      </c>
      <c r="L144" s="104">
        <v>2613</v>
      </c>
      <c r="M144" s="104">
        <v>9695.842</v>
      </c>
      <c r="N144" s="104" t="s">
        <v>24</v>
      </c>
      <c r="O144" s="104" t="s">
        <v>70</v>
      </c>
      <c r="P144" s="104" t="s">
        <v>26</v>
      </c>
      <c r="Q144" s="104">
        <v>46113.8694444444</v>
      </c>
      <c r="R144" s="104">
        <v>46113.99375</v>
      </c>
      <c r="S144" s="104">
        <v>46114.1423611111</v>
      </c>
      <c r="T144" s="104" t="s">
        <v>356</v>
      </c>
    </row>
    <row r="145" s="102" customFormat="1" ht="15" spans="1:20">
      <c r="A145" s="104" t="s">
        <v>22</v>
      </c>
      <c r="B145" s="104" t="s">
        <v>357</v>
      </c>
      <c r="C145" s="104" t="s">
        <v>358</v>
      </c>
      <c r="D145" s="104" t="s">
        <v>359</v>
      </c>
      <c r="E145" s="104" t="s">
        <v>360</v>
      </c>
      <c r="F145" s="104" t="s">
        <v>361</v>
      </c>
      <c r="G145" s="114"/>
      <c r="H145" s="104">
        <v>4010001</v>
      </c>
      <c r="I145" s="104">
        <v>16988</v>
      </c>
      <c r="J145" s="104">
        <v>2926</v>
      </c>
      <c r="K145" s="104">
        <v>2</v>
      </c>
      <c r="L145" s="104">
        <v>2924</v>
      </c>
      <c r="M145" s="104">
        <v>10587.935</v>
      </c>
      <c r="N145" s="104" t="s">
        <v>24</v>
      </c>
      <c r="O145" s="104" t="s">
        <v>70</v>
      </c>
      <c r="P145" s="104" t="s">
        <v>26</v>
      </c>
      <c r="Q145" s="104">
        <v>46113.9847222222</v>
      </c>
      <c r="R145" s="104">
        <v>46113.9944444444</v>
      </c>
      <c r="S145" s="104">
        <v>46114.1423611111</v>
      </c>
      <c r="T145" s="104" t="s">
        <v>356</v>
      </c>
    </row>
    <row r="146" s="102" customFormat="1" ht="15" spans="1:20">
      <c r="A146" s="104" t="s">
        <v>22</v>
      </c>
      <c r="B146" s="104" t="s">
        <v>362</v>
      </c>
      <c r="C146" s="114"/>
      <c r="D146" s="114"/>
      <c r="E146" s="114"/>
      <c r="F146" s="114"/>
      <c r="G146" s="114"/>
      <c r="H146" s="104" t="s">
        <v>97</v>
      </c>
      <c r="I146" s="104">
        <v>174910</v>
      </c>
      <c r="J146" s="104">
        <v>5902</v>
      </c>
      <c r="K146" s="104">
        <v>0</v>
      </c>
      <c r="L146" s="104">
        <v>5902</v>
      </c>
      <c r="M146" s="104">
        <v>80065.731</v>
      </c>
      <c r="N146" s="104" t="s">
        <v>24</v>
      </c>
      <c r="O146" s="104" t="s">
        <v>70</v>
      </c>
      <c r="P146" s="104" t="s">
        <v>363</v>
      </c>
      <c r="Q146" s="114"/>
      <c r="R146" s="104">
        <v>46114</v>
      </c>
      <c r="S146" s="114"/>
      <c r="T146" s="114"/>
    </row>
    <row r="147" s="102" customFormat="1" ht="15" spans="1:20">
      <c r="A147" s="104" t="s">
        <v>22</v>
      </c>
      <c r="B147" s="104" t="s">
        <v>99</v>
      </c>
      <c r="C147" s="104" t="s">
        <v>99</v>
      </c>
      <c r="D147" s="104" t="s">
        <v>29</v>
      </c>
      <c r="E147" s="114"/>
      <c r="F147" s="114"/>
      <c r="G147" s="114"/>
      <c r="H147" s="104" t="s">
        <v>99</v>
      </c>
      <c r="I147" s="104">
        <v>8640</v>
      </c>
      <c r="J147" s="104">
        <v>8640</v>
      </c>
      <c r="K147" s="104">
        <v>0</v>
      </c>
      <c r="L147" s="104">
        <v>47</v>
      </c>
      <c r="M147" s="104">
        <v>14641.997</v>
      </c>
      <c r="N147" s="104" t="s">
        <v>24</v>
      </c>
      <c r="O147" s="104" t="s">
        <v>25</v>
      </c>
      <c r="P147" s="104" t="s">
        <v>364</v>
      </c>
      <c r="Q147" s="114"/>
      <c r="R147" s="104">
        <v>46114</v>
      </c>
      <c r="S147" s="114"/>
      <c r="T147" s="114"/>
    </row>
    <row r="148" s="102" customFormat="1" ht="15" spans="1:20">
      <c r="A148" s="104" t="s">
        <v>22</v>
      </c>
      <c r="B148" s="104" t="s">
        <v>117</v>
      </c>
      <c r="C148" s="104" t="s">
        <v>365</v>
      </c>
      <c r="D148" s="104" t="s">
        <v>366</v>
      </c>
      <c r="E148" s="114"/>
      <c r="F148" s="114"/>
      <c r="G148" s="114"/>
      <c r="H148" s="104">
        <v>4020002</v>
      </c>
      <c r="I148" s="104">
        <v>3055</v>
      </c>
      <c r="J148" s="104">
        <v>1304</v>
      </c>
      <c r="K148" s="104">
        <v>1</v>
      </c>
      <c r="L148" s="104">
        <v>1303</v>
      </c>
      <c r="M148" s="104">
        <v>4434.408</v>
      </c>
      <c r="N148" s="104" t="s">
        <v>24</v>
      </c>
      <c r="O148" s="104" t="s">
        <v>70</v>
      </c>
      <c r="P148" s="104" t="s">
        <v>26</v>
      </c>
      <c r="Q148" s="104">
        <v>46114.0097222222</v>
      </c>
      <c r="R148" s="104">
        <v>46114.0284722222</v>
      </c>
      <c r="S148" s="104">
        <v>46114.1423611111</v>
      </c>
      <c r="T148" s="104" t="s">
        <v>367</v>
      </c>
    </row>
    <row r="149" s="102" customFormat="1" ht="15" spans="1:20">
      <c r="A149" s="104" t="s">
        <v>22</v>
      </c>
      <c r="B149" s="104" t="s">
        <v>113</v>
      </c>
      <c r="C149" s="104" t="s">
        <v>368</v>
      </c>
      <c r="D149" s="104" t="s">
        <v>115</v>
      </c>
      <c r="E149" s="114"/>
      <c r="F149" s="114"/>
      <c r="G149" s="114"/>
      <c r="H149" s="104">
        <v>4010001</v>
      </c>
      <c r="I149" s="104">
        <v>1017</v>
      </c>
      <c r="J149" s="104">
        <v>569</v>
      </c>
      <c r="K149" s="104">
        <v>2</v>
      </c>
      <c r="L149" s="104">
        <v>567</v>
      </c>
      <c r="M149" s="104">
        <v>2562.262</v>
      </c>
      <c r="N149" s="104" t="s">
        <v>24</v>
      </c>
      <c r="O149" s="104" t="s">
        <v>70</v>
      </c>
      <c r="P149" s="104" t="s">
        <v>26</v>
      </c>
      <c r="Q149" s="104">
        <v>46114.13125</v>
      </c>
      <c r="R149" s="104">
        <v>46114.1319444444</v>
      </c>
      <c r="S149" s="104">
        <v>46114.1444444444</v>
      </c>
      <c r="T149" s="104" t="s">
        <v>369</v>
      </c>
    </row>
    <row r="150" s="102" customFormat="1" ht="15" spans="1:20">
      <c r="A150" s="104" t="s">
        <v>22</v>
      </c>
      <c r="B150" s="104" t="s">
        <v>117</v>
      </c>
      <c r="C150" s="104" t="s">
        <v>370</v>
      </c>
      <c r="D150" s="104" t="s">
        <v>371</v>
      </c>
      <c r="E150" s="114"/>
      <c r="F150" s="114"/>
      <c r="G150" s="114"/>
      <c r="H150" s="104">
        <v>4020001</v>
      </c>
      <c r="I150" s="104">
        <v>3049</v>
      </c>
      <c r="J150" s="104">
        <v>916</v>
      </c>
      <c r="K150" s="104">
        <v>1</v>
      </c>
      <c r="L150" s="104">
        <v>915</v>
      </c>
      <c r="M150" s="104">
        <v>3319.997</v>
      </c>
      <c r="N150" s="104" t="s">
        <v>24</v>
      </c>
      <c r="O150" s="104" t="s">
        <v>70</v>
      </c>
      <c r="P150" s="104" t="s">
        <v>26</v>
      </c>
      <c r="Q150" s="104">
        <v>46114.1444444444</v>
      </c>
      <c r="R150" s="104">
        <v>46114.1486111111</v>
      </c>
      <c r="S150" s="104">
        <v>46114.1625</v>
      </c>
      <c r="T150" s="104" t="s">
        <v>372</v>
      </c>
    </row>
    <row r="151" s="102" customFormat="1" ht="15" spans="1:20">
      <c r="A151" s="104" t="s">
        <v>22</v>
      </c>
      <c r="B151" s="104" t="s">
        <v>121</v>
      </c>
      <c r="C151" s="104" t="s">
        <v>373</v>
      </c>
      <c r="D151" s="104" t="s">
        <v>374</v>
      </c>
      <c r="E151" s="104" t="s">
        <v>375</v>
      </c>
      <c r="F151" s="104" t="s">
        <v>376</v>
      </c>
      <c r="G151" s="114"/>
      <c r="H151" s="104">
        <v>4020001</v>
      </c>
      <c r="I151" s="104">
        <v>16213</v>
      </c>
      <c r="J151" s="104">
        <v>3083</v>
      </c>
      <c r="K151" s="104">
        <v>3</v>
      </c>
      <c r="L151" s="104">
        <v>3080</v>
      </c>
      <c r="M151" s="104">
        <v>11606.248</v>
      </c>
      <c r="N151" s="104" t="s">
        <v>24</v>
      </c>
      <c r="O151" s="104" t="s">
        <v>70</v>
      </c>
      <c r="P151" s="104" t="s">
        <v>26</v>
      </c>
      <c r="Q151" s="104">
        <v>46114.1506944444</v>
      </c>
      <c r="R151" s="104">
        <v>46114.1625</v>
      </c>
      <c r="S151" s="104">
        <v>46114.2125</v>
      </c>
      <c r="T151" s="104" t="s">
        <v>377</v>
      </c>
    </row>
    <row r="152" s="102" customFormat="1" ht="15" spans="1:20">
      <c r="A152" s="104" t="s">
        <v>22</v>
      </c>
      <c r="B152" s="104" t="s">
        <v>129</v>
      </c>
      <c r="C152" s="114"/>
      <c r="D152" s="104" t="s">
        <v>29</v>
      </c>
      <c r="E152" s="114"/>
      <c r="F152" s="114"/>
      <c r="G152" s="114"/>
      <c r="H152" s="104">
        <v>4021839</v>
      </c>
      <c r="I152" s="104">
        <v>143</v>
      </c>
      <c r="J152" s="104">
        <v>134</v>
      </c>
      <c r="K152" s="104">
        <v>2</v>
      </c>
      <c r="L152" s="104">
        <v>132</v>
      </c>
      <c r="M152" s="104">
        <v>0</v>
      </c>
      <c r="N152" s="104" t="s">
        <v>24</v>
      </c>
      <c r="O152" s="104" t="s">
        <v>25</v>
      </c>
      <c r="P152" s="104" t="s">
        <v>26</v>
      </c>
      <c r="Q152" s="104">
        <v>46114.2125</v>
      </c>
      <c r="R152" s="104">
        <v>46114.2125</v>
      </c>
      <c r="S152" s="104">
        <v>46114.3798611111</v>
      </c>
      <c r="T152" s="104" t="s">
        <v>378</v>
      </c>
    </row>
    <row r="153" s="102" customFormat="1" ht="15" spans="1:20">
      <c r="A153" s="104" t="s">
        <v>22</v>
      </c>
      <c r="B153" s="104" t="s">
        <v>28</v>
      </c>
      <c r="C153" s="114"/>
      <c r="D153" s="104" t="s">
        <v>29</v>
      </c>
      <c r="E153" s="114"/>
      <c r="F153" s="114"/>
      <c r="G153" s="114"/>
      <c r="H153" s="104">
        <v>4022094</v>
      </c>
      <c r="I153" s="104">
        <v>0</v>
      </c>
      <c r="J153" s="104">
        <v>94</v>
      </c>
      <c r="K153" s="104">
        <v>1</v>
      </c>
      <c r="L153" s="104">
        <v>93</v>
      </c>
      <c r="M153" s="104">
        <v>0</v>
      </c>
      <c r="N153" s="104" t="s">
        <v>24</v>
      </c>
      <c r="O153" s="104" t="s">
        <v>25</v>
      </c>
      <c r="P153" s="104" t="s">
        <v>26</v>
      </c>
      <c r="Q153" s="104">
        <v>46114.2375</v>
      </c>
      <c r="R153" s="104">
        <v>46114.2375</v>
      </c>
      <c r="S153" s="104">
        <v>46114.3798611111</v>
      </c>
      <c r="T153" s="104" t="s">
        <v>379</v>
      </c>
    </row>
    <row r="154" s="102" customFormat="1" ht="15" spans="1:20">
      <c r="A154" s="104" t="s">
        <v>22</v>
      </c>
      <c r="B154" s="104" t="s">
        <v>132</v>
      </c>
      <c r="C154" s="104" t="s">
        <v>380</v>
      </c>
      <c r="D154" s="104" t="s">
        <v>134</v>
      </c>
      <c r="E154" s="114"/>
      <c r="F154" s="114"/>
      <c r="G154" s="114"/>
      <c r="H154" s="104">
        <v>4010001</v>
      </c>
      <c r="I154" s="104">
        <v>619</v>
      </c>
      <c r="J154" s="104">
        <v>549</v>
      </c>
      <c r="K154" s="104">
        <v>0</v>
      </c>
      <c r="L154" s="104">
        <v>549</v>
      </c>
      <c r="M154" s="104">
        <v>1893.843</v>
      </c>
      <c r="N154" s="104" t="s">
        <v>24</v>
      </c>
      <c r="O154" s="104" t="s">
        <v>70</v>
      </c>
      <c r="P154" s="104" t="s">
        <v>26</v>
      </c>
      <c r="Q154" s="104">
        <v>46114.2715277778</v>
      </c>
      <c r="R154" s="104">
        <v>46114.2736111111</v>
      </c>
      <c r="S154" s="104">
        <v>46114.28125</v>
      </c>
      <c r="T154" s="104" t="s">
        <v>381</v>
      </c>
    </row>
    <row r="155" s="102" customFormat="1" ht="15" spans="1:20">
      <c r="A155" s="104" t="s">
        <v>22</v>
      </c>
      <c r="B155" s="104" t="s">
        <v>28</v>
      </c>
      <c r="C155" s="114"/>
      <c r="D155" s="104" t="s">
        <v>29</v>
      </c>
      <c r="E155" s="114"/>
      <c r="F155" s="114"/>
      <c r="G155" s="114"/>
      <c r="H155" s="104">
        <v>4022095</v>
      </c>
      <c r="I155" s="104">
        <v>0</v>
      </c>
      <c r="J155" s="104">
        <v>5</v>
      </c>
      <c r="K155" s="104">
        <v>0</v>
      </c>
      <c r="L155" s="104">
        <v>5</v>
      </c>
      <c r="M155" s="104">
        <v>0</v>
      </c>
      <c r="N155" s="104" t="s">
        <v>24</v>
      </c>
      <c r="O155" s="104" t="s">
        <v>25</v>
      </c>
      <c r="P155" s="104" t="s">
        <v>26</v>
      </c>
      <c r="Q155" s="104">
        <v>46114.2763888889</v>
      </c>
      <c r="R155" s="104">
        <v>46114.2763888889</v>
      </c>
      <c r="S155" s="104">
        <v>46114.3798611111</v>
      </c>
      <c r="T155" s="104" t="s">
        <v>382</v>
      </c>
    </row>
    <row r="156" s="102" customFormat="1" ht="15" spans="1:20">
      <c r="A156" s="104" t="s">
        <v>22</v>
      </c>
      <c r="B156" s="104" t="s">
        <v>28</v>
      </c>
      <c r="C156" s="114"/>
      <c r="D156" s="104" t="s">
        <v>29</v>
      </c>
      <c r="E156" s="114"/>
      <c r="F156" s="114"/>
      <c r="G156" s="114"/>
      <c r="H156" s="104">
        <v>4022096</v>
      </c>
      <c r="I156" s="104">
        <v>0</v>
      </c>
      <c r="J156" s="104">
        <v>41</v>
      </c>
      <c r="K156" s="104">
        <v>0</v>
      </c>
      <c r="L156" s="104">
        <v>41</v>
      </c>
      <c r="M156" s="104">
        <v>0</v>
      </c>
      <c r="N156" s="104" t="s">
        <v>24</v>
      </c>
      <c r="O156" s="104" t="s">
        <v>25</v>
      </c>
      <c r="P156" s="104" t="s">
        <v>26</v>
      </c>
      <c r="Q156" s="104">
        <v>46114.2895833333</v>
      </c>
      <c r="R156" s="104">
        <v>46114.2895833333</v>
      </c>
      <c r="S156" s="104">
        <v>46114.3798611111</v>
      </c>
      <c r="T156" s="104" t="s">
        <v>383</v>
      </c>
    </row>
    <row r="157" s="102" customFormat="1" ht="15" spans="1:20">
      <c r="A157" s="104" t="s">
        <v>22</v>
      </c>
      <c r="B157" s="104" t="s">
        <v>142</v>
      </c>
      <c r="C157" s="104" t="s">
        <v>384</v>
      </c>
      <c r="D157" s="104" t="s">
        <v>385</v>
      </c>
      <c r="E157" s="104" t="s">
        <v>386</v>
      </c>
      <c r="F157" s="104" t="s">
        <v>387</v>
      </c>
      <c r="G157" s="114"/>
      <c r="H157" s="104">
        <v>4020001</v>
      </c>
      <c r="I157" s="104">
        <v>17539</v>
      </c>
      <c r="J157" s="104">
        <v>3005</v>
      </c>
      <c r="K157" s="104">
        <v>3</v>
      </c>
      <c r="L157" s="104">
        <v>3002</v>
      </c>
      <c r="M157" s="104">
        <v>11646.21</v>
      </c>
      <c r="N157" s="104" t="s">
        <v>24</v>
      </c>
      <c r="O157" s="104" t="s">
        <v>70</v>
      </c>
      <c r="P157" s="104" t="s">
        <v>26</v>
      </c>
      <c r="Q157" s="104">
        <v>46114.28125</v>
      </c>
      <c r="R157" s="104">
        <v>46114.2902777778</v>
      </c>
      <c r="S157" s="104">
        <v>46114.3805555556</v>
      </c>
      <c r="T157" s="104" t="s">
        <v>383</v>
      </c>
    </row>
    <row r="158" s="102" customFormat="1" ht="15" spans="1:20">
      <c r="A158" s="104" t="s">
        <v>22</v>
      </c>
      <c r="B158" s="104" t="s">
        <v>138</v>
      </c>
      <c r="C158" s="104" t="s">
        <v>388</v>
      </c>
      <c r="D158" s="104" t="s">
        <v>140</v>
      </c>
      <c r="E158" s="114"/>
      <c r="F158" s="114"/>
      <c r="G158" s="114"/>
      <c r="H158" s="104">
        <v>4020001</v>
      </c>
      <c r="I158" s="104">
        <v>3693</v>
      </c>
      <c r="J158" s="104">
        <v>1005</v>
      </c>
      <c r="K158" s="104">
        <v>0</v>
      </c>
      <c r="L158" s="104">
        <v>1005</v>
      </c>
      <c r="M158" s="104">
        <v>3823.667</v>
      </c>
      <c r="N158" s="104" t="s">
        <v>24</v>
      </c>
      <c r="O158" s="104" t="s">
        <v>70</v>
      </c>
      <c r="P158" s="104" t="s">
        <v>271</v>
      </c>
      <c r="Q158" s="104">
        <v>46114.3041666667</v>
      </c>
      <c r="R158" s="104">
        <v>46114.3041666667</v>
      </c>
      <c r="S158" s="104">
        <v>46114.3368055556</v>
      </c>
      <c r="T158" s="104" t="s">
        <v>389</v>
      </c>
    </row>
    <row r="159" s="102" customFormat="1" ht="15" spans="1:20">
      <c r="A159" s="104" t="s">
        <v>22</v>
      </c>
      <c r="B159" s="104" t="s">
        <v>148</v>
      </c>
      <c r="C159" s="104" t="s">
        <v>390</v>
      </c>
      <c r="D159" s="104" t="s">
        <v>150</v>
      </c>
      <c r="E159" s="104" t="s">
        <v>151</v>
      </c>
      <c r="F159" s="104" t="s">
        <v>152</v>
      </c>
      <c r="G159" s="114"/>
      <c r="H159" s="104">
        <v>4010001</v>
      </c>
      <c r="I159" s="104">
        <v>6261</v>
      </c>
      <c r="J159" s="104">
        <v>1674</v>
      </c>
      <c r="K159" s="104">
        <v>4</v>
      </c>
      <c r="L159" s="104">
        <v>1670</v>
      </c>
      <c r="M159" s="104">
        <v>5488.281</v>
      </c>
      <c r="N159" s="104" t="s">
        <v>24</v>
      </c>
      <c r="O159" s="104" t="s">
        <v>70</v>
      </c>
      <c r="P159" s="104" t="s">
        <v>271</v>
      </c>
      <c r="Q159" s="104">
        <v>46114.3506944444</v>
      </c>
      <c r="R159" s="104">
        <v>46114.3534722222</v>
      </c>
      <c r="S159" s="104">
        <v>46114.3805555556</v>
      </c>
      <c r="T159" s="104" t="s">
        <v>391</v>
      </c>
    </row>
    <row r="160" s="102" customFormat="1" ht="30" spans="1:20">
      <c r="A160" s="104" t="s">
        <v>22</v>
      </c>
      <c r="B160" s="104" t="s">
        <v>154</v>
      </c>
      <c r="C160" s="114"/>
      <c r="D160" s="104" t="s">
        <v>29</v>
      </c>
      <c r="E160" s="114"/>
      <c r="F160" s="114"/>
      <c r="G160" s="114"/>
      <c r="H160" s="104">
        <v>4021015</v>
      </c>
      <c r="I160" s="104">
        <v>475</v>
      </c>
      <c r="J160" s="104">
        <v>475</v>
      </c>
      <c r="K160" s="104">
        <v>0</v>
      </c>
      <c r="L160" s="104">
        <v>475</v>
      </c>
      <c r="M160" s="104">
        <v>223.75</v>
      </c>
      <c r="N160" s="104" t="s">
        <v>24</v>
      </c>
      <c r="O160" s="104" t="s">
        <v>25</v>
      </c>
      <c r="P160" s="104" t="s">
        <v>155</v>
      </c>
      <c r="Q160" s="104">
        <v>46114.3659722222</v>
      </c>
      <c r="R160" s="104">
        <v>46114.3659722222</v>
      </c>
      <c r="S160" s="114"/>
      <c r="T160" s="114"/>
    </row>
    <row r="161" s="102" customFormat="1" ht="15" spans="1:20">
      <c r="A161" s="104" t="s">
        <v>22</v>
      </c>
      <c r="B161" s="104" t="s">
        <v>127</v>
      </c>
      <c r="C161" s="114"/>
      <c r="D161" s="104" t="s">
        <v>29</v>
      </c>
      <c r="E161" s="114"/>
      <c r="F161" s="114"/>
      <c r="G161" s="114"/>
      <c r="H161" s="104">
        <v>4021848</v>
      </c>
      <c r="I161" s="104">
        <v>1</v>
      </c>
      <c r="J161" s="104">
        <v>2</v>
      </c>
      <c r="K161" s="104">
        <v>2</v>
      </c>
      <c r="L161" s="104">
        <v>0</v>
      </c>
      <c r="M161" s="104">
        <v>0</v>
      </c>
      <c r="N161" s="104" t="s">
        <v>24</v>
      </c>
      <c r="O161" s="104" t="s">
        <v>25</v>
      </c>
      <c r="P161" s="104" t="s">
        <v>271</v>
      </c>
      <c r="Q161" s="104">
        <v>46114.3715277778</v>
      </c>
      <c r="R161" s="104">
        <v>46114.3715277778</v>
      </c>
      <c r="S161" s="104">
        <v>46114.3798611111</v>
      </c>
      <c r="T161" s="104" t="s">
        <v>381</v>
      </c>
    </row>
    <row r="162" s="102" customFormat="1" ht="15" spans="1:20">
      <c r="A162" s="104" t="s">
        <v>22</v>
      </c>
      <c r="B162" s="104" t="s">
        <v>156</v>
      </c>
      <c r="C162" s="104" t="s">
        <v>392</v>
      </c>
      <c r="D162" s="104" t="s">
        <v>158</v>
      </c>
      <c r="E162" s="114"/>
      <c r="F162" s="114"/>
      <c r="G162" s="114"/>
      <c r="H162" s="104">
        <v>4030001</v>
      </c>
      <c r="I162" s="104">
        <v>8299</v>
      </c>
      <c r="J162" s="104">
        <v>1734</v>
      </c>
      <c r="K162" s="104">
        <v>8</v>
      </c>
      <c r="L162" s="104">
        <v>1726</v>
      </c>
      <c r="M162" s="104">
        <v>6138.908</v>
      </c>
      <c r="N162" s="104" t="s">
        <v>24</v>
      </c>
      <c r="O162" s="104" t="s">
        <v>70</v>
      </c>
      <c r="P162" s="104" t="s">
        <v>271</v>
      </c>
      <c r="Q162" s="104">
        <v>46114.3875</v>
      </c>
      <c r="R162" s="104">
        <v>46114.4006944444</v>
      </c>
      <c r="S162" s="104">
        <v>46114.4138888889</v>
      </c>
      <c r="T162" s="104" t="s">
        <v>393</v>
      </c>
    </row>
    <row r="163" s="102" customFormat="1" ht="15" spans="1:20">
      <c r="A163" s="104" t="s">
        <v>22</v>
      </c>
      <c r="B163" s="104" t="s">
        <v>159</v>
      </c>
      <c r="C163" s="104" t="s">
        <v>394</v>
      </c>
      <c r="D163" s="104" t="s">
        <v>161</v>
      </c>
      <c r="E163" s="114"/>
      <c r="F163" s="114"/>
      <c r="G163" s="114"/>
      <c r="H163" s="104">
        <v>4020001</v>
      </c>
      <c r="I163" s="104">
        <v>453</v>
      </c>
      <c r="J163" s="104">
        <v>453</v>
      </c>
      <c r="K163" s="104">
        <v>1</v>
      </c>
      <c r="L163" s="104">
        <v>452</v>
      </c>
      <c r="M163" s="104">
        <v>0</v>
      </c>
      <c r="N163" s="104" t="s">
        <v>24</v>
      </c>
      <c r="O163" s="104" t="s">
        <v>70</v>
      </c>
      <c r="P163" s="104" t="s">
        <v>271</v>
      </c>
      <c r="Q163" s="104">
        <v>46114.4125</v>
      </c>
      <c r="R163" s="104">
        <v>46114.4138888889</v>
      </c>
      <c r="S163" s="104">
        <v>46114.4416666667</v>
      </c>
      <c r="T163" s="104" t="s">
        <v>395</v>
      </c>
    </row>
    <row r="164" s="102" customFormat="1" ht="15" spans="1:20">
      <c r="A164" s="104" t="s">
        <v>22</v>
      </c>
      <c r="B164" s="104" t="s">
        <v>23</v>
      </c>
      <c r="C164" s="114"/>
      <c r="D164" s="114"/>
      <c r="E164" s="114"/>
      <c r="F164" s="114"/>
      <c r="G164" s="114"/>
      <c r="H164" s="104">
        <v>4027320</v>
      </c>
      <c r="I164" s="104">
        <v>52</v>
      </c>
      <c r="J164" s="104">
        <v>1</v>
      </c>
      <c r="K164" s="104">
        <v>0</v>
      </c>
      <c r="L164" s="104">
        <v>1</v>
      </c>
      <c r="M164" s="104">
        <v>2.6</v>
      </c>
      <c r="N164" s="104" t="s">
        <v>24</v>
      </c>
      <c r="O164" s="104" t="s">
        <v>25</v>
      </c>
      <c r="P164" s="104" t="s">
        <v>271</v>
      </c>
      <c r="Q164" s="104">
        <v>46114.4486111111</v>
      </c>
      <c r="R164" s="104">
        <v>46114.4486111111</v>
      </c>
      <c r="S164" s="104">
        <v>46114.5694444444</v>
      </c>
      <c r="T164" s="104" t="s">
        <v>396</v>
      </c>
    </row>
    <row r="165" s="102" customFormat="1" ht="15" spans="1:20">
      <c r="A165" s="104" t="s">
        <v>22</v>
      </c>
      <c r="B165" s="104" t="s">
        <v>81</v>
      </c>
      <c r="C165" s="114"/>
      <c r="D165" s="114"/>
      <c r="E165" s="114"/>
      <c r="F165" s="114"/>
      <c r="G165" s="114"/>
      <c r="H165" s="104">
        <v>4023562</v>
      </c>
      <c r="I165" s="104">
        <v>19</v>
      </c>
      <c r="J165" s="104">
        <v>18</v>
      </c>
      <c r="K165" s="104">
        <v>0</v>
      </c>
      <c r="L165" s="104">
        <v>18</v>
      </c>
      <c r="M165" s="104">
        <v>28.77</v>
      </c>
      <c r="N165" s="104" t="s">
        <v>24</v>
      </c>
      <c r="O165" s="104" t="s">
        <v>25</v>
      </c>
      <c r="P165" s="104" t="s">
        <v>271</v>
      </c>
      <c r="Q165" s="104">
        <v>46114.7375</v>
      </c>
      <c r="R165" s="104">
        <v>46114.7375</v>
      </c>
      <c r="S165" s="104">
        <v>46114.7944444444</v>
      </c>
      <c r="T165" s="104" t="s">
        <v>281</v>
      </c>
    </row>
    <row r="166" s="102" customFormat="1" ht="15" spans="1:20">
      <c r="A166" s="104" t="s">
        <v>22</v>
      </c>
      <c r="B166" s="104" t="s">
        <v>81</v>
      </c>
      <c r="C166" s="114"/>
      <c r="D166" s="114"/>
      <c r="E166" s="114"/>
      <c r="F166" s="114"/>
      <c r="G166" s="114"/>
      <c r="H166" s="104">
        <v>4023806</v>
      </c>
      <c r="I166" s="104">
        <v>18</v>
      </c>
      <c r="J166" s="104">
        <v>4</v>
      </c>
      <c r="K166" s="104">
        <v>0</v>
      </c>
      <c r="L166" s="104">
        <v>4</v>
      </c>
      <c r="M166" s="104">
        <v>13.613</v>
      </c>
      <c r="N166" s="104" t="s">
        <v>24</v>
      </c>
      <c r="O166" s="104" t="s">
        <v>25</v>
      </c>
      <c r="P166" s="104" t="s">
        <v>271</v>
      </c>
      <c r="Q166" s="104">
        <v>46114.7375</v>
      </c>
      <c r="R166" s="104">
        <v>46114.7375</v>
      </c>
      <c r="S166" s="104">
        <v>46114.7944444444</v>
      </c>
      <c r="T166" s="104" t="s">
        <v>281</v>
      </c>
    </row>
    <row r="167" s="102" customFormat="1" ht="15" spans="1:20">
      <c r="A167" s="104" t="s">
        <v>22</v>
      </c>
      <c r="B167" s="104" t="s">
        <v>33</v>
      </c>
      <c r="C167" s="114"/>
      <c r="D167" s="114"/>
      <c r="E167" s="114"/>
      <c r="F167" s="114"/>
      <c r="G167" s="114"/>
      <c r="H167" s="104">
        <v>40201</v>
      </c>
      <c r="I167" s="104">
        <v>1</v>
      </c>
      <c r="J167" s="104">
        <v>1</v>
      </c>
      <c r="K167" s="104">
        <v>0</v>
      </c>
      <c r="L167" s="104">
        <v>1</v>
      </c>
      <c r="M167" s="104">
        <v>5.98</v>
      </c>
      <c r="N167" s="104" t="s">
        <v>24</v>
      </c>
      <c r="O167" s="104" t="s">
        <v>25</v>
      </c>
      <c r="P167" s="104" t="s">
        <v>271</v>
      </c>
      <c r="Q167" s="104">
        <v>46114.4868055556</v>
      </c>
      <c r="R167" s="104">
        <v>46114.7375</v>
      </c>
      <c r="S167" s="104">
        <v>46114.7951388889</v>
      </c>
      <c r="T167" s="104" t="s">
        <v>281</v>
      </c>
    </row>
    <row r="168" s="102" customFormat="1" ht="15" spans="1:20">
      <c r="A168" s="104" t="s">
        <v>22</v>
      </c>
      <c r="B168" s="104" t="s">
        <v>33</v>
      </c>
      <c r="C168" s="114"/>
      <c r="D168" s="114"/>
      <c r="E168" s="114"/>
      <c r="F168" s="114"/>
      <c r="G168" s="114"/>
      <c r="H168" s="104">
        <v>4023277</v>
      </c>
      <c r="I168" s="104">
        <v>36</v>
      </c>
      <c r="J168" s="104">
        <v>5</v>
      </c>
      <c r="K168" s="104">
        <v>0</v>
      </c>
      <c r="L168" s="104">
        <v>5</v>
      </c>
      <c r="M168" s="104">
        <v>18.808</v>
      </c>
      <c r="N168" s="104" t="s">
        <v>24</v>
      </c>
      <c r="O168" s="104" t="s">
        <v>25</v>
      </c>
      <c r="P168" s="104" t="s">
        <v>271</v>
      </c>
      <c r="Q168" s="104">
        <v>46114.7375</v>
      </c>
      <c r="R168" s="104">
        <v>46114.7375</v>
      </c>
      <c r="S168" s="104">
        <v>46114.7951388889</v>
      </c>
      <c r="T168" s="104" t="s">
        <v>281</v>
      </c>
    </row>
    <row r="169" s="102" customFormat="1" ht="15" spans="1:20">
      <c r="A169" s="104" t="s">
        <v>22</v>
      </c>
      <c r="B169" s="104" t="s">
        <v>87</v>
      </c>
      <c r="C169" s="114"/>
      <c r="D169" s="114"/>
      <c r="E169" s="114"/>
      <c r="F169" s="114"/>
      <c r="G169" s="114"/>
      <c r="H169" s="104">
        <v>40201</v>
      </c>
      <c r="I169" s="104">
        <v>182</v>
      </c>
      <c r="J169" s="104">
        <v>36</v>
      </c>
      <c r="K169" s="104">
        <v>0</v>
      </c>
      <c r="L169" s="104">
        <v>36</v>
      </c>
      <c r="M169" s="104">
        <v>69.083</v>
      </c>
      <c r="N169" s="104" t="s">
        <v>24</v>
      </c>
      <c r="O169" s="104" t="s">
        <v>25</v>
      </c>
      <c r="P169" s="104" t="s">
        <v>271</v>
      </c>
      <c r="Q169" s="104">
        <v>46114.7375</v>
      </c>
      <c r="R169" s="104">
        <v>46114.7375</v>
      </c>
      <c r="S169" s="104">
        <v>46114.7951388889</v>
      </c>
      <c r="T169" s="104" t="s">
        <v>281</v>
      </c>
    </row>
    <row r="170" s="102" customFormat="1" ht="15" spans="1:20">
      <c r="A170" s="104" t="s">
        <v>22</v>
      </c>
      <c r="B170" s="104" t="s">
        <v>31</v>
      </c>
      <c r="C170" s="114"/>
      <c r="D170" s="114"/>
      <c r="E170" s="114"/>
      <c r="F170" s="114"/>
      <c r="G170" s="114"/>
      <c r="H170" s="104">
        <v>40201</v>
      </c>
      <c r="I170" s="104">
        <v>2</v>
      </c>
      <c r="J170" s="104">
        <v>2</v>
      </c>
      <c r="K170" s="104">
        <v>0</v>
      </c>
      <c r="L170" s="104">
        <v>2</v>
      </c>
      <c r="M170" s="104">
        <v>0.116</v>
      </c>
      <c r="N170" s="104" t="s">
        <v>24</v>
      </c>
      <c r="O170" s="104" t="s">
        <v>25</v>
      </c>
      <c r="P170" s="104" t="s">
        <v>271</v>
      </c>
      <c r="Q170" s="104">
        <v>46114.4868055556</v>
      </c>
      <c r="R170" s="104">
        <v>46114.7375</v>
      </c>
      <c r="S170" s="104">
        <v>46114.7951388889</v>
      </c>
      <c r="T170" s="104" t="s">
        <v>283</v>
      </c>
    </row>
    <row r="171" s="102" customFormat="1" ht="15" spans="1:20">
      <c r="A171" s="104" t="s">
        <v>22</v>
      </c>
      <c r="B171" s="104" t="s">
        <v>83</v>
      </c>
      <c r="C171" s="114"/>
      <c r="D171" s="114"/>
      <c r="E171" s="114"/>
      <c r="F171" s="114"/>
      <c r="G171" s="114"/>
      <c r="H171" s="104">
        <v>4023648</v>
      </c>
      <c r="I171" s="104">
        <v>43</v>
      </c>
      <c r="J171" s="104">
        <v>7</v>
      </c>
      <c r="K171" s="104">
        <v>2</v>
      </c>
      <c r="L171" s="104">
        <v>5</v>
      </c>
      <c r="M171" s="104">
        <v>11.125</v>
      </c>
      <c r="N171" s="104" t="s">
        <v>24</v>
      </c>
      <c r="O171" s="104" t="s">
        <v>25</v>
      </c>
      <c r="P171" s="104" t="s">
        <v>271</v>
      </c>
      <c r="Q171" s="104">
        <v>46114.7375</v>
      </c>
      <c r="R171" s="104">
        <v>46114.7375</v>
      </c>
      <c r="S171" s="104">
        <v>46114.7951388889</v>
      </c>
      <c r="T171" s="104" t="s">
        <v>281</v>
      </c>
    </row>
    <row r="172" s="102" customFormat="1" ht="15" spans="1:20">
      <c r="A172" s="104" t="s">
        <v>22</v>
      </c>
      <c r="B172" s="104" t="s">
        <v>83</v>
      </c>
      <c r="C172" s="114"/>
      <c r="D172" s="114"/>
      <c r="E172" s="114"/>
      <c r="F172" s="114"/>
      <c r="G172" s="114"/>
      <c r="H172" s="104">
        <v>40201</v>
      </c>
      <c r="I172" s="104">
        <v>128</v>
      </c>
      <c r="J172" s="104">
        <v>25</v>
      </c>
      <c r="K172" s="104">
        <v>1</v>
      </c>
      <c r="L172" s="104">
        <v>24</v>
      </c>
      <c r="M172" s="104">
        <v>48.265</v>
      </c>
      <c r="N172" s="104" t="s">
        <v>24</v>
      </c>
      <c r="O172" s="104" t="s">
        <v>25</v>
      </c>
      <c r="P172" s="104" t="s">
        <v>271</v>
      </c>
      <c r="Q172" s="104">
        <v>46114.7375</v>
      </c>
      <c r="R172" s="104">
        <v>46114.7375</v>
      </c>
      <c r="S172" s="104">
        <v>46114.7951388889</v>
      </c>
      <c r="T172" s="104" t="s">
        <v>281</v>
      </c>
    </row>
    <row r="173" s="102" customFormat="1" ht="15" spans="1:20">
      <c r="A173" s="104" t="s">
        <v>22</v>
      </c>
      <c r="B173" s="104" t="s">
        <v>86</v>
      </c>
      <c r="C173" s="114"/>
      <c r="D173" s="114"/>
      <c r="E173" s="114"/>
      <c r="F173" s="114"/>
      <c r="G173" s="114"/>
      <c r="H173" s="104">
        <v>40201</v>
      </c>
      <c r="I173" s="104">
        <v>199</v>
      </c>
      <c r="J173" s="104">
        <v>18</v>
      </c>
      <c r="K173" s="104">
        <v>0</v>
      </c>
      <c r="L173" s="104">
        <v>18</v>
      </c>
      <c r="M173" s="104">
        <v>38.169</v>
      </c>
      <c r="N173" s="104" t="s">
        <v>24</v>
      </c>
      <c r="O173" s="104" t="s">
        <v>25</v>
      </c>
      <c r="P173" s="104" t="s">
        <v>271</v>
      </c>
      <c r="Q173" s="104">
        <v>46114.7381944444</v>
      </c>
      <c r="R173" s="104">
        <v>46114.7381944444</v>
      </c>
      <c r="S173" s="104">
        <v>46114.7958333333</v>
      </c>
      <c r="T173" s="104" t="s">
        <v>281</v>
      </c>
    </row>
    <row r="174" s="102" customFormat="1" ht="15" spans="1:20">
      <c r="A174" s="104" t="s">
        <v>22</v>
      </c>
      <c r="B174" s="104" t="s">
        <v>89</v>
      </c>
      <c r="C174" s="114"/>
      <c r="D174" s="114"/>
      <c r="E174" s="114"/>
      <c r="F174" s="114"/>
      <c r="G174" s="114"/>
      <c r="H174" s="104">
        <v>40201</v>
      </c>
      <c r="I174" s="104">
        <v>236</v>
      </c>
      <c r="J174" s="104">
        <v>11</v>
      </c>
      <c r="K174" s="104">
        <v>0</v>
      </c>
      <c r="L174" s="104">
        <v>11</v>
      </c>
      <c r="M174" s="104">
        <v>9.156</v>
      </c>
      <c r="N174" s="104" t="s">
        <v>24</v>
      </c>
      <c r="O174" s="104" t="s">
        <v>25</v>
      </c>
      <c r="P174" s="104" t="s">
        <v>271</v>
      </c>
      <c r="Q174" s="104">
        <v>46114.7381944444</v>
      </c>
      <c r="R174" s="104">
        <v>46114.7381944444</v>
      </c>
      <c r="S174" s="104">
        <v>46114.7958333333</v>
      </c>
      <c r="T174" s="104" t="s">
        <v>281</v>
      </c>
    </row>
    <row r="175" s="102" customFormat="1" ht="15" spans="1:20">
      <c r="A175" s="104" t="s">
        <v>22</v>
      </c>
      <c r="B175" s="104" t="s">
        <v>219</v>
      </c>
      <c r="C175" s="104" t="s">
        <v>397</v>
      </c>
      <c r="D175" s="104" t="s">
        <v>248</v>
      </c>
      <c r="E175" s="114"/>
      <c r="F175" s="114"/>
      <c r="G175" s="104">
        <v>11111111111111</v>
      </c>
      <c r="H175" s="104">
        <v>4020003</v>
      </c>
      <c r="I175" s="104">
        <v>3737</v>
      </c>
      <c r="J175" s="104">
        <v>3737</v>
      </c>
      <c r="K175" s="104">
        <v>4</v>
      </c>
      <c r="L175" s="104">
        <v>3733</v>
      </c>
      <c r="M175" s="104">
        <v>4035.08</v>
      </c>
      <c r="N175" s="104" t="s">
        <v>24</v>
      </c>
      <c r="O175" s="104" t="s">
        <v>25</v>
      </c>
      <c r="P175" s="104" t="s">
        <v>271</v>
      </c>
      <c r="Q175" s="104">
        <v>46114.7430555556</v>
      </c>
      <c r="R175" s="104">
        <v>46114.7527777778</v>
      </c>
      <c r="S175" s="104">
        <v>46114.7958333333</v>
      </c>
      <c r="T175" s="104" t="s">
        <v>398</v>
      </c>
    </row>
    <row r="176" s="102" customFormat="1" ht="15" spans="1:20">
      <c r="A176" s="104" t="s">
        <v>22</v>
      </c>
      <c r="B176" s="104" t="s">
        <v>175</v>
      </c>
      <c r="C176" s="104" t="s">
        <v>399</v>
      </c>
      <c r="D176" s="104" t="s">
        <v>340</v>
      </c>
      <c r="E176" s="114"/>
      <c r="F176" s="114"/>
      <c r="G176" s="104">
        <v>11111111111111</v>
      </c>
      <c r="H176" s="104">
        <v>4020003</v>
      </c>
      <c r="I176" s="104">
        <v>1754</v>
      </c>
      <c r="J176" s="104">
        <v>1754</v>
      </c>
      <c r="K176" s="104">
        <v>0</v>
      </c>
      <c r="L176" s="104">
        <v>1754</v>
      </c>
      <c r="M176" s="104">
        <v>3797.5</v>
      </c>
      <c r="N176" s="104" t="s">
        <v>24</v>
      </c>
      <c r="O176" s="104" t="s">
        <v>25</v>
      </c>
      <c r="P176" s="104" t="s">
        <v>271</v>
      </c>
      <c r="Q176" s="104">
        <v>46114.7513888889</v>
      </c>
      <c r="R176" s="104">
        <v>46114.7534722222</v>
      </c>
      <c r="S176" s="104">
        <v>46114.7958333333</v>
      </c>
      <c r="T176" s="104" t="s">
        <v>398</v>
      </c>
    </row>
    <row r="177" s="102" customFormat="1" ht="15" spans="1:20">
      <c r="A177" s="104" t="s">
        <v>22</v>
      </c>
      <c r="B177" s="104" t="s">
        <v>223</v>
      </c>
      <c r="C177" s="104" t="s">
        <v>400</v>
      </c>
      <c r="D177" s="104" t="s">
        <v>193</v>
      </c>
      <c r="E177" s="114"/>
      <c r="F177" s="114"/>
      <c r="G177" s="104" t="s">
        <v>401</v>
      </c>
      <c r="H177" s="104">
        <v>4020002</v>
      </c>
      <c r="I177" s="104">
        <v>3560</v>
      </c>
      <c r="J177" s="104">
        <v>3560</v>
      </c>
      <c r="K177" s="104">
        <v>4</v>
      </c>
      <c r="L177" s="104">
        <v>3556</v>
      </c>
      <c r="M177" s="104">
        <v>3953.317</v>
      </c>
      <c r="N177" s="104" t="s">
        <v>24</v>
      </c>
      <c r="O177" s="104" t="s">
        <v>25</v>
      </c>
      <c r="P177" s="104" t="s">
        <v>271</v>
      </c>
      <c r="Q177" s="104">
        <v>46114.7458333333</v>
      </c>
      <c r="R177" s="104">
        <v>46114.7534722222</v>
      </c>
      <c r="S177" s="104">
        <v>46114.7965277778</v>
      </c>
      <c r="T177" s="104" t="s">
        <v>398</v>
      </c>
    </row>
    <row r="178" s="102" customFormat="1" ht="15" spans="1:20">
      <c r="A178" s="104" t="s">
        <v>22</v>
      </c>
      <c r="B178" s="104" t="s">
        <v>212</v>
      </c>
      <c r="C178" s="104" t="s">
        <v>402</v>
      </c>
      <c r="D178" s="104" t="s">
        <v>177</v>
      </c>
      <c r="E178" s="114"/>
      <c r="F178" s="114"/>
      <c r="G178" s="114"/>
      <c r="H178" s="104">
        <v>4020002</v>
      </c>
      <c r="I178" s="104">
        <v>736</v>
      </c>
      <c r="J178" s="104">
        <v>736</v>
      </c>
      <c r="K178" s="104">
        <v>4</v>
      </c>
      <c r="L178" s="104">
        <v>732</v>
      </c>
      <c r="M178" s="104">
        <v>2473.053</v>
      </c>
      <c r="N178" s="104" t="s">
        <v>24</v>
      </c>
      <c r="O178" s="104" t="s">
        <v>25</v>
      </c>
      <c r="P178" s="104" t="s">
        <v>271</v>
      </c>
      <c r="Q178" s="104">
        <v>46114.75625</v>
      </c>
      <c r="R178" s="104">
        <v>46114.75625</v>
      </c>
      <c r="S178" s="104">
        <v>46114.7972222222</v>
      </c>
      <c r="T178" s="104" t="s">
        <v>403</v>
      </c>
    </row>
    <row r="179" s="102" customFormat="1" ht="15" spans="1:20">
      <c r="A179" s="104" t="s">
        <v>22</v>
      </c>
      <c r="B179" s="104" t="s">
        <v>236</v>
      </c>
      <c r="C179" s="114"/>
      <c r="D179" s="114"/>
      <c r="E179" s="114"/>
      <c r="F179" s="114"/>
      <c r="G179" s="114"/>
      <c r="H179" s="104">
        <v>4024804</v>
      </c>
      <c r="I179" s="104">
        <v>953</v>
      </c>
      <c r="J179" s="104">
        <v>953</v>
      </c>
      <c r="K179" s="104">
        <v>1</v>
      </c>
      <c r="L179" s="104">
        <v>952</v>
      </c>
      <c r="M179" s="104">
        <v>3573.93</v>
      </c>
      <c r="N179" s="104" t="s">
        <v>24</v>
      </c>
      <c r="O179" s="104" t="s">
        <v>25</v>
      </c>
      <c r="P179" s="104" t="s">
        <v>271</v>
      </c>
      <c r="Q179" s="104">
        <v>46114.7576388889</v>
      </c>
      <c r="R179" s="104">
        <v>46114.7576388889</v>
      </c>
      <c r="S179" s="104">
        <v>46114.7965277778</v>
      </c>
      <c r="T179" s="104" t="s">
        <v>404</v>
      </c>
    </row>
    <row r="180" s="102" customFormat="1" ht="15" spans="1:20">
      <c r="A180" s="104" t="s">
        <v>22</v>
      </c>
      <c r="B180" s="104" t="s">
        <v>81</v>
      </c>
      <c r="C180" s="104" t="s">
        <v>405</v>
      </c>
      <c r="D180" s="104" t="s">
        <v>38</v>
      </c>
      <c r="E180" s="114"/>
      <c r="F180" s="114"/>
      <c r="G180" s="114"/>
      <c r="H180" s="104">
        <v>4020001</v>
      </c>
      <c r="I180" s="104">
        <v>391</v>
      </c>
      <c r="J180" s="104">
        <v>391</v>
      </c>
      <c r="K180" s="104">
        <v>0</v>
      </c>
      <c r="L180" s="104">
        <v>391</v>
      </c>
      <c r="M180" s="104">
        <v>278.372</v>
      </c>
      <c r="N180" s="104" t="s">
        <v>24</v>
      </c>
      <c r="O180" s="104" t="s">
        <v>25</v>
      </c>
      <c r="P180" s="104" t="s">
        <v>271</v>
      </c>
      <c r="Q180" s="104">
        <v>46114.7722222222</v>
      </c>
      <c r="R180" s="104">
        <v>46114.775</v>
      </c>
      <c r="S180" s="104">
        <v>46114.7944444444</v>
      </c>
      <c r="T180" s="104" t="s">
        <v>406</v>
      </c>
    </row>
    <row r="181" s="102" customFormat="1" ht="15" spans="1:20">
      <c r="A181" s="104" t="s">
        <v>22</v>
      </c>
      <c r="B181" s="104" t="s">
        <v>232</v>
      </c>
      <c r="C181" s="104" t="s">
        <v>407</v>
      </c>
      <c r="D181" s="104" t="s">
        <v>234</v>
      </c>
      <c r="E181" s="114"/>
      <c r="F181" s="114"/>
      <c r="G181" s="114"/>
      <c r="H181" s="104">
        <v>4020002</v>
      </c>
      <c r="I181" s="104">
        <v>1577</v>
      </c>
      <c r="J181" s="104">
        <v>1577</v>
      </c>
      <c r="K181" s="104">
        <v>69</v>
      </c>
      <c r="L181" s="104">
        <v>1508</v>
      </c>
      <c r="M181" s="104">
        <v>1910.467</v>
      </c>
      <c r="N181" s="104" t="s">
        <v>24</v>
      </c>
      <c r="O181" s="104" t="s">
        <v>25</v>
      </c>
      <c r="P181" s="104" t="s">
        <v>271</v>
      </c>
      <c r="Q181" s="104">
        <v>46114.7597222222</v>
      </c>
      <c r="R181" s="104">
        <v>46114.7819444444</v>
      </c>
      <c r="S181" s="104">
        <v>46114.7979166667</v>
      </c>
      <c r="T181" s="104" t="s">
        <v>128</v>
      </c>
    </row>
    <row r="182" s="102" customFormat="1" ht="15" spans="1:20">
      <c r="A182" s="104" t="s">
        <v>22</v>
      </c>
      <c r="B182" s="104" t="s">
        <v>244</v>
      </c>
      <c r="C182" s="104" t="s">
        <v>408</v>
      </c>
      <c r="D182" s="104" t="s">
        <v>41</v>
      </c>
      <c r="E182" s="114"/>
      <c r="F182" s="114"/>
      <c r="G182" s="114"/>
      <c r="H182" s="104">
        <v>4020001</v>
      </c>
      <c r="I182" s="104">
        <v>280</v>
      </c>
      <c r="J182" s="104">
        <v>18</v>
      </c>
      <c r="K182" s="104">
        <v>2</v>
      </c>
      <c r="L182" s="104">
        <v>16</v>
      </c>
      <c r="M182" s="104">
        <v>170.421</v>
      </c>
      <c r="N182" s="104" t="s">
        <v>24</v>
      </c>
      <c r="O182" s="104" t="s">
        <v>25</v>
      </c>
      <c r="P182" s="104" t="s">
        <v>271</v>
      </c>
      <c r="Q182" s="104">
        <v>46114.78125</v>
      </c>
      <c r="R182" s="104">
        <v>46114.7819444444</v>
      </c>
      <c r="S182" s="104">
        <v>46114.7979166667</v>
      </c>
      <c r="T182" s="104" t="s">
        <v>128</v>
      </c>
    </row>
    <row r="183" s="102" customFormat="1" ht="15" spans="1:20">
      <c r="A183" s="104" t="s">
        <v>22</v>
      </c>
      <c r="B183" s="104" t="s">
        <v>236</v>
      </c>
      <c r="C183" s="114"/>
      <c r="D183" s="114"/>
      <c r="E183" s="114"/>
      <c r="F183" s="114"/>
      <c r="G183" s="114"/>
      <c r="H183" s="104">
        <v>4024805</v>
      </c>
      <c r="I183" s="104">
        <v>1578</v>
      </c>
      <c r="J183" s="104">
        <v>1578</v>
      </c>
      <c r="K183" s="104">
        <v>13</v>
      </c>
      <c r="L183" s="104">
        <v>1565</v>
      </c>
      <c r="M183" s="104">
        <v>646.543</v>
      </c>
      <c r="N183" s="104" t="s">
        <v>24</v>
      </c>
      <c r="O183" s="104" t="s">
        <v>25</v>
      </c>
      <c r="P183" s="104" t="s">
        <v>271</v>
      </c>
      <c r="Q183" s="104">
        <v>46114.7819444444</v>
      </c>
      <c r="R183" s="104">
        <v>46114.7819444444</v>
      </c>
      <c r="S183" s="104">
        <v>46114.7965277778</v>
      </c>
      <c r="T183" s="104" t="s">
        <v>372</v>
      </c>
    </row>
    <row r="184" s="102" customFormat="1" ht="15" spans="1:20">
      <c r="A184" s="104" t="s">
        <v>22</v>
      </c>
      <c r="B184" s="104" t="s">
        <v>254</v>
      </c>
      <c r="C184" s="104" t="s">
        <v>409</v>
      </c>
      <c r="D184" s="104" t="s">
        <v>182</v>
      </c>
      <c r="E184" s="114"/>
      <c r="F184" s="114"/>
      <c r="G184" s="114"/>
      <c r="H184" s="104">
        <v>4020001</v>
      </c>
      <c r="I184" s="104">
        <v>2602</v>
      </c>
      <c r="J184" s="104">
        <v>2456</v>
      </c>
      <c r="K184" s="104">
        <v>20</v>
      </c>
      <c r="L184" s="104">
        <v>2436</v>
      </c>
      <c r="M184" s="104">
        <v>3139.715</v>
      </c>
      <c r="N184" s="104" t="s">
        <v>24</v>
      </c>
      <c r="O184" s="104" t="s">
        <v>25</v>
      </c>
      <c r="P184" s="104" t="s">
        <v>271</v>
      </c>
      <c r="Q184" s="104">
        <v>46114.7840277778</v>
      </c>
      <c r="R184" s="104">
        <v>46114.7840277778</v>
      </c>
      <c r="S184" s="104">
        <v>46114.7979166667</v>
      </c>
      <c r="T184" s="104" t="s">
        <v>372</v>
      </c>
    </row>
    <row r="185" s="102" customFormat="1" ht="15" spans="1:20">
      <c r="A185" s="104" t="s">
        <v>22</v>
      </c>
      <c r="B185" s="104" t="s">
        <v>180</v>
      </c>
      <c r="C185" s="104" t="s">
        <v>410</v>
      </c>
      <c r="D185" s="104" t="s">
        <v>182</v>
      </c>
      <c r="E185" s="114"/>
      <c r="F185" s="114"/>
      <c r="G185" s="114"/>
      <c r="H185" s="104">
        <v>4020001</v>
      </c>
      <c r="I185" s="104">
        <v>700</v>
      </c>
      <c r="J185" s="104">
        <v>252</v>
      </c>
      <c r="K185" s="104">
        <v>84</v>
      </c>
      <c r="L185" s="104">
        <v>168</v>
      </c>
      <c r="M185" s="104">
        <v>359.784</v>
      </c>
      <c r="N185" s="104" t="s">
        <v>24</v>
      </c>
      <c r="O185" s="104" t="s">
        <v>25</v>
      </c>
      <c r="P185" s="104" t="s">
        <v>271</v>
      </c>
      <c r="Q185" s="104">
        <v>46114.5076388889</v>
      </c>
      <c r="R185" s="104">
        <v>46114.5076388889</v>
      </c>
      <c r="S185" s="104">
        <v>46114.5736111111</v>
      </c>
      <c r="T185" s="104" t="s">
        <v>411</v>
      </c>
    </row>
    <row r="186" s="102" customFormat="1" ht="15" spans="1:20">
      <c r="A186" s="104" t="s">
        <v>22</v>
      </c>
      <c r="B186" s="104" t="s">
        <v>76</v>
      </c>
      <c r="C186" s="104" t="s">
        <v>412</v>
      </c>
      <c r="D186" s="104" t="s">
        <v>268</v>
      </c>
      <c r="E186" s="104" t="s">
        <v>413</v>
      </c>
      <c r="F186" s="104" t="s">
        <v>79</v>
      </c>
      <c r="G186" s="114"/>
      <c r="H186" s="104">
        <v>4020001</v>
      </c>
      <c r="I186" s="104">
        <v>3315</v>
      </c>
      <c r="J186" s="104">
        <v>2860</v>
      </c>
      <c r="K186" s="104">
        <v>1112</v>
      </c>
      <c r="L186" s="104">
        <v>1748</v>
      </c>
      <c r="M186" s="104">
        <v>5285.828</v>
      </c>
      <c r="N186" s="104" t="s">
        <v>24</v>
      </c>
      <c r="O186" s="104" t="s">
        <v>25</v>
      </c>
      <c r="P186" s="104" t="s">
        <v>271</v>
      </c>
      <c r="Q186" s="104">
        <v>46114.5111111111</v>
      </c>
      <c r="R186" s="104">
        <v>46114.5180555556</v>
      </c>
      <c r="S186" s="104">
        <v>46114.5694444444</v>
      </c>
      <c r="T186" s="104" t="s">
        <v>414</v>
      </c>
    </row>
    <row r="187" s="102" customFormat="1" ht="15" spans="1:20">
      <c r="A187" s="104" t="s">
        <v>22</v>
      </c>
      <c r="B187" s="104" t="s">
        <v>184</v>
      </c>
      <c r="C187" s="104" t="s">
        <v>415</v>
      </c>
      <c r="D187" s="104" t="s">
        <v>186</v>
      </c>
      <c r="E187" s="114"/>
      <c r="F187" s="114"/>
      <c r="G187" s="114"/>
      <c r="H187" s="104">
        <v>4020001</v>
      </c>
      <c r="I187" s="104">
        <v>1659</v>
      </c>
      <c r="J187" s="104">
        <v>1572</v>
      </c>
      <c r="K187" s="104">
        <v>11</v>
      </c>
      <c r="L187" s="104">
        <v>1561</v>
      </c>
      <c r="M187" s="104">
        <v>1278.563</v>
      </c>
      <c r="N187" s="104" t="s">
        <v>24</v>
      </c>
      <c r="O187" s="104" t="s">
        <v>25</v>
      </c>
      <c r="P187" s="104" t="s">
        <v>271</v>
      </c>
      <c r="Q187" s="104">
        <v>46114.5166666667</v>
      </c>
      <c r="R187" s="104">
        <v>46114.5180555556</v>
      </c>
      <c r="S187" s="104">
        <v>46114.5743055556</v>
      </c>
      <c r="T187" s="104" t="s">
        <v>416</v>
      </c>
    </row>
    <row r="188" s="102" customFormat="1" ht="15" spans="1:20">
      <c r="A188" s="104" t="s">
        <v>22</v>
      </c>
      <c r="B188" s="104" t="s">
        <v>31</v>
      </c>
      <c r="C188" s="114"/>
      <c r="D188" s="114"/>
      <c r="E188" s="114"/>
      <c r="F188" s="114"/>
      <c r="G188" s="114"/>
      <c r="H188" s="104">
        <v>40201</v>
      </c>
      <c r="I188" s="104">
        <v>4</v>
      </c>
      <c r="J188" s="104">
        <v>2</v>
      </c>
      <c r="K188" s="104">
        <v>0</v>
      </c>
      <c r="L188" s="104">
        <v>2</v>
      </c>
      <c r="M188" s="104">
        <v>0.172</v>
      </c>
      <c r="N188" s="104" t="s">
        <v>24</v>
      </c>
      <c r="O188" s="104" t="s">
        <v>25</v>
      </c>
      <c r="P188" s="104" t="s">
        <v>271</v>
      </c>
      <c r="Q188" s="104">
        <v>46114.4868055556</v>
      </c>
      <c r="R188" s="104">
        <v>46114.5180555556</v>
      </c>
      <c r="S188" s="104">
        <v>46114.7951388889</v>
      </c>
      <c r="T188" s="104" t="s">
        <v>283</v>
      </c>
    </row>
    <row r="189" s="102" customFormat="1" ht="15" spans="1:20">
      <c r="A189" s="104" t="s">
        <v>22</v>
      </c>
      <c r="B189" s="104" t="s">
        <v>72</v>
      </c>
      <c r="C189" s="104" t="s">
        <v>417</v>
      </c>
      <c r="D189" s="104" t="s">
        <v>74</v>
      </c>
      <c r="E189" s="114"/>
      <c r="F189" s="114"/>
      <c r="G189" s="114"/>
      <c r="H189" s="104">
        <v>4020001</v>
      </c>
      <c r="I189" s="104">
        <v>267</v>
      </c>
      <c r="J189" s="104">
        <v>90</v>
      </c>
      <c r="K189" s="104">
        <v>26</v>
      </c>
      <c r="L189" s="104">
        <v>64</v>
      </c>
      <c r="M189" s="104">
        <v>106.447</v>
      </c>
      <c r="N189" s="104" t="s">
        <v>24</v>
      </c>
      <c r="O189" s="104" t="s">
        <v>25</v>
      </c>
      <c r="P189" s="104" t="s">
        <v>271</v>
      </c>
      <c r="Q189" s="104">
        <v>46114.5180555556</v>
      </c>
      <c r="R189" s="104">
        <v>46114.5180555556</v>
      </c>
      <c r="S189" s="104">
        <v>46114.5743055556</v>
      </c>
      <c r="T189" s="104" t="s">
        <v>351</v>
      </c>
    </row>
    <row r="190" s="102" customFormat="1" ht="15" spans="1:20">
      <c r="A190" s="104" t="s">
        <v>22</v>
      </c>
      <c r="B190" s="104" t="s">
        <v>188</v>
      </c>
      <c r="C190" s="104" t="s">
        <v>418</v>
      </c>
      <c r="D190" s="104" t="s">
        <v>190</v>
      </c>
      <c r="E190" s="114"/>
      <c r="F190" s="114"/>
      <c r="G190" s="114"/>
      <c r="H190" s="104">
        <v>4020001</v>
      </c>
      <c r="I190" s="104">
        <v>3397</v>
      </c>
      <c r="J190" s="104">
        <v>3380</v>
      </c>
      <c r="K190" s="104">
        <v>10</v>
      </c>
      <c r="L190" s="104">
        <v>3370</v>
      </c>
      <c r="M190" s="104">
        <v>4669.351</v>
      </c>
      <c r="N190" s="104" t="s">
        <v>24</v>
      </c>
      <c r="O190" s="104" t="s">
        <v>25</v>
      </c>
      <c r="P190" s="104" t="s">
        <v>271</v>
      </c>
      <c r="Q190" s="104">
        <v>46114.51875</v>
      </c>
      <c r="R190" s="104">
        <v>46114.51875</v>
      </c>
      <c r="S190" s="104">
        <v>46114.5743055556</v>
      </c>
      <c r="T190" s="104" t="s">
        <v>416</v>
      </c>
    </row>
    <row r="191" s="102" customFormat="1" ht="15" spans="1:20">
      <c r="A191" s="104" t="s">
        <v>22</v>
      </c>
      <c r="B191" s="104" t="s">
        <v>47</v>
      </c>
      <c r="C191" s="114"/>
      <c r="D191" s="114"/>
      <c r="E191" s="114"/>
      <c r="F191" s="114"/>
      <c r="G191" s="114"/>
      <c r="H191" s="104">
        <v>40201</v>
      </c>
      <c r="I191" s="104">
        <v>40</v>
      </c>
      <c r="J191" s="104">
        <v>12</v>
      </c>
      <c r="K191" s="104">
        <v>1</v>
      </c>
      <c r="L191" s="104">
        <v>11</v>
      </c>
      <c r="M191" s="104">
        <v>21.708</v>
      </c>
      <c r="N191" s="104" t="s">
        <v>24</v>
      </c>
      <c r="O191" s="104" t="s">
        <v>25</v>
      </c>
      <c r="P191" s="104" t="s">
        <v>271</v>
      </c>
      <c r="Q191" s="104">
        <v>46114.5222222222</v>
      </c>
      <c r="R191" s="104">
        <v>46114.5222222222</v>
      </c>
      <c r="S191" s="104">
        <v>46114.5708333333</v>
      </c>
      <c r="T191" s="104" t="s">
        <v>419</v>
      </c>
    </row>
    <row r="192" s="102" customFormat="1" ht="15" spans="1:20">
      <c r="A192" s="104" t="s">
        <v>22</v>
      </c>
      <c r="B192" s="104" t="s">
        <v>31</v>
      </c>
      <c r="C192" s="114"/>
      <c r="D192" s="114"/>
      <c r="E192" s="114"/>
      <c r="F192" s="114"/>
      <c r="G192" s="114"/>
      <c r="H192" s="104">
        <v>4023356</v>
      </c>
      <c r="I192" s="104">
        <v>97</v>
      </c>
      <c r="J192" s="104">
        <v>5</v>
      </c>
      <c r="K192" s="104">
        <v>3</v>
      </c>
      <c r="L192" s="104">
        <v>2</v>
      </c>
      <c r="M192" s="104">
        <v>16.301</v>
      </c>
      <c r="N192" s="104" t="s">
        <v>24</v>
      </c>
      <c r="O192" s="104" t="s">
        <v>25</v>
      </c>
      <c r="P192" s="104" t="s">
        <v>271</v>
      </c>
      <c r="Q192" s="104">
        <v>46114.5326388889</v>
      </c>
      <c r="R192" s="104">
        <v>46114.5326388889</v>
      </c>
      <c r="S192" s="104">
        <v>46114.5708333333</v>
      </c>
      <c r="T192" s="104" t="s">
        <v>420</v>
      </c>
    </row>
    <row r="193" s="102" customFormat="1" ht="15" spans="1:20">
      <c r="A193" s="104" t="s">
        <v>22</v>
      </c>
      <c r="B193" s="104" t="s">
        <v>31</v>
      </c>
      <c r="C193" s="114"/>
      <c r="D193" s="114"/>
      <c r="E193" s="114"/>
      <c r="F193" s="114"/>
      <c r="G193" s="114"/>
      <c r="H193" s="104">
        <v>40201</v>
      </c>
      <c r="I193" s="104">
        <v>2</v>
      </c>
      <c r="J193" s="104">
        <v>2</v>
      </c>
      <c r="K193" s="104">
        <v>0</v>
      </c>
      <c r="L193" s="104">
        <v>2</v>
      </c>
      <c r="M193" s="104">
        <v>10.185</v>
      </c>
      <c r="N193" s="104" t="s">
        <v>24</v>
      </c>
      <c r="O193" s="104" t="s">
        <v>25</v>
      </c>
      <c r="P193" s="104" t="s">
        <v>271</v>
      </c>
      <c r="Q193" s="104">
        <v>46114.4868055556</v>
      </c>
      <c r="R193" s="104">
        <v>46114.5409722222</v>
      </c>
      <c r="S193" s="104">
        <v>46114.7951388889</v>
      </c>
      <c r="T193" s="104" t="s">
        <v>283</v>
      </c>
    </row>
    <row r="194" s="102" customFormat="1" ht="15" spans="1:20">
      <c r="A194" s="104" t="s">
        <v>22</v>
      </c>
      <c r="B194" s="104" t="s">
        <v>197</v>
      </c>
      <c r="C194" s="104" t="s">
        <v>421</v>
      </c>
      <c r="D194" s="104" t="s">
        <v>422</v>
      </c>
      <c r="E194" s="114"/>
      <c r="F194" s="114"/>
      <c r="G194" s="104">
        <v>11111111111111</v>
      </c>
      <c r="H194" s="104">
        <v>4020001</v>
      </c>
      <c r="I194" s="104">
        <v>5075</v>
      </c>
      <c r="J194" s="104">
        <v>4812</v>
      </c>
      <c r="K194" s="104">
        <v>20</v>
      </c>
      <c r="L194" s="104">
        <v>4792</v>
      </c>
      <c r="M194" s="104">
        <v>3604.033</v>
      </c>
      <c r="N194" s="104" t="s">
        <v>24</v>
      </c>
      <c r="O194" s="104" t="s">
        <v>25</v>
      </c>
      <c r="P194" s="104" t="s">
        <v>271</v>
      </c>
      <c r="Q194" s="104">
        <v>46114.5458333333</v>
      </c>
      <c r="R194" s="104">
        <v>46114.5458333333</v>
      </c>
      <c r="S194" s="104">
        <v>46114.575</v>
      </c>
      <c r="T194" s="104" t="s">
        <v>423</v>
      </c>
    </row>
    <row r="195" s="102" customFormat="1" ht="15" spans="1:20">
      <c r="A195" s="104" t="s">
        <v>22</v>
      </c>
      <c r="B195" s="104" t="s">
        <v>23</v>
      </c>
      <c r="C195" s="104" t="s">
        <v>424</v>
      </c>
      <c r="D195" s="104" t="s">
        <v>193</v>
      </c>
      <c r="E195" s="114"/>
      <c r="F195" s="114"/>
      <c r="G195" s="114"/>
      <c r="H195" s="104">
        <v>4020001</v>
      </c>
      <c r="I195" s="104">
        <v>1002</v>
      </c>
      <c r="J195" s="104">
        <v>1002</v>
      </c>
      <c r="K195" s="104">
        <v>0</v>
      </c>
      <c r="L195" s="104">
        <v>1002</v>
      </c>
      <c r="M195" s="104">
        <v>1317.12</v>
      </c>
      <c r="N195" s="104" t="s">
        <v>24</v>
      </c>
      <c r="O195" s="104" t="s">
        <v>25</v>
      </c>
      <c r="P195" s="104" t="s">
        <v>271</v>
      </c>
      <c r="Q195" s="104">
        <v>46114.5465277778</v>
      </c>
      <c r="R195" s="104">
        <v>46114.5465277778</v>
      </c>
      <c r="S195" s="104">
        <v>46114.5694444444</v>
      </c>
      <c r="T195" s="104" t="s">
        <v>425</v>
      </c>
    </row>
    <row r="196" s="102" customFormat="1" ht="15" spans="1:20">
      <c r="A196" s="104" t="s">
        <v>22</v>
      </c>
      <c r="B196" s="104" t="s">
        <v>201</v>
      </c>
      <c r="C196" s="104" t="s">
        <v>426</v>
      </c>
      <c r="D196" s="104" t="s">
        <v>144</v>
      </c>
      <c r="E196" s="104" t="s">
        <v>145</v>
      </c>
      <c r="F196" s="104" t="s">
        <v>146</v>
      </c>
      <c r="G196" s="114"/>
      <c r="H196" s="104">
        <v>4020001</v>
      </c>
      <c r="I196" s="104">
        <v>14382</v>
      </c>
      <c r="J196" s="104">
        <v>2802</v>
      </c>
      <c r="K196" s="104">
        <v>8</v>
      </c>
      <c r="L196" s="104">
        <v>2794</v>
      </c>
      <c r="M196" s="104">
        <v>9868.656</v>
      </c>
      <c r="N196" s="104" t="s">
        <v>24</v>
      </c>
      <c r="O196" s="104" t="s">
        <v>70</v>
      </c>
      <c r="P196" s="104" t="s">
        <v>271</v>
      </c>
      <c r="Q196" s="104">
        <v>46114.49375</v>
      </c>
      <c r="R196" s="104">
        <v>46114.6034722222</v>
      </c>
      <c r="S196" s="104">
        <v>46114.6652777778</v>
      </c>
      <c r="T196" s="104" t="s">
        <v>427</v>
      </c>
    </row>
    <row r="197" s="102" customFormat="1" ht="15" spans="1:20">
      <c r="A197" s="104" t="s">
        <v>22</v>
      </c>
      <c r="B197" s="104" t="s">
        <v>207</v>
      </c>
      <c r="C197" s="104" t="s">
        <v>428</v>
      </c>
      <c r="D197" s="104" t="s">
        <v>203</v>
      </c>
      <c r="E197" s="104" t="s">
        <v>204</v>
      </c>
      <c r="F197" s="104" t="s">
        <v>205</v>
      </c>
      <c r="G197" s="114"/>
      <c r="H197" s="104">
        <v>4020001</v>
      </c>
      <c r="I197" s="104">
        <v>16585</v>
      </c>
      <c r="J197" s="104">
        <v>2747</v>
      </c>
      <c r="K197" s="104">
        <v>6</v>
      </c>
      <c r="L197" s="104">
        <v>2741</v>
      </c>
      <c r="M197" s="104">
        <v>10274.922</v>
      </c>
      <c r="N197" s="104" t="s">
        <v>24</v>
      </c>
      <c r="O197" s="104" t="s">
        <v>70</v>
      </c>
      <c r="P197" s="104" t="s">
        <v>271</v>
      </c>
      <c r="Q197" s="104">
        <v>46114.5513888889</v>
      </c>
      <c r="R197" s="104">
        <v>46114.6034722222</v>
      </c>
      <c r="S197" s="104">
        <v>46114.6652777778</v>
      </c>
      <c r="T197" s="104" t="s">
        <v>427</v>
      </c>
    </row>
    <row r="198" s="102" customFormat="1" ht="30" spans="1:20">
      <c r="A198" s="104" t="s">
        <v>22</v>
      </c>
      <c r="B198" s="104" t="s">
        <v>154</v>
      </c>
      <c r="C198" s="114"/>
      <c r="D198" s="104" t="s">
        <v>29</v>
      </c>
      <c r="E198" s="114"/>
      <c r="F198" s="114"/>
      <c r="G198" s="114"/>
      <c r="H198" s="104">
        <v>4021016</v>
      </c>
      <c r="I198" s="104">
        <v>6</v>
      </c>
      <c r="J198" s="104">
        <v>6</v>
      </c>
      <c r="K198" s="104">
        <v>0</v>
      </c>
      <c r="L198" s="104">
        <v>6</v>
      </c>
      <c r="M198" s="104">
        <v>1.4</v>
      </c>
      <c r="N198" s="104" t="s">
        <v>24</v>
      </c>
      <c r="O198" s="104" t="s">
        <v>25</v>
      </c>
      <c r="P198" s="104" t="s">
        <v>155</v>
      </c>
      <c r="Q198" s="104">
        <v>46114.6055555556</v>
      </c>
      <c r="R198" s="104">
        <v>46114.6055555556</v>
      </c>
      <c r="S198" s="114"/>
      <c r="T198" s="114"/>
    </row>
    <row r="199" s="102" customFormat="1" ht="15" spans="1:20">
      <c r="A199" s="104" t="s">
        <v>22</v>
      </c>
      <c r="B199" s="104" t="s">
        <v>91</v>
      </c>
      <c r="C199" s="104" t="s">
        <v>429</v>
      </c>
      <c r="D199" s="104" t="s">
        <v>93</v>
      </c>
      <c r="E199" s="114"/>
      <c r="F199" s="114"/>
      <c r="G199" s="104">
        <v>12345678911111</v>
      </c>
      <c r="H199" s="104">
        <v>4020003</v>
      </c>
      <c r="I199" s="104">
        <v>1984</v>
      </c>
      <c r="J199" s="104">
        <v>1984</v>
      </c>
      <c r="K199" s="104">
        <v>2</v>
      </c>
      <c r="L199" s="104">
        <v>1982</v>
      </c>
      <c r="M199" s="104">
        <v>5371.008</v>
      </c>
      <c r="N199" s="104" t="s">
        <v>24</v>
      </c>
      <c r="O199" s="104" t="s">
        <v>25</v>
      </c>
      <c r="P199" s="104" t="s">
        <v>271</v>
      </c>
      <c r="Q199" s="104">
        <v>46114.6819444444</v>
      </c>
      <c r="R199" s="104">
        <v>46114.6819444444</v>
      </c>
      <c r="S199" s="104">
        <v>46114.6972222222</v>
      </c>
      <c r="T199" s="104" t="s">
        <v>120</v>
      </c>
    </row>
    <row r="200" s="102" customFormat="1" ht="15" spans="1:20">
      <c r="A200" s="104" t="s">
        <v>22</v>
      </c>
      <c r="B200" s="104" t="s">
        <v>219</v>
      </c>
      <c r="C200" s="104" t="s">
        <v>430</v>
      </c>
      <c r="D200" s="104" t="s">
        <v>221</v>
      </c>
      <c r="E200" s="114"/>
      <c r="F200" s="114"/>
      <c r="G200" s="104">
        <v>11111111111111</v>
      </c>
      <c r="H200" s="104">
        <v>4020002</v>
      </c>
      <c r="I200" s="104">
        <v>3298</v>
      </c>
      <c r="J200" s="104">
        <v>3298</v>
      </c>
      <c r="K200" s="104">
        <v>10</v>
      </c>
      <c r="L200" s="104">
        <v>3288</v>
      </c>
      <c r="M200" s="104">
        <v>2526.84</v>
      </c>
      <c r="N200" s="104" t="s">
        <v>24</v>
      </c>
      <c r="O200" s="104" t="s">
        <v>25</v>
      </c>
      <c r="P200" s="104" t="s">
        <v>271</v>
      </c>
      <c r="Q200" s="104">
        <v>46114.6888888889</v>
      </c>
      <c r="R200" s="104">
        <v>46114.6888888889</v>
      </c>
      <c r="S200" s="104">
        <v>46114.6972222222</v>
      </c>
      <c r="T200" s="104" t="s">
        <v>381</v>
      </c>
    </row>
    <row r="201" s="102" customFormat="1" ht="15" spans="1:20">
      <c r="A201" s="104" t="s">
        <v>22</v>
      </c>
      <c r="B201" s="104" t="s">
        <v>90</v>
      </c>
      <c r="C201" s="114"/>
      <c r="D201" s="114"/>
      <c r="E201" s="114"/>
      <c r="F201" s="114"/>
      <c r="G201" s="114"/>
      <c r="H201" s="104">
        <v>40201</v>
      </c>
      <c r="I201" s="104">
        <v>9</v>
      </c>
      <c r="J201" s="104">
        <v>1</v>
      </c>
      <c r="K201" s="104">
        <v>0</v>
      </c>
      <c r="L201" s="104">
        <v>1</v>
      </c>
      <c r="M201" s="104">
        <v>0.316</v>
      </c>
      <c r="N201" s="104" t="s">
        <v>24</v>
      </c>
      <c r="O201" s="104" t="s">
        <v>25</v>
      </c>
      <c r="P201" s="104" t="s">
        <v>271</v>
      </c>
      <c r="Q201" s="104">
        <v>46114.4868055556</v>
      </c>
      <c r="R201" s="104">
        <v>46114.6965277778</v>
      </c>
      <c r="S201" s="104">
        <v>46114.7951388889</v>
      </c>
      <c r="T201" s="104" t="s">
        <v>280</v>
      </c>
    </row>
    <row r="202" s="102" customFormat="1" ht="15" spans="1:20">
      <c r="A202" s="104" t="s">
        <v>22</v>
      </c>
      <c r="B202" s="104" t="s">
        <v>81</v>
      </c>
      <c r="C202" s="114"/>
      <c r="D202" s="114"/>
      <c r="E202" s="114"/>
      <c r="F202" s="114"/>
      <c r="G202" s="114"/>
      <c r="H202" s="104">
        <v>40201</v>
      </c>
      <c r="I202" s="104">
        <v>157</v>
      </c>
      <c r="J202" s="104">
        <v>21</v>
      </c>
      <c r="K202" s="104">
        <v>0</v>
      </c>
      <c r="L202" s="104">
        <v>21</v>
      </c>
      <c r="M202" s="104">
        <v>21.527</v>
      </c>
      <c r="N202" s="104" t="s">
        <v>24</v>
      </c>
      <c r="O202" s="104" t="s">
        <v>25</v>
      </c>
      <c r="P202" s="104" t="s">
        <v>271</v>
      </c>
      <c r="Q202" s="104">
        <v>46114.7375</v>
      </c>
      <c r="R202" s="104">
        <v>46114.7375</v>
      </c>
      <c r="S202" s="104">
        <v>46114.7944444444</v>
      </c>
      <c r="T202" s="104" t="s">
        <v>281</v>
      </c>
    </row>
    <row r="203" s="102" customFormat="1" ht="15" spans="1:20">
      <c r="A203" s="104" t="s">
        <v>22</v>
      </c>
      <c r="B203" s="104" t="s">
        <v>81</v>
      </c>
      <c r="C203" s="114"/>
      <c r="D203" s="114"/>
      <c r="E203" s="114"/>
      <c r="F203" s="114"/>
      <c r="G203" s="114"/>
      <c r="H203" s="104">
        <v>4023647</v>
      </c>
      <c r="I203" s="104">
        <v>23</v>
      </c>
      <c r="J203" s="104">
        <v>15</v>
      </c>
      <c r="K203" s="104">
        <v>0</v>
      </c>
      <c r="L203" s="104">
        <v>15</v>
      </c>
      <c r="M203" s="104">
        <v>5.219</v>
      </c>
      <c r="N203" s="104" t="s">
        <v>24</v>
      </c>
      <c r="O203" s="104" t="s">
        <v>25</v>
      </c>
      <c r="P203" s="104" t="s">
        <v>271</v>
      </c>
      <c r="Q203" s="104">
        <v>46114.7375</v>
      </c>
      <c r="R203" s="104">
        <v>46114.7375</v>
      </c>
      <c r="S203" s="104">
        <v>46114.7944444444</v>
      </c>
      <c r="T203" s="104" t="s">
        <v>281</v>
      </c>
    </row>
    <row r="204" s="102" customFormat="1" ht="15" spans="1:20">
      <c r="A204" s="104" t="s">
        <v>22</v>
      </c>
      <c r="B204" s="104" t="s">
        <v>81</v>
      </c>
      <c r="C204" s="114"/>
      <c r="D204" s="114"/>
      <c r="E204" s="114"/>
      <c r="F204" s="114"/>
      <c r="G204" s="114"/>
      <c r="H204" s="104">
        <v>4023695</v>
      </c>
      <c r="I204" s="104">
        <v>10</v>
      </c>
      <c r="J204" s="104">
        <v>10</v>
      </c>
      <c r="K204" s="104">
        <v>0</v>
      </c>
      <c r="L204" s="104">
        <v>10</v>
      </c>
      <c r="M204" s="104">
        <v>4.899</v>
      </c>
      <c r="N204" s="104" t="s">
        <v>24</v>
      </c>
      <c r="O204" s="104" t="s">
        <v>25</v>
      </c>
      <c r="P204" s="104" t="s">
        <v>271</v>
      </c>
      <c r="Q204" s="104">
        <v>46114.7375</v>
      </c>
      <c r="R204" s="104">
        <v>46114.7375</v>
      </c>
      <c r="S204" s="104">
        <v>46114.7944444444</v>
      </c>
      <c r="T204" s="104" t="s">
        <v>281</v>
      </c>
    </row>
    <row r="205" s="102" customFormat="1" ht="15" spans="1:20">
      <c r="A205" s="104" t="s">
        <v>22</v>
      </c>
      <c r="B205" s="104" t="s">
        <v>83</v>
      </c>
      <c r="C205" s="114"/>
      <c r="D205" s="114"/>
      <c r="E205" s="114"/>
      <c r="F205" s="114"/>
      <c r="G205" s="114"/>
      <c r="H205" s="104">
        <v>4023730</v>
      </c>
      <c r="I205" s="104">
        <v>2</v>
      </c>
      <c r="J205" s="104">
        <v>1</v>
      </c>
      <c r="K205" s="104">
        <v>1</v>
      </c>
      <c r="L205" s="104">
        <v>0</v>
      </c>
      <c r="M205" s="104">
        <v>0.15</v>
      </c>
      <c r="N205" s="104" t="s">
        <v>24</v>
      </c>
      <c r="O205" s="104" t="s">
        <v>25</v>
      </c>
      <c r="P205" s="104" t="s">
        <v>271</v>
      </c>
      <c r="Q205" s="104">
        <v>46114.7854166667</v>
      </c>
      <c r="R205" s="104">
        <v>46114.7854166667</v>
      </c>
      <c r="S205" s="104">
        <v>46114.7951388889</v>
      </c>
      <c r="T205" s="104" t="s">
        <v>431</v>
      </c>
    </row>
    <row r="206" s="102" customFormat="1" ht="15" spans="1:20">
      <c r="A206" s="104" t="s">
        <v>22</v>
      </c>
      <c r="B206" s="104" t="s">
        <v>219</v>
      </c>
      <c r="C206" s="104" t="s">
        <v>432</v>
      </c>
      <c r="D206" s="104" t="s">
        <v>252</v>
      </c>
      <c r="E206" s="114"/>
      <c r="F206" s="114"/>
      <c r="G206" s="104">
        <v>11111111111111</v>
      </c>
      <c r="H206" s="104">
        <v>4020001</v>
      </c>
      <c r="I206" s="104">
        <v>6741</v>
      </c>
      <c r="J206" s="104">
        <v>6487</v>
      </c>
      <c r="K206" s="104">
        <v>585</v>
      </c>
      <c r="L206" s="104">
        <v>5902</v>
      </c>
      <c r="M206" s="104">
        <v>3052.222</v>
      </c>
      <c r="N206" s="104" t="s">
        <v>24</v>
      </c>
      <c r="O206" s="104" t="s">
        <v>25</v>
      </c>
      <c r="P206" s="104" t="s">
        <v>271</v>
      </c>
      <c r="Q206" s="104">
        <v>46114.7930555556</v>
      </c>
      <c r="R206" s="104">
        <v>46114.79375</v>
      </c>
      <c r="S206" s="104">
        <v>46114.8701388889</v>
      </c>
      <c r="T206" s="104" t="s">
        <v>433</v>
      </c>
    </row>
    <row r="207" s="102" customFormat="1" ht="15" spans="1:20">
      <c r="A207" s="104" t="s">
        <v>22</v>
      </c>
      <c r="B207" s="104" t="s">
        <v>305</v>
      </c>
      <c r="C207" s="104" t="s">
        <v>434</v>
      </c>
      <c r="D207" s="104" t="s">
        <v>307</v>
      </c>
      <c r="E207" s="114"/>
      <c r="F207" s="114"/>
      <c r="G207" s="114"/>
      <c r="H207" s="104">
        <v>4020001</v>
      </c>
      <c r="I207" s="104">
        <v>786</v>
      </c>
      <c r="J207" s="104">
        <v>528</v>
      </c>
      <c r="K207" s="104">
        <v>0</v>
      </c>
      <c r="L207" s="104">
        <v>528</v>
      </c>
      <c r="M207" s="104">
        <v>598.223</v>
      </c>
      <c r="N207" s="104" t="s">
        <v>24</v>
      </c>
      <c r="O207" s="104" t="s">
        <v>25</v>
      </c>
      <c r="P207" s="104" t="s">
        <v>271</v>
      </c>
      <c r="Q207" s="104">
        <v>46114.7958333333</v>
      </c>
      <c r="R207" s="104">
        <v>46114.7972222222</v>
      </c>
      <c r="S207" s="104">
        <v>46114.8708333333</v>
      </c>
      <c r="T207" s="104" t="s">
        <v>435</v>
      </c>
    </row>
    <row r="208" s="102" customFormat="1" ht="15" spans="1:20">
      <c r="A208" s="104" t="s">
        <v>22</v>
      </c>
      <c r="B208" s="104" t="s">
        <v>319</v>
      </c>
      <c r="C208" s="104" t="s">
        <v>436</v>
      </c>
      <c r="D208" s="104" t="s">
        <v>321</v>
      </c>
      <c r="E208" s="114"/>
      <c r="F208" s="114"/>
      <c r="G208" s="114"/>
      <c r="H208" s="104">
        <v>4020001</v>
      </c>
      <c r="I208" s="104">
        <v>655</v>
      </c>
      <c r="J208" s="104">
        <v>340</v>
      </c>
      <c r="K208" s="104">
        <v>10</v>
      </c>
      <c r="L208" s="104">
        <v>330</v>
      </c>
      <c r="M208" s="104">
        <v>510.754</v>
      </c>
      <c r="N208" s="104" t="s">
        <v>24</v>
      </c>
      <c r="O208" s="104" t="s">
        <v>25</v>
      </c>
      <c r="P208" s="104" t="s">
        <v>271</v>
      </c>
      <c r="Q208" s="104">
        <v>46114.8</v>
      </c>
      <c r="R208" s="104">
        <v>46114.8034722222</v>
      </c>
      <c r="S208" s="104">
        <v>46114.8708333333</v>
      </c>
      <c r="T208" s="104" t="s">
        <v>437</v>
      </c>
    </row>
    <row r="209" s="102" customFormat="1" ht="15" spans="1:20">
      <c r="A209" s="104" t="s">
        <v>22</v>
      </c>
      <c r="B209" s="104" t="s">
        <v>229</v>
      </c>
      <c r="C209" s="104" t="s">
        <v>438</v>
      </c>
      <c r="D209" s="104" t="s">
        <v>231</v>
      </c>
      <c r="E209" s="114"/>
      <c r="F209" s="114"/>
      <c r="G209" s="114"/>
      <c r="H209" s="104">
        <v>4020002</v>
      </c>
      <c r="I209" s="104">
        <v>3530</v>
      </c>
      <c r="J209" s="104">
        <v>3530</v>
      </c>
      <c r="K209" s="104">
        <v>8</v>
      </c>
      <c r="L209" s="104">
        <v>3522</v>
      </c>
      <c r="M209" s="104">
        <v>5295.841</v>
      </c>
      <c r="N209" s="104" t="s">
        <v>24</v>
      </c>
      <c r="O209" s="104" t="s">
        <v>25</v>
      </c>
      <c r="P209" s="104" t="s">
        <v>271</v>
      </c>
      <c r="Q209" s="104">
        <v>46114.7986111111</v>
      </c>
      <c r="R209" s="104">
        <v>46114.8034722222</v>
      </c>
      <c r="S209" s="104">
        <v>46114.8708333333</v>
      </c>
      <c r="T209" s="104" t="s">
        <v>437</v>
      </c>
    </row>
    <row r="210" s="102" customFormat="1" ht="15" spans="1:20">
      <c r="A210" s="104" t="s">
        <v>22</v>
      </c>
      <c r="B210" s="104" t="s">
        <v>263</v>
      </c>
      <c r="C210" s="104" t="s">
        <v>439</v>
      </c>
      <c r="D210" s="104" t="s">
        <v>265</v>
      </c>
      <c r="E210" s="114"/>
      <c r="F210" s="114"/>
      <c r="G210" s="114"/>
      <c r="H210" s="104">
        <v>4020001</v>
      </c>
      <c r="I210" s="104">
        <v>1962</v>
      </c>
      <c r="J210" s="104">
        <v>1056</v>
      </c>
      <c r="K210" s="104">
        <v>99</v>
      </c>
      <c r="L210" s="104">
        <v>957</v>
      </c>
      <c r="M210" s="104">
        <v>1986.263</v>
      </c>
      <c r="N210" s="104" t="s">
        <v>24</v>
      </c>
      <c r="O210" s="104" t="s">
        <v>25</v>
      </c>
      <c r="P210" s="104" t="s">
        <v>271</v>
      </c>
      <c r="Q210" s="104">
        <v>46114.8041666667</v>
      </c>
      <c r="R210" s="104">
        <v>46114.8041666667</v>
      </c>
      <c r="S210" s="104">
        <v>46114.8722222222</v>
      </c>
      <c r="T210" s="104" t="s">
        <v>440</v>
      </c>
    </row>
    <row r="211" s="102" customFormat="1" ht="15" spans="1:20">
      <c r="A211" s="104" t="s">
        <v>22</v>
      </c>
      <c r="B211" s="104" t="s">
        <v>249</v>
      </c>
      <c r="C211" s="104" t="s">
        <v>441</v>
      </c>
      <c r="D211" s="104" t="s">
        <v>55</v>
      </c>
      <c r="E211" s="114"/>
      <c r="F211" s="114"/>
      <c r="G211" s="114"/>
      <c r="H211" s="104">
        <v>4020001</v>
      </c>
      <c r="I211" s="104">
        <v>136</v>
      </c>
      <c r="J211" s="104">
        <v>136</v>
      </c>
      <c r="K211" s="104">
        <v>18</v>
      </c>
      <c r="L211" s="104">
        <v>118</v>
      </c>
      <c r="M211" s="104">
        <v>288.33</v>
      </c>
      <c r="N211" s="104" t="s">
        <v>24</v>
      </c>
      <c r="O211" s="104" t="s">
        <v>25</v>
      </c>
      <c r="P211" s="104" t="s">
        <v>271</v>
      </c>
      <c r="Q211" s="104">
        <v>46114.8</v>
      </c>
      <c r="R211" s="104">
        <v>46114.8041666667</v>
      </c>
      <c r="S211" s="104">
        <v>46114.8722222222</v>
      </c>
      <c r="T211" s="104" t="s">
        <v>442</v>
      </c>
    </row>
    <row r="212" s="102" customFormat="1" ht="15" spans="1:20">
      <c r="A212" s="104" t="s">
        <v>22</v>
      </c>
      <c r="B212" s="104" t="s">
        <v>257</v>
      </c>
      <c r="C212" s="104" t="s">
        <v>443</v>
      </c>
      <c r="D212" s="104" t="s">
        <v>259</v>
      </c>
      <c r="E212" s="114"/>
      <c r="F212" s="114"/>
      <c r="G212" s="114"/>
      <c r="H212" s="104">
        <v>4020001</v>
      </c>
      <c r="I212" s="104">
        <v>1904</v>
      </c>
      <c r="J212" s="104">
        <v>1772</v>
      </c>
      <c r="K212" s="104">
        <v>5</v>
      </c>
      <c r="L212" s="104">
        <v>1767</v>
      </c>
      <c r="M212" s="104">
        <v>3824.767</v>
      </c>
      <c r="N212" s="104" t="s">
        <v>24</v>
      </c>
      <c r="O212" s="104" t="s">
        <v>25</v>
      </c>
      <c r="P212" s="104" t="s">
        <v>271</v>
      </c>
      <c r="Q212" s="104">
        <v>46114.8013888889</v>
      </c>
      <c r="R212" s="104">
        <v>46114.8048611111</v>
      </c>
      <c r="S212" s="104">
        <v>46114.8729166667</v>
      </c>
      <c r="T212" s="104" t="s">
        <v>442</v>
      </c>
    </row>
    <row r="213" s="102" customFormat="1" ht="15" spans="1:20">
      <c r="A213" s="104" t="s">
        <v>22</v>
      </c>
      <c r="B213" s="104" t="s">
        <v>261</v>
      </c>
      <c r="C213" s="104" t="s">
        <v>444</v>
      </c>
      <c r="D213" s="104" t="s">
        <v>44</v>
      </c>
      <c r="E213" s="114"/>
      <c r="F213" s="114"/>
      <c r="G213" s="104">
        <v>25646625500071</v>
      </c>
      <c r="H213" s="104">
        <v>4020001</v>
      </c>
      <c r="I213" s="104">
        <v>2849</v>
      </c>
      <c r="J213" s="104">
        <v>2579</v>
      </c>
      <c r="K213" s="104">
        <v>2</v>
      </c>
      <c r="L213" s="104">
        <v>2577</v>
      </c>
      <c r="M213" s="104">
        <v>3777.221</v>
      </c>
      <c r="N213" s="104" t="s">
        <v>24</v>
      </c>
      <c r="O213" s="104" t="s">
        <v>25</v>
      </c>
      <c r="P213" s="104" t="s">
        <v>271</v>
      </c>
      <c r="Q213" s="104">
        <v>46114.8041666667</v>
      </c>
      <c r="R213" s="104">
        <v>46114.8048611111</v>
      </c>
      <c r="S213" s="104">
        <v>46114.8729166667</v>
      </c>
      <c r="T213" s="104" t="s">
        <v>442</v>
      </c>
    </row>
    <row r="214" s="102" customFormat="1" ht="15" spans="1:20">
      <c r="A214" s="104" t="s">
        <v>22</v>
      </c>
      <c r="B214" s="104" t="s">
        <v>314</v>
      </c>
      <c r="C214" s="104" t="s">
        <v>445</v>
      </c>
      <c r="D214" s="104" t="s">
        <v>293</v>
      </c>
      <c r="E214" s="114"/>
      <c r="F214" s="114"/>
      <c r="G214" s="114"/>
      <c r="H214" s="104">
        <v>4020001</v>
      </c>
      <c r="I214" s="104">
        <v>70</v>
      </c>
      <c r="J214" s="104">
        <v>54</v>
      </c>
      <c r="K214" s="104">
        <v>7</v>
      </c>
      <c r="L214" s="104">
        <v>47</v>
      </c>
      <c r="M214" s="104">
        <v>44.359</v>
      </c>
      <c r="N214" s="104" t="s">
        <v>24</v>
      </c>
      <c r="O214" s="104" t="s">
        <v>25</v>
      </c>
      <c r="P214" s="104" t="s">
        <v>271</v>
      </c>
      <c r="Q214" s="104">
        <v>46114.8083333333</v>
      </c>
      <c r="R214" s="104">
        <v>46114.8097222222</v>
      </c>
      <c r="S214" s="104">
        <v>46114.8729166667</v>
      </c>
      <c r="T214" s="104" t="s">
        <v>446</v>
      </c>
    </row>
    <row r="215" s="102" customFormat="1" ht="15" spans="1:20">
      <c r="A215" s="104" t="s">
        <v>22</v>
      </c>
      <c r="B215" s="104" t="s">
        <v>311</v>
      </c>
      <c r="C215" s="104" t="s">
        <v>447</v>
      </c>
      <c r="D215" s="104" t="s">
        <v>51</v>
      </c>
      <c r="E215" s="114"/>
      <c r="F215" s="114"/>
      <c r="G215" s="104">
        <v>25500099202506</v>
      </c>
      <c r="H215" s="104">
        <v>4020001</v>
      </c>
      <c r="I215" s="104">
        <v>830</v>
      </c>
      <c r="J215" s="104">
        <v>805</v>
      </c>
      <c r="K215" s="104">
        <v>0</v>
      </c>
      <c r="L215" s="104">
        <v>805</v>
      </c>
      <c r="M215" s="104">
        <v>1317.097</v>
      </c>
      <c r="N215" s="104" t="s">
        <v>24</v>
      </c>
      <c r="O215" s="104" t="s">
        <v>25</v>
      </c>
      <c r="P215" s="104" t="s">
        <v>271</v>
      </c>
      <c r="Q215" s="104">
        <v>46114.8111111111</v>
      </c>
      <c r="R215" s="104">
        <v>46114.8111111111</v>
      </c>
      <c r="S215" s="104">
        <v>46114.8729166667</v>
      </c>
      <c r="T215" s="104" t="s">
        <v>448</v>
      </c>
    </row>
    <row r="216" s="102" customFormat="1" ht="15" spans="1:20">
      <c r="A216" s="104" t="s">
        <v>22</v>
      </c>
      <c r="B216" s="104" t="s">
        <v>232</v>
      </c>
      <c r="C216" s="104" t="s">
        <v>449</v>
      </c>
      <c r="D216" s="104" t="s">
        <v>65</v>
      </c>
      <c r="E216" s="114"/>
      <c r="F216" s="114"/>
      <c r="G216" s="114"/>
      <c r="H216" s="104">
        <v>4020001</v>
      </c>
      <c r="I216" s="104">
        <v>2845</v>
      </c>
      <c r="J216" s="104">
        <v>2075</v>
      </c>
      <c r="K216" s="104">
        <v>173</v>
      </c>
      <c r="L216" s="104">
        <v>1902</v>
      </c>
      <c r="M216" s="104">
        <v>2975.331</v>
      </c>
      <c r="N216" s="104" t="s">
        <v>24</v>
      </c>
      <c r="O216" s="104" t="s">
        <v>25</v>
      </c>
      <c r="P216" s="104" t="s">
        <v>271</v>
      </c>
      <c r="Q216" s="104">
        <v>46114.8125</v>
      </c>
      <c r="R216" s="104">
        <v>46114.81875</v>
      </c>
      <c r="S216" s="104">
        <v>46114.8736111111</v>
      </c>
      <c r="T216" s="104" t="s">
        <v>450</v>
      </c>
    </row>
    <row r="217" s="102" customFormat="1" ht="15" spans="1:20">
      <c r="A217" s="104" t="s">
        <v>22</v>
      </c>
      <c r="B217" s="104" t="s">
        <v>324</v>
      </c>
      <c r="C217" s="104" t="s">
        <v>451</v>
      </c>
      <c r="D217" s="104" t="s">
        <v>326</v>
      </c>
      <c r="E217" s="114"/>
      <c r="F217" s="114"/>
      <c r="G217" s="114"/>
      <c r="H217" s="104">
        <v>4020001</v>
      </c>
      <c r="I217" s="104">
        <v>3640</v>
      </c>
      <c r="J217" s="104">
        <v>2731</v>
      </c>
      <c r="K217" s="104">
        <v>337</v>
      </c>
      <c r="L217" s="104">
        <v>2394</v>
      </c>
      <c r="M217" s="104">
        <v>3582.68</v>
      </c>
      <c r="N217" s="104" t="s">
        <v>24</v>
      </c>
      <c r="O217" s="104" t="s">
        <v>25</v>
      </c>
      <c r="P217" s="104" t="s">
        <v>271</v>
      </c>
      <c r="Q217" s="104">
        <v>46114.8138888889</v>
      </c>
      <c r="R217" s="104">
        <v>46114.81875</v>
      </c>
      <c r="S217" s="104">
        <v>46114.8722222222</v>
      </c>
      <c r="T217" s="104" t="s">
        <v>452</v>
      </c>
    </row>
    <row r="218" s="102" customFormat="1" ht="15" spans="1:20">
      <c r="A218" s="104" t="s">
        <v>22</v>
      </c>
      <c r="B218" s="104" t="s">
        <v>164</v>
      </c>
      <c r="C218" s="104" t="s">
        <v>453</v>
      </c>
      <c r="D218" s="104" t="s">
        <v>217</v>
      </c>
      <c r="E218" s="114"/>
      <c r="F218" s="114"/>
      <c r="G218" s="114"/>
      <c r="H218" s="104">
        <v>4020002</v>
      </c>
      <c r="I218" s="104">
        <v>5383</v>
      </c>
      <c r="J218" s="104">
        <v>5383</v>
      </c>
      <c r="K218" s="104">
        <v>6</v>
      </c>
      <c r="L218" s="104">
        <v>5377</v>
      </c>
      <c r="M218" s="104">
        <v>11544.355</v>
      </c>
      <c r="N218" s="104" t="s">
        <v>24</v>
      </c>
      <c r="O218" s="104" t="s">
        <v>25</v>
      </c>
      <c r="P218" s="104" t="s">
        <v>271</v>
      </c>
      <c r="Q218" s="104">
        <v>46114.8194444444</v>
      </c>
      <c r="R218" s="104">
        <v>46114.8194444444</v>
      </c>
      <c r="S218" s="104">
        <v>46114.8736111111</v>
      </c>
      <c r="T218" s="104" t="s">
        <v>450</v>
      </c>
    </row>
    <row r="219" s="102" customFormat="1" ht="15" spans="1:20">
      <c r="A219" s="104" t="s">
        <v>22</v>
      </c>
      <c r="B219" s="104" t="s">
        <v>332</v>
      </c>
      <c r="C219" s="104" t="s">
        <v>454</v>
      </c>
      <c r="D219" s="104" t="s">
        <v>334</v>
      </c>
      <c r="E219" s="114"/>
      <c r="F219" s="114"/>
      <c r="G219" s="114"/>
      <c r="H219" s="104">
        <v>4020001</v>
      </c>
      <c r="I219" s="104">
        <v>3673</v>
      </c>
      <c r="J219" s="104">
        <v>3325</v>
      </c>
      <c r="K219" s="104">
        <v>14</v>
      </c>
      <c r="L219" s="104">
        <v>3306</v>
      </c>
      <c r="M219" s="104">
        <v>2322.604</v>
      </c>
      <c r="N219" s="104" t="s">
        <v>24</v>
      </c>
      <c r="O219" s="104" t="s">
        <v>25</v>
      </c>
      <c r="P219" s="104" t="s">
        <v>271</v>
      </c>
      <c r="Q219" s="104">
        <v>46114.8194444444</v>
      </c>
      <c r="R219" s="104">
        <v>46114.8222222222</v>
      </c>
      <c r="S219" s="104">
        <v>46114.8736111111</v>
      </c>
      <c r="T219" s="104" t="s">
        <v>414</v>
      </c>
    </row>
    <row r="220" s="102" customFormat="1" ht="15" spans="1:20">
      <c r="A220" s="104" t="s">
        <v>22</v>
      </c>
      <c r="B220" s="104" t="s">
        <v>299</v>
      </c>
      <c r="C220" s="104" t="s">
        <v>455</v>
      </c>
      <c r="D220" s="104" t="s">
        <v>174</v>
      </c>
      <c r="E220" s="114"/>
      <c r="F220" s="114"/>
      <c r="G220" s="114"/>
      <c r="H220" s="104">
        <v>4020001</v>
      </c>
      <c r="I220" s="104">
        <v>20</v>
      </c>
      <c r="J220" s="104">
        <v>20</v>
      </c>
      <c r="K220" s="104">
        <v>0</v>
      </c>
      <c r="L220" s="104">
        <v>20</v>
      </c>
      <c r="M220" s="104">
        <v>8.71</v>
      </c>
      <c r="N220" s="104" t="s">
        <v>24</v>
      </c>
      <c r="O220" s="104" t="s">
        <v>25</v>
      </c>
      <c r="P220" s="104" t="s">
        <v>271</v>
      </c>
      <c r="Q220" s="104">
        <v>46114.8236111111</v>
      </c>
      <c r="R220" s="104">
        <v>46114.8305555556</v>
      </c>
      <c r="S220" s="104">
        <v>46114.8736111111</v>
      </c>
      <c r="T220" s="104" t="s">
        <v>456</v>
      </c>
    </row>
    <row r="221" s="102" customFormat="1" ht="15" spans="1:20">
      <c r="A221" s="104" t="s">
        <v>22</v>
      </c>
      <c r="B221" s="104" t="s">
        <v>302</v>
      </c>
      <c r="C221" s="104" t="s">
        <v>457</v>
      </c>
      <c r="D221" s="104" t="s">
        <v>74</v>
      </c>
      <c r="E221" s="114"/>
      <c r="F221" s="114"/>
      <c r="G221" s="114"/>
      <c r="H221" s="104">
        <v>4020001</v>
      </c>
      <c r="I221" s="104">
        <v>1668</v>
      </c>
      <c r="J221" s="104">
        <v>1641</v>
      </c>
      <c r="K221" s="104">
        <v>12</v>
      </c>
      <c r="L221" s="104">
        <v>1629</v>
      </c>
      <c r="M221" s="104">
        <v>1923.784</v>
      </c>
      <c r="N221" s="104" t="s">
        <v>24</v>
      </c>
      <c r="O221" s="104" t="s">
        <v>25</v>
      </c>
      <c r="P221" s="104" t="s">
        <v>271</v>
      </c>
      <c r="Q221" s="104">
        <v>46114.825</v>
      </c>
      <c r="R221" s="104">
        <v>46114.8305555556</v>
      </c>
      <c r="S221" s="104">
        <v>46114.8743055556</v>
      </c>
      <c r="T221" s="104" t="s">
        <v>456</v>
      </c>
    </row>
    <row r="222" s="102" customFormat="1" ht="15" spans="1:20">
      <c r="A222" s="104" t="s">
        <v>22</v>
      </c>
      <c r="B222" s="104" t="s">
        <v>336</v>
      </c>
      <c r="C222" s="104" t="s">
        <v>458</v>
      </c>
      <c r="D222" s="104" t="s">
        <v>190</v>
      </c>
      <c r="E222" s="114"/>
      <c r="F222" s="114"/>
      <c r="G222" s="114"/>
      <c r="H222" s="104">
        <v>4020001</v>
      </c>
      <c r="I222" s="104">
        <v>7552</v>
      </c>
      <c r="J222" s="104">
        <v>7552</v>
      </c>
      <c r="K222" s="104">
        <v>18</v>
      </c>
      <c r="L222" s="104">
        <v>7534</v>
      </c>
      <c r="M222" s="104">
        <v>5958.497</v>
      </c>
      <c r="N222" s="104" t="s">
        <v>24</v>
      </c>
      <c r="O222" s="104" t="s">
        <v>25</v>
      </c>
      <c r="P222" s="104" t="s">
        <v>271</v>
      </c>
      <c r="Q222" s="104">
        <v>46114.8444444444</v>
      </c>
      <c r="R222" s="104">
        <v>46114.8527777778</v>
      </c>
      <c r="S222" s="104">
        <v>46114.8826388889</v>
      </c>
      <c r="T222" s="104" t="s">
        <v>459</v>
      </c>
    </row>
    <row r="223" s="102" customFormat="1" ht="15" spans="1:20">
      <c r="A223" s="104" t="s">
        <v>22</v>
      </c>
      <c r="B223" s="104" t="s">
        <v>212</v>
      </c>
      <c r="C223" s="104" t="s">
        <v>460</v>
      </c>
      <c r="D223" s="104" t="s">
        <v>214</v>
      </c>
      <c r="E223" s="114"/>
      <c r="F223" s="114"/>
      <c r="G223" s="114"/>
      <c r="H223" s="104">
        <v>4020001</v>
      </c>
      <c r="I223" s="104">
        <v>1262</v>
      </c>
      <c r="J223" s="104">
        <v>1262</v>
      </c>
      <c r="K223" s="104">
        <v>265</v>
      </c>
      <c r="L223" s="104">
        <v>997</v>
      </c>
      <c r="M223" s="104">
        <v>1930.557</v>
      </c>
      <c r="N223" s="104" t="s">
        <v>24</v>
      </c>
      <c r="O223" s="104" t="s">
        <v>25</v>
      </c>
      <c r="P223" s="104" t="s">
        <v>271</v>
      </c>
      <c r="Q223" s="104">
        <v>46114.8263888889</v>
      </c>
      <c r="R223" s="104">
        <v>46114.8527777778</v>
      </c>
      <c r="S223" s="104">
        <v>46114.8826388889</v>
      </c>
      <c r="T223" s="104" t="s">
        <v>459</v>
      </c>
    </row>
    <row r="224" s="102" customFormat="1" ht="15" spans="1:20">
      <c r="A224" s="104" t="s">
        <v>22</v>
      </c>
      <c r="B224" s="104" t="s">
        <v>229</v>
      </c>
      <c r="C224" s="104" t="s">
        <v>461</v>
      </c>
      <c r="D224" s="104" t="s">
        <v>268</v>
      </c>
      <c r="E224" s="114"/>
      <c r="F224" s="104" t="s">
        <v>79</v>
      </c>
      <c r="G224" s="114"/>
      <c r="H224" s="104">
        <v>4020001</v>
      </c>
      <c r="I224" s="104">
        <v>7703</v>
      </c>
      <c r="J224" s="104">
        <v>7649</v>
      </c>
      <c r="K224" s="104">
        <v>2682</v>
      </c>
      <c r="L224" s="104">
        <v>4967</v>
      </c>
      <c r="M224" s="104">
        <v>11208.436</v>
      </c>
      <c r="N224" s="104" t="s">
        <v>24</v>
      </c>
      <c r="O224" s="104" t="s">
        <v>25</v>
      </c>
      <c r="P224" s="104" t="s">
        <v>271</v>
      </c>
      <c r="Q224" s="104">
        <v>46114.8659722222</v>
      </c>
      <c r="R224" s="104">
        <v>46114.8694444444</v>
      </c>
      <c r="S224" s="104">
        <v>46114.9284722222</v>
      </c>
      <c r="T224" s="104" t="s">
        <v>462</v>
      </c>
    </row>
    <row r="225" s="102" customFormat="1" ht="15" spans="1:20">
      <c r="A225" s="104" t="s">
        <v>22</v>
      </c>
      <c r="B225" s="104" t="s">
        <v>148</v>
      </c>
      <c r="C225" s="104" t="s">
        <v>463</v>
      </c>
      <c r="D225" s="104" t="s">
        <v>150</v>
      </c>
      <c r="E225" s="104" t="s">
        <v>151</v>
      </c>
      <c r="F225" s="104" t="s">
        <v>152</v>
      </c>
      <c r="G225" s="114"/>
      <c r="H225" s="104">
        <v>4020001</v>
      </c>
      <c r="I225" s="104">
        <v>7749</v>
      </c>
      <c r="J225" s="104">
        <v>1664</v>
      </c>
      <c r="K225" s="104">
        <v>1</v>
      </c>
      <c r="L225" s="104">
        <v>1663</v>
      </c>
      <c r="M225" s="104">
        <v>5546.051</v>
      </c>
      <c r="N225" s="104" t="s">
        <v>24</v>
      </c>
      <c r="O225" s="104" t="s">
        <v>70</v>
      </c>
      <c r="P225" s="104" t="s">
        <v>106</v>
      </c>
      <c r="Q225" s="104">
        <v>46115.3520833333</v>
      </c>
      <c r="R225" s="104">
        <v>46115.3576388889</v>
      </c>
      <c r="S225" s="104">
        <v>46115.3743055556</v>
      </c>
      <c r="T225" s="104" t="s">
        <v>464</v>
      </c>
    </row>
    <row r="226" s="102" customFormat="1" ht="30" spans="1:20">
      <c r="A226" s="104" t="s">
        <v>22</v>
      </c>
      <c r="B226" s="104" t="s">
        <v>154</v>
      </c>
      <c r="C226" s="114"/>
      <c r="D226" s="104" t="s">
        <v>29</v>
      </c>
      <c r="E226" s="114"/>
      <c r="F226" s="114"/>
      <c r="G226" s="114"/>
      <c r="H226" s="104">
        <v>4031017</v>
      </c>
      <c r="I226" s="104">
        <v>447</v>
      </c>
      <c r="J226" s="104">
        <v>447</v>
      </c>
      <c r="K226" s="104">
        <v>0</v>
      </c>
      <c r="L226" s="104">
        <v>447</v>
      </c>
      <c r="M226" s="104">
        <v>223.395</v>
      </c>
      <c r="N226" s="104" t="s">
        <v>24</v>
      </c>
      <c r="O226" s="104" t="s">
        <v>25</v>
      </c>
      <c r="P226" s="104" t="s">
        <v>155</v>
      </c>
      <c r="Q226" s="104">
        <v>46115.3694444444</v>
      </c>
      <c r="R226" s="104">
        <v>46115.3694444444</v>
      </c>
      <c r="S226" s="114"/>
      <c r="T226" s="114"/>
    </row>
    <row r="227" s="102" customFormat="1" ht="15" spans="1:20">
      <c r="A227" s="104" t="s">
        <v>22</v>
      </c>
      <c r="B227" s="104" t="s">
        <v>156</v>
      </c>
      <c r="C227" s="104" t="s">
        <v>465</v>
      </c>
      <c r="D227" s="104" t="s">
        <v>466</v>
      </c>
      <c r="E227" s="114"/>
      <c r="F227" s="114"/>
      <c r="G227" s="114"/>
      <c r="H227" s="104">
        <v>4040001</v>
      </c>
      <c r="I227" s="104">
        <v>6977</v>
      </c>
      <c r="J227" s="104">
        <v>1594</v>
      </c>
      <c r="K227" s="104">
        <v>0</v>
      </c>
      <c r="L227" s="104">
        <v>1594</v>
      </c>
      <c r="M227" s="104">
        <v>5697.209</v>
      </c>
      <c r="N227" s="104" t="s">
        <v>24</v>
      </c>
      <c r="O227" s="104" t="s">
        <v>70</v>
      </c>
      <c r="P227" s="104" t="s">
        <v>106</v>
      </c>
      <c r="Q227" s="104">
        <v>46115.4256944444</v>
      </c>
      <c r="R227" s="104">
        <v>46115.4298611111</v>
      </c>
      <c r="S227" s="104">
        <v>46115.4597222222</v>
      </c>
      <c r="T227" s="104" t="s">
        <v>459</v>
      </c>
    </row>
    <row r="228" s="102" customFormat="1" ht="15" spans="1:20">
      <c r="A228" s="104" t="s">
        <v>22</v>
      </c>
      <c r="B228" s="104" t="s">
        <v>159</v>
      </c>
      <c r="C228" s="104" t="s">
        <v>467</v>
      </c>
      <c r="D228" s="104" t="s">
        <v>161</v>
      </c>
      <c r="E228" s="114"/>
      <c r="F228" s="114"/>
      <c r="G228" s="114"/>
      <c r="H228" s="104">
        <v>4030001</v>
      </c>
      <c r="I228" s="104">
        <v>481</v>
      </c>
      <c r="J228" s="104">
        <v>481</v>
      </c>
      <c r="K228" s="104">
        <v>9</v>
      </c>
      <c r="L228" s="104">
        <v>472</v>
      </c>
      <c r="M228" s="104">
        <v>0</v>
      </c>
      <c r="N228" s="104" t="s">
        <v>24</v>
      </c>
      <c r="O228" s="104" t="s">
        <v>70</v>
      </c>
      <c r="P228" s="104" t="s">
        <v>106</v>
      </c>
      <c r="Q228" s="104">
        <v>46115.4291666667</v>
      </c>
      <c r="R228" s="104">
        <v>46115.4326388889</v>
      </c>
      <c r="S228" s="104">
        <v>46115.4444444444</v>
      </c>
      <c r="T228" s="104" t="s">
        <v>369</v>
      </c>
    </row>
    <row r="229" s="102" customFormat="1" ht="15" spans="1:20">
      <c r="A229" s="104" t="s">
        <v>22</v>
      </c>
      <c r="B229" s="104" t="s">
        <v>36</v>
      </c>
      <c r="C229" s="104" t="s">
        <v>468</v>
      </c>
      <c r="D229" s="104" t="s">
        <v>38</v>
      </c>
      <c r="E229" s="114"/>
      <c r="F229" s="114"/>
      <c r="G229" s="114"/>
      <c r="H229" s="104">
        <v>4030001</v>
      </c>
      <c r="I229" s="104">
        <v>401</v>
      </c>
      <c r="J229" s="104">
        <v>401</v>
      </c>
      <c r="K229" s="104">
        <v>0</v>
      </c>
      <c r="L229" s="104">
        <v>401</v>
      </c>
      <c r="M229" s="104">
        <v>342.488</v>
      </c>
      <c r="N229" s="104" t="s">
        <v>24</v>
      </c>
      <c r="O229" s="104" t="s">
        <v>25</v>
      </c>
      <c r="P229" s="104" t="s">
        <v>106</v>
      </c>
      <c r="Q229" s="104">
        <v>46115.4736111111</v>
      </c>
      <c r="R229" s="104">
        <v>46115.475</v>
      </c>
      <c r="S229" s="104">
        <v>46115.4826388889</v>
      </c>
      <c r="T229" s="104" t="s">
        <v>136</v>
      </c>
    </row>
    <row r="230" s="102" customFormat="1" ht="15" spans="1:20">
      <c r="A230" s="104" t="s">
        <v>22</v>
      </c>
      <c r="B230" s="104" t="s">
        <v>23</v>
      </c>
      <c r="C230" s="114"/>
      <c r="D230" s="114"/>
      <c r="E230" s="114"/>
      <c r="F230" s="114"/>
      <c r="G230" s="114"/>
      <c r="H230" s="104">
        <v>4037321</v>
      </c>
      <c r="I230" s="104">
        <v>51</v>
      </c>
      <c r="J230" s="104">
        <v>1</v>
      </c>
      <c r="K230" s="104">
        <v>0</v>
      </c>
      <c r="L230" s="104">
        <v>1</v>
      </c>
      <c r="M230" s="104">
        <v>2.55</v>
      </c>
      <c r="N230" s="104" t="s">
        <v>24</v>
      </c>
      <c r="O230" s="104" t="s">
        <v>25</v>
      </c>
      <c r="P230" s="104" t="s">
        <v>106</v>
      </c>
      <c r="Q230" s="104">
        <v>46115.4770833333</v>
      </c>
      <c r="R230" s="104">
        <v>46115.4770833333</v>
      </c>
      <c r="S230" s="104">
        <v>46115.4826388889</v>
      </c>
      <c r="T230" s="104" t="s">
        <v>469</v>
      </c>
    </row>
    <row r="231" s="102" customFormat="1" ht="15" spans="1:20">
      <c r="A231" s="104" t="s">
        <v>22</v>
      </c>
      <c r="B231" s="104" t="s">
        <v>39</v>
      </c>
      <c r="C231" s="104" t="s">
        <v>470</v>
      </c>
      <c r="D231" s="104" t="s">
        <v>41</v>
      </c>
      <c r="E231" s="114"/>
      <c r="F231" s="114"/>
      <c r="G231" s="114"/>
      <c r="H231" s="104">
        <v>4030001</v>
      </c>
      <c r="I231" s="104">
        <v>352</v>
      </c>
      <c r="J231" s="104">
        <v>18</v>
      </c>
      <c r="K231" s="104">
        <v>4</v>
      </c>
      <c r="L231" s="104">
        <v>14</v>
      </c>
      <c r="M231" s="104">
        <v>202.534</v>
      </c>
      <c r="N231" s="104" t="s">
        <v>24</v>
      </c>
      <c r="O231" s="104" t="s">
        <v>25</v>
      </c>
      <c r="P231" s="104" t="s">
        <v>106</v>
      </c>
      <c r="Q231" s="104">
        <v>46115.4763888889</v>
      </c>
      <c r="R231" s="104">
        <v>46115.4784722222</v>
      </c>
      <c r="S231" s="104">
        <v>46115.5097222222</v>
      </c>
      <c r="T231" s="104" t="s">
        <v>471</v>
      </c>
    </row>
    <row r="232" s="102" customFormat="1" ht="15" spans="1:20">
      <c r="A232" s="104" t="s">
        <v>22</v>
      </c>
      <c r="B232" s="104" t="s">
        <v>175</v>
      </c>
      <c r="C232" s="104" t="s">
        <v>472</v>
      </c>
      <c r="D232" s="104" t="s">
        <v>177</v>
      </c>
      <c r="E232" s="114"/>
      <c r="F232" s="114"/>
      <c r="G232" s="104">
        <v>11111111111111</v>
      </c>
      <c r="H232" s="104">
        <v>4030003</v>
      </c>
      <c r="I232" s="104">
        <v>2747</v>
      </c>
      <c r="J232" s="104">
        <v>2747</v>
      </c>
      <c r="K232" s="104">
        <v>7</v>
      </c>
      <c r="L232" s="104">
        <v>2740</v>
      </c>
      <c r="M232" s="104">
        <v>5517.65</v>
      </c>
      <c r="N232" s="104" t="s">
        <v>24</v>
      </c>
      <c r="O232" s="104" t="s">
        <v>25</v>
      </c>
      <c r="P232" s="104" t="s">
        <v>106</v>
      </c>
      <c r="Q232" s="104">
        <v>46115.4777777778</v>
      </c>
      <c r="R232" s="104">
        <v>46115.4791666667</v>
      </c>
      <c r="S232" s="104">
        <v>46115.5097222222</v>
      </c>
      <c r="T232" s="104" t="s">
        <v>471</v>
      </c>
    </row>
    <row r="233" s="102" customFormat="1" ht="15" spans="1:20">
      <c r="A233" s="104" t="s">
        <v>22</v>
      </c>
      <c r="B233" s="104" t="s">
        <v>164</v>
      </c>
      <c r="C233" s="104" t="s">
        <v>473</v>
      </c>
      <c r="D233" s="104" t="s">
        <v>166</v>
      </c>
      <c r="E233" s="114"/>
      <c r="F233" s="114"/>
      <c r="G233" s="114"/>
      <c r="H233" s="104">
        <v>4030001</v>
      </c>
      <c r="I233" s="104">
        <v>6733</v>
      </c>
      <c r="J233" s="104">
        <v>6733</v>
      </c>
      <c r="K233" s="104">
        <v>7</v>
      </c>
      <c r="L233" s="104">
        <v>6726</v>
      </c>
      <c r="M233" s="104">
        <v>12033.509</v>
      </c>
      <c r="N233" s="104" t="s">
        <v>24</v>
      </c>
      <c r="O233" s="104" t="s">
        <v>25</v>
      </c>
      <c r="P233" s="104" t="s">
        <v>106</v>
      </c>
      <c r="Q233" s="104">
        <v>46115.4861111111</v>
      </c>
      <c r="R233" s="104">
        <v>46115.4881944444</v>
      </c>
      <c r="S233" s="104">
        <v>46115.5097222222</v>
      </c>
      <c r="T233" s="104" t="s">
        <v>474</v>
      </c>
    </row>
    <row r="234" s="102" customFormat="1" ht="15" spans="1:20">
      <c r="A234" s="104" t="s">
        <v>22</v>
      </c>
      <c r="B234" s="104" t="s">
        <v>53</v>
      </c>
      <c r="C234" s="104" t="s">
        <v>475</v>
      </c>
      <c r="D234" s="104" t="s">
        <v>55</v>
      </c>
      <c r="E234" s="114"/>
      <c r="F234" s="114"/>
      <c r="G234" s="114"/>
      <c r="H234" s="104">
        <v>4030001</v>
      </c>
      <c r="I234" s="104">
        <v>55</v>
      </c>
      <c r="J234" s="104">
        <v>14</v>
      </c>
      <c r="K234" s="104">
        <v>2</v>
      </c>
      <c r="L234" s="104">
        <v>12</v>
      </c>
      <c r="M234" s="104">
        <v>31.407</v>
      </c>
      <c r="N234" s="104" t="s">
        <v>24</v>
      </c>
      <c r="O234" s="104" t="s">
        <v>25</v>
      </c>
      <c r="P234" s="104" t="s">
        <v>106</v>
      </c>
      <c r="Q234" s="104">
        <v>46115.4888888889</v>
      </c>
      <c r="R234" s="104">
        <v>46115.4888888889</v>
      </c>
      <c r="S234" s="104">
        <v>46115.5111111111</v>
      </c>
      <c r="T234" s="104" t="s">
        <v>200</v>
      </c>
    </row>
    <row r="235" s="102" customFormat="1" ht="15" spans="1:20">
      <c r="A235" s="104" t="s">
        <v>22</v>
      </c>
      <c r="B235" s="104" t="s">
        <v>49</v>
      </c>
      <c r="C235" s="104" t="s">
        <v>476</v>
      </c>
      <c r="D235" s="104" t="s">
        <v>51</v>
      </c>
      <c r="E235" s="114"/>
      <c r="F235" s="114"/>
      <c r="G235" s="114"/>
      <c r="H235" s="104">
        <v>4030001</v>
      </c>
      <c r="I235" s="104">
        <v>40</v>
      </c>
      <c r="J235" s="104">
        <v>35</v>
      </c>
      <c r="K235" s="104">
        <v>2</v>
      </c>
      <c r="L235" s="104">
        <v>33</v>
      </c>
      <c r="M235" s="104">
        <v>224.03</v>
      </c>
      <c r="N235" s="104" t="s">
        <v>24</v>
      </c>
      <c r="O235" s="104" t="s">
        <v>25</v>
      </c>
      <c r="P235" s="104" t="s">
        <v>106</v>
      </c>
      <c r="Q235" s="104">
        <v>46115.4888888889</v>
      </c>
      <c r="R235" s="104">
        <v>46115.4888888889</v>
      </c>
      <c r="S235" s="104">
        <v>46115.5125</v>
      </c>
      <c r="T235" s="104" t="s">
        <v>425</v>
      </c>
    </row>
    <row r="236" s="102" customFormat="1" ht="15" spans="1:20">
      <c r="A236" s="104" t="s">
        <v>22</v>
      </c>
      <c r="B236" s="104" t="s">
        <v>67</v>
      </c>
      <c r="C236" s="104" t="s">
        <v>477</v>
      </c>
      <c r="D236" s="104" t="s">
        <v>69</v>
      </c>
      <c r="E236" s="114"/>
      <c r="F236" s="114"/>
      <c r="G236" s="114"/>
      <c r="H236" s="104">
        <v>4030001</v>
      </c>
      <c r="I236" s="104">
        <v>1236</v>
      </c>
      <c r="J236" s="104">
        <v>458</v>
      </c>
      <c r="K236" s="104">
        <v>0</v>
      </c>
      <c r="L236" s="104">
        <v>458</v>
      </c>
      <c r="M236" s="104">
        <v>1219.858</v>
      </c>
      <c r="N236" s="104" t="s">
        <v>24</v>
      </c>
      <c r="O236" s="104" t="s">
        <v>70</v>
      </c>
      <c r="P236" s="104" t="s">
        <v>106</v>
      </c>
      <c r="Q236" s="104">
        <v>46115.4881944444</v>
      </c>
      <c r="R236" s="104">
        <v>46115.4902777778</v>
      </c>
      <c r="S236" s="104">
        <v>46115.50625</v>
      </c>
      <c r="T236" s="104" t="s">
        <v>478</v>
      </c>
    </row>
    <row r="237" s="102" customFormat="1" ht="15" spans="1:20">
      <c r="A237" s="104" t="s">
        <v>22</v>
      </c>
      <c r="B237" s="104" t="s">
        <v>127</v>
      </c>
      <c r="C237" s="114"/>
      <c r="D237" s="104" t="s">
        <v>29</v>
      </c>
      <c r="E237" s="114"/>
      <c r="F237" s="114"/>
      <c r="G237" s="114"/>
      <c r="H237" s="104">
        <v>4031852</v>
      </c>
      <c r="I237" s="104">
        <v>0</v>
      </c>
      <c r="J237" s="104">
        <v>1</v>
      </c>
      <c r="K237" s="104">
        <v>0</v>
      </c>
      <c r="L237" s="104">
        <v>1</v>
      </c>
      <c r="M237" s="104">
        <v>0</v>
      </c>
      <c r="N237" s="104" t="s">
        <v>24</v>
      </c>
      <c r="O237" s="104" t="s">
        <v>25</v>
      </c>
      <c r="P237" s="104" t="s">
        <v>106</v>
      </c>
      <c r="Q237" s="104">
        <v>46115.4909722222</v>
      </c>
      <c r="R237" s="104">
        <v>46115.4909722222</v>
      </c>
      <c r="S237" s="104">
        <v>46115.5138888889</v>
      </c>
      <c r="T237" s="104" t="s">
        <v>200</v>
      </c>
    </row>
    <row r="238" s="102" customFormat="1" ht="15" spans="1:20">
      <c r="A238" s="104" t="s">
        <v>22</v>
      </c>
      <c r="B238" s="104" t="s">
        <v>168</v>
      </c>
      <c r="C238" s="104" t="s">
        <v>479</v>
      </c>
      <c r="D238" s="104" t="s">
        <v>293</v>
      </c>
      <c r="E238" s="114"/>
      <c r="F238" s="114"/>
      <c r="G238" s="114"/>
      <c r="H238" s="104">
        <v>4030001</v>
      </c>
      <c r="I238" s="104">
        <v>489</v>
      </c>
      <c r="J238" s="104">
        <v>303</v>
      </c>
      <c r="K238" s="104">
        <v>11</v>
      </c>
      <c r="L238" s="104">
        <v>292</v>
      </c>
      <c r="M238" s="104">
        <v>406.183</v>
      </c>
      <c r="N238" s="104" t="s">
        <v>24</v>
      </c>
      <c r="O238" s="104" t="s">
        <v>25</v>
      </c>
      <c r="P238" s="104" t="s">
        <v>106</v>
      </c>
      <c r="Q238" s="104">
        <v>46115.4958333333</v>
      </c>
      <c r="R238" s="104">
        <v>46115.4972222222</v>
      </c>
      <c r="S238" s="104">
        <v>46115.5138888889</v>
      </c>
      <c r="T238" s="104" t="s">
        <v>478</v>
      </c>
    </row>
    <row r="239" s="102" customFormat="1" ht="15" spans="1:20">
      <c r="A239" s="104" t="s">
        <v>22</v>
      </c>
      <c r="B239" s="104" t="s">
        <v>28</v>
      </c>
      <c r="C239" s="114"/>
      <c r="D239" s="104" t="s">
        <v>29</v>
      </c>
      <c r="E239" s="114"/>
      <c r="F239" s="114"/>
      <c r="G239" s="114"/>
      <c r="H239" s="104">
        <v>4032101</v>
      </c>
      <c r="I239" s="104">
        <v>0</v>
      </c>
      <c r="J239" s="104">
        <v>121</v>
      </c>
      <c r="K239" s="104">
        <v>0</v>
      </c>
      <c r="L239" s="104">
        <v>121</v>
      </c>
      <c r="M239" s="104">
        <v>0</v>
      </c>
      <c r="N239" s="104" t="s">
        <v>24</v>
      </c>
      <c r="O239" s="104" t="s">
        <v>25</v>
      </c>
      <c r="P239" s="104" t="s">
        <v>106</v>
      </c>
      <c r="Q239" s="104">
        <v>46115.4986111111</v>
      </c>
      <c r="R239" s="104">
        <v>46115.4986111111</v>
      </c>
      <c r="S239" s="104">
        <v>46115.5138888889</v>
      </c>
      <c r="T239" s="104" t="s">
        <v>128</v>
      </c>
    </row>
    <row r="240" s="102" customFormat="1" ht="15" spans="1:20">
      <c r="A240" s="104" t="s">
        <v>22</v>
      </c>
      <c r="B240" s="104" t="s">
        <v>172</v>
      </c>
      <c r="C240" s="104" t="s">
        <v>480</v>
      </c>
      <c r="D240" s="104" t="s">
        <v>174</v>
      </c>
      <c r="E240" s="114"/>
      <c r="F240" s="114"/>
      <c r="G240" s="114"/>
      <c r="H240" s="104">
        <v>4030001</v>
      </c>
      <c r="I240" s="104">
        <v>50</v>
      </c>
      <c r="J240" s="104">
        <v>24</v>
      </c>
      <c r="K240" s="104">
        <v>0</v>
      </c>
      <c r="L240" s="104">
        <v>24</v>
      </c>
      <c r="M240" s="104">
        <v>59.276</v>
      </c>
      <c r="N240" s="104" t="s">
        <v>24</v>
      </c>
      <c r="O240" s="104" t="s">
        <v>25</v>
      </c>
      <c r="P240" s="104" t="s">
        <v>106</v>
      </c>
      <c r="Q240" s="104">
        <v>46115.4944444444</v>
      </c>
      <c r="R240" s="104">
        <v>46115.5013888889</v>
      </c>
      <c r="S240" s="104">
        <v>46115.5180555556</v>
      </c>
      <c r="T240" s="104" t="s">
        <v>464</v>
      </c>
    </row>
    <row r="241" s="102" customFormat="1" ht="15" spans="1:20">
      <c r="A241" s="104" t="s">
        <v>22</v>
      </c>
      <c r="B241" s="104" t="s">
        <v>72</v>
      </c>
      <c r="C241" s="104" t="s">
        <v>481</v>
      </c>
      <c r="D241" s="104" t="s">
        <v>74</v>
      </c>
      <c r="E241" s="114"/>
      <c r="F241" s="114"/>
      <c r="G241" s="114"/>
      <c r="H241" s="104">
        <v>4030001</v>
      </c>
      <c r="I241" s="104">
        <v>470</v>
      </c>
      <c r="J241" s="104">
        <v>354</v>
      </c>
      <c r="K241" s="104">
        <v>11</v>
      </c>
      <c r="L241" s="104">
        <v>343</v>
      </c>
      <c r="M241" s="104">
        <v>560.113</v>
      </c>
      <c r="N241" s="104" t="s">
        <v>24</v>
      </c>
      <c r="O241" s="104" t="s">
        <v>25</v>
      </c>
      <c r="P241" s="104" t="s">
        <v>106</v>
      </c>
      <c r="Q241" s="104">
        <v>46115.5048611111</v>
      </c>
      <c r="R241" s="104">
        <v>46115.5055555556</v>
      </c>
      <c r="S241" s="104">
        <v>46115.5180555556</v>
      </c>
      <c r="T241" s="104" t="s">
        <v>393</v>
      </c>
    </row>
    <row r="242" s="102" customFormat="1" ht="15" spans="1:20">
      <c r="A242" s="104" t="s">
        <v>22</v>
      </c>
      <c r="B242" s="104" t="s">
        <v>31</v>
      </c>
      <c r="C242" s="114"/>
      <c r="D242" s="114"/>
      <c r="E242" s="114"/>
      <c r="F242" s="114"/>
      <c r="G242" s="114"/>
      <c r="H242" s="104">
        <v>40301</v>
      </c>
      <c r="I242" s="104">
        <v>5</v>
      </c>
      <c r="J242" s="104">
        <v>3</v>
      </c>
      <c r="K242" s="104">
        <v>0</v>
      </c>
      <c r="L242" s="104">
        <v>3</v>
      </c>
      <c r="M242" s="104">
        <v>0.126</v>
      </c>
      <c r="N242" s="104" t="s">
        <v>24</v>
      </c>
      <c r="O242" s="104" t="s">
        <v>25</v>
      </c>
      <c r="P242" s="104" t="s">
        <v>106</v>
      </c>
      <c r="Q242" s="104">
        <v>46115.50625</v>
      </c>
      <c r="R242" s="104">
        <v>46115.50625</v>
      </c>
      <c r="S242" s="104">
        <v>46115.7777777778</v>
      </c>
      <c r="T242" s="104" t="s">
        <v>474</v>
      </c>
    </row>
    <row r="243" s="102" customFormat="1" ht="15" spans="1:20">
      <c r="A243" s="104" t="s">
        <v>22</v>
      </c>
      <c r="B243" s="104" t="s">
        <v>47</v>
      </c>
      <c r="C243" s="114"/>
      <c r="D243" s="114"/>
      <c r="E243" s="114"/>
      <c r="F243" s="114"/>
      <c r="G243" s="114"/>
      <c r="H243" s="104">
        <v>40301</v>
      </c>
      <c r="I243" s="104">
        <v>35</v>
      </c>
      <c r="J243" s="104">
        <v>10</v>
      </c>
      <c r="K243" s="104">
        <v>0</v>
      </c>
      <c r="L243" s="104">
        <v>10</v>
      </c>
      <c r="M243" s="104">
        <v>15.201</v>
      </c>
      <c r="N243" s="104" t="s">
        <v>24</v>
      </c>
      <c r="O243" s="104" t="s">
        <v>25</v>
      </c>
      <c r="P243" s="104" t="s">
        <v>106</v>
      </c>
      <c r="Q243" s="104">
        <v>46115.5069444444</v>
      </c>
      <c r="R243" s="104">
        <v>46115.5069444444</v>
      </c>
      <c r="S243" s="104">
        <v>46115.51875</v>
      </c>
      <c r="T243" s="104" t="s">
        <v>369</v>
      </c>
    </row>
    <row r="244" s="102" customFormat="1" ht="15" spans="1:20">
      <c r="A244" s="104" t="s">
        <v>22</v>
      </c>
      <c r="B244" s="104" t="s">
        <v>33</v>
      </c>
      <c r="C244" s="114"/>
      <c r="D244" s="114"/>
      <c r="E244" s="114"/>
      <c r="F244" s="114"/>
      <c r="G244" s="114"/>
      <c r="H244" s="104">
        <v>40301</v>
      </c>
      <c r="I244" s="104">
        <v>17</v>
      </c>
      <c r="J244" s="104">
        <v>15</v>
      </c>
      <c r="K244" s="104">
        <v>1</v>
      </c>
      <c r="L244" s="104">
        <v>14</v>
      </c>
      <c r="M244" s="104">
        <v>48.071</v>
      </c>
      <c r="N244" s="104" t="s">
        <v>24</v>
      </c>
      <c r="O244" s="104" t="s">
        <v>25</v>
      </c>
      <c r="P244" s="104" t="s">
        <v>106</v>
      </c>
      <c r="Q244" s="104">
        <v>46115.5069444444</v>
      </c>
      <c r="R244" s="104">
        <v>46115.5069444444</v>
      </c>
      <c r="S244" s="104">
        <v>46115.5194444444</v>
      </c>
      <c r="T244" s="104" t="s">
        <v>369</v>
      </c>
    </row>
    <row r="245" s="102" customFormat="1" ht="15" spans="1:20">
      <c r="A245" s="104" t="s">
        <v>22</v>
      </c>
      <c r="B245" s="104" t="s">
        <v>81</v>
      </c>
      <c r="C245" s="114"/>
      <c r="D245" s="114"/>
      <c r="E245" s="114"/>
      <c r="F245" s="114"/>
      <c r="G245" s="114"/>
      <c r="H245" s="104">
        <v>4033808</v>
      </c>
      <c r="I245" s="104">
        <v>7</v>
      </c>
      <c r="J245" s="104">
        <v>1</v>
      </c>
      <c r="K245" s="104">
        <v>1</v>
      </c>
      <c r="L245" s="104">
        <v>0</v>
      </c>
      <c r="M245" s="104">
        <v>0</v>
      </c>
      <c r="N245" s="104" t="s">
        <v>24</v>
      </c>
      <c r="O245" s="104" t="s">
        <v>25</v>
      </c>
      <c r="P245" s="104" t="s">
        <v>106</v>
      </c>
      <c r="Q245" s="104">
        <v>46115.7548611111</v>
      </c>
      <c r="R245" s="104">
        <v>46115.7548611111</v>
      </c>
      <c r="S245" s="104">
        <v>46115.7798611111</v>
      </c>
      <c r="T245" s="104" t="s">
        <v>116</v>
      </c>
    </row>
    <row r="246" s="102" customFormat="1" ht="15" spans="1:20">
      <c r="A246" s="104" t="s">
        <v>22</v>
      </c>
      <c r="B246" s="104" t="s">
        <v>81</v>
      </c>
      <c r="C246" s="114"/>
      <c r="D246" s="114"/>
      <c r="E246" s="114"/>
      <c r="F246" s="114"/>
      <c r="G246" s="114"/>
      <c r="H246" s="104">
        <v>4033696</v>
      </c>
      <c r="I246" s="104">
        <v>33</v>
      </c>
      <c r="J246" s="104">
        <v>10</v>
      </c>
      <c r="K246" s="104">
        <v>1</v>
      </c>
      <c r="L246" s="104">
        <v>9</v>
      </c>
      <c r="M246" s="104">
        <v>5.808</v>
      </c>
      <c r="N246" s="104" t="s">
        <v>24</v>
      </c>
      <c r="O246" s="104" t="s">
        <v>25</v>
      </c>
      <c r="P246" s="104" t="s">
        <v>106</v>
      </c>
      <c r="Q246" s="104">
        <v>46115.7548611111</v>
      </c>
      <c r="R246" s="104">
        <v>46115.7548611111</v>
      </c>
      <c r="S246" s="104">
        <v>46115.7798611111</v>
      </c>
      <c r="T246" s="104" t="s">
        <v>116</v>
      </c>
    </row>
    <row r="247" s="102" customFormat="1" ht="15" spans="1:20">
      <c r="A247" s="104" t="s">
        <v>22</v>
      </c>
      <c r="B247" s="104" t="s">
        <v>81</v>
      </c>
      <c r="C247" s="114"/>
      <c r="D247" s="114"/>
      <c r="E247" s="114"/>
      <c r="F247" s="114"/>
      <c r="G247" s="114"/>
      <c r="H247" s="104">
        <v>4033796</v>
      </c>
      <c r="I247" s="104">
        <v>47</v>
      </c>
      <c r="J247" s="104">
        <v>5</v>
      </c>
      <c r="K247" s="104">
        <v>5</v>
      </c>
      <c r="L247" s="104">
        <v>0</v>
      </c>
      <c r="M247" s="104">
        <v>0</v>
      </c>
      <c r="N247" s="104" t="s">
        <v>24</v>
      </c>
      <c r="O247" s="104" t="s">
        <v>25</v>
      </c>
      <c r="P247" s="104" t="s">
        <v>106</v>
      </c>
      <c r="Q247" s="104">
        <v>46115.7548611111</v>
      </c>
      <c r="R247" s="104">
        <v>46115.7548611111</v>
      </c>
      <c r="S247" s="104">
        <v>46115.7798611111</v>
      </c>
      <c r="T247" s="104" t="s">
        <v>116</v>
      </c>
    </row>
    <row r="248" s="102" customFormat="1" ht="15" spans="1:20">
      <c r="A248" s="104" t="s">
        <v>22</v>
      </c>
      <c r="B248" s="104" t="s">
        <v>81</v>
      </c>
      <c r="C248" s="114"/>
      <c r="D248" s="114"/>
      <c r="E248" s="114"/>
      <c r="F248" s="114"/>
      <c r="G248" s="114"/>
      <c r="H248" s="104">
        <v>4033809</v>
      </c>
      <c r="I248" s="104">
        <v>13</v>
      </c>
      <c r="J248" s="104">
        <v>1</v>
      </c>
      <c r="K248" s="104">
        <v>1</v>
      </c>
      <c r="L248" s="104">
        <v>0</v>
      </c>
      <c r="M248" s="104">
        <v>0</v>
      </c>
      <c r="N248" s="104" t="s">
        <v>24</v>
      </c>
      <c r="O248" s="104" t="s">
        <v>25</v>
      </c>
      <c r="P248" s="104" t="s">
        <v>106</v>
      </c>
      <c r="Q248" s="104">
        <v>46115.7548611111</v>
      </c>
      <c r="R248" s="104">
        <v>46115.7548611111</v>
      </c>
      <c r="S248" s="104">
        <v>46115.7798611111</v>
      </c>
      <c r="T248" s="104" t="s">
        <v>116</v>
      </c>
    </row>
    <row r="249" s="102" customFormat="1" ht="15" spans="1:20">
      <c r="A249" s="104" t="s">
        <v>22</v>
      </c>
      <c r="B249" s="104" t="s">
        <v>81</v>
      </c>
      <c r="C249" s="114"/>
      <c r="D249" s="114"/>
      <c r="E249" s="114"/>
      <c r="F249" s="114"/>
      <c r="G249" s="114"/>
      <c r="H249" s="104">
        <v>4033810</v>
      </c>
      <c r="I249" s="104">
        <v>8</v>
      </c>
      <c r="J249" s="104">
        <v>2</v>
      </c>
      <c r="K249" s="104">
        <v>0</v>
      </c>
      <c r="L249" s="104">
        <v>2</v>
      </c>
      <c r="M249" s="104">
        <v>2.42</v>
      </c>
      <c r="N249" s="104" t="s">
        <v>24</v>
      </c>
      <c r="O249" s="104" t="s">
        <v>25</v>
      </c>
      <c r="P249" s="104" t="s">
        <v>106</v>
      </c>
      <c r="Q249" s="104">
        <v>46115.7548611111</v>
      </c>
      <c r="R249" s="104">
        <v>46115.7548611111</v>
      </c>
      <c r="S249" s="104">
        <v>46115.7798611111</v>
      </c>
      <c r="T249" s="104" t="s">
        <v>116</v>
      </c>
    </row>
    <row r="250" s="102" customFormat="1" ht="15" spans="1:20">
      <c r="A250" s="104" t="s">
        <v>22</v>
      </c>
      <c r="B250" s="104" t="s">
        <v>81</v>
      </c>
      <c r="C250" s="114"/>
      <c r="D250" s="114"/>
      <c r="E250" s="114"/>
      <c r="F250" s="114"/>
      <c r="G250" s="114"/>
      <c r="H250" s="104">
        <v>4033648</v>
      </c>
      <c r="I250" s="104">
        <v>101</v>
      </c>
      <c r="J250" s="104">
        <v>14</v>
      </c>
      <c r="K250" s="104">
        <v>2</v>
      </c>
      <c r="L250" s="104">
        <v>12</v>
      </c>
      <c r="M250" s="104">
        <v>24.076</v>
      </c>
      <c r="N250" s="104" t="s">
        <v>24</v>
      </c>
      <c r="O250" s="104" t="s">
        <v>25</v>
      </c>
      <c r="P250" s="104" t="s">
        <v>106</v>
      </c>
      <c r="Q250" s="104">
        <v>46115.7548611111</v>
      </c>
      <c r="R250" s="104">
        <v>46115.7548611111</v>
      </c>
      <c r="S250" s="104">
        <v>46115.7798611111</v>
      </c>
      <c r="T250" s="104" t="s">
        <v>116</v>
      </c>
    </row>
    <row r="251" s="102" customFormat="1" ht="15" spans="1:20">
      <c r="A251" s="104" t="s">
        <v>22</v>
      </c>
      <c r="B251" s="104" t="s">
        <v>81</v>
      </c>
      <c r="C251" s="114"/>
      <c r="D251" s="114"/>
      <c r="E251" s="114"/>
      <c r="F251" s="114"/>
      <c r="G251" s="114"/>
      <c r="H251" s="104">
        <v>4033563</v>
      </c>
      <c r="I251" s="104">
        <v>38</v>
      </c>
      <c r="J251" s="104">
        <v>17</v>
      </c>
      <c r="K251" s="104">
        <v>1</v>
      </c>
      <c r="L251" s="104">
        <v>16</v>
      </c>
      <c r="M251" s="104">
        <v>18.08</v>
      </c>
      <c r="N251" s="104" t="s">
        <v>24</v>
      </c>
      <c r="O251" s="104" t="s">
        <v>25</v>
      </c>
      <c r="P251" s="104" t="s">
        <v>106</v>
      </c>
      <c r="Q251" s="104">
        <v>46115.7548611111</v>
      </c>
      <c r="R251" s="104">
        <v>46115.7548611111</v>
      </c>
      <c r="S251" s="104">
        <v>46115.7798611111</v>
      </c>
      <c r="T251" s="104" t="s">
        <v>116</v>
      </c>
    </row>
    <row r="252" s="102" customFormat="1" ht="15" spans="1:20">
      <c r="A252" s="104" t="s">
        <v>22</v>
      </c>
      <c r="B252" s="104" t="s">
        <v>81</v>
      </c>
      <c r="C252" s="114"/>
      <c r="D252" s="114"/>
      <c r="E252" s="114"/>
      <c r="F252" s="114"/>
      <c r="G252" s="114"/>
      <c r="H252" s="104">
        <v>4033807</v>
      </c>
      <c r="I252" s="104">
        <v>53</v>
      </c>
      <c r="J252" s="104">
        <v>2</v>
      </c>
      <c r="K252" s="104">
        <v>2</v>
      </c>
      <c r="L252" s="104">
        <v>0</v>
      </c>
      <c r="M252" s="104">
        <v>0</v>
      </c>
      <c r="N252" s="104" t="s">
        <v>24</v>
      </c>
      <c r="O252" s="104" t="s">
        <v>25</v>
      </c>
      <c r="P252" s="104" t="s">
        <v>106</v>
      </c>
      <c r="Q252" s="104">
        <v>46115.7548611111</v>
      </c>
      <c r="R252" s="104">
        <v>46115.7548611111</v>
      </c>
      <c r="S252" s="104">
        <v>46115.7798611111</v>
      </c>
      <c r="T252" s="104" t="s">
        <v>116</v>
      </c>
    </row>
    <row r="253" s="102" customFormat="1" ht="15" spans="1:20">
      <c r="A253" s="104" t="s">
        <v>22</v>
      </c>
      <c r="B253" s="104" t="s">
        <v>81</v>
      </c>
      <c r="C253" s="114"/>
      <c r="D253" s="114"/>
      <c r="E253" s="114"/>
      <c r="F253" s="114"/>
      <c r="G253" s="114"/>
      <c r="H253" s="104">
        <v>40301</v>
      </c>
      <c r="I253" s="104">
        <v>72</v>
      </c>
      <c r="J253" s="104">
        <v>23</v>
      </c>
      <c r="K253" s="104">
        <v>0</v>
      </c>
      <c r="L253" s="104">
        <v>23</v>
      </c>
      <c r="M253" s="104">
        <v>12.042</v>
      </c>
      <c r="N253" s="104" t="s">
        <v>24</v>
      </c>
      <c r="O253" s="104" t="s">
        <v>25</v>
      </c>
      <c r="P253" s="104" t="s">
        <v>106</v>
      </c>
      <c r="Q253" s="104">
        <v>46115.7548611111</v>
      </c>
      <c r="R253" s="104">
        <v>46115.7548611111</v>
      </c>
      <c r="S253" s="104">
        <v>46115.7798611111</v>
      </c>
      <c r="T253" s="104" t="s">
        <v>116</v>
      </c>
    </row>
    <row r="254" s="102" customFormat="1" ht="15" spans="1:20">
      <c r="A254" s="104" t="s">
        <v>22</v>
      </c>
      <c r="B254" s="104" t="s">
        <v>31</v>
      </c>
      <c r="C254" s="114"/>
      <c r="D254" s="114"/>
      <c r="E254" s="114"/>
      <c r="F254" s="114"/>
      <c r="G254" s="114"/>
      <c r="H254" s="104">
        <v>40301</v>
      </c>
      <c r="I254" s="104">
        <v>10</v>
      </c>
      <c r="J254" s="104">
        <v>3</v>
      </c>
      <c r="K254" s="104">
        <v>0</v>
      </c>
      <c r="L254" s="104">
        <v>3</v>
      </c>
      <c r="M254" s="104">
        <v>0.699</v>
      </c>
      <c r="N254" s="104" t="s">
        <v>24</v>
      </c>
      <c r="O254" s="104" t="s">
        <v>25</v>
      </c>
      <c r="P254" s="104" t="s">
        <v>106</v>
      </c>
      <c r="Q254" s="104">
        <v>46115.50625</v>
      </c>
      <c r="R254" s="104">
        <v>46115.7555555556</v>
      </c>
      <c r="S254" s="104">
        <v>46115.7777777778</v>
      </c>
      <c r="T254" s="104" t="s">
        <v>474</v>
      </c>
    </row>
    <row r="255" s="102" customFormat="1" ht="15" spans="1:20">
      <c r="A255" s="104" t="s">
        <v>22</v>
      </c>
      <c r="B255" s="104" t="s">
        <v>83</v>
      </c>
      <c r="C255" s="114"/>
      <c r="D255" s="114"/>
      <c r="E255" s="114"/>
      <c r="F255" s="114"/>
      <c r="G255" s="114"/>
      <c r="H255" s="104">
        <v>4033649</v>
      </c>
      <c r="I255" s="104">
        <v>145</v>
      </c>
      <c r="J255" s="104">
        <v>3</v>
      </c>
      <c r="K255" s="104">
        <v>3</v>
      </c>
      <c r="L255" s="104">
        <v>0</v>
      </c>
      <c r="M255" s="104">
        <v>8.377</v>
      </c>
      <c r="N255" s="104" t="s">
        <v>24</v>
      </c>
      <c r="O255" s="104" t="s">
        <v>25</v>
      </c>
      <c r="P255" s="104" t="s">
        <v>106</v>
      </c>
      <c r="Q255" s="104">
        <v>46115.7555555556</v>
      </c>
      <c r="R255" s="104">
        <v>46115.7555555556</v>
      </c>
      <c r="S255" s="104">
        <v>46115.7777777778</v>
      </c>
      <c r="T255" s="104" t="s">
        <v>474</v>
      </c>
    </row>
    <row r="256" s="102" customFormat="1" ht="15" spans="1:20">
      <c r="A256" s="104" t="s">
        <v>22</v>
      </c>
      <c r="B256" s="104" t="s">
        <v>83</v>
      </c>
      <c r="C256" s="114"/>
      <c r="D256" s="114"/>
      <c r="E256" s="114"/>
      <c r="F256" s="114"/>
      <c r="G256" s="114"/>
      <c r="H256" s="104">
        <v>4033732</v>
      </c>
      <c r="I256" s="104">
        <v>2</v>
      </c>
      <c r="J256" s="104">
        <v>1</v>
      </c>
      <c r="K256" s="104">
        <v>1</v>
      </c>
      <c r="L256" s="104">
        <v>0</v>
      </c>
      <c r="M256" s="104">
        <v>0.22</v>
      </c>
      <c r="N256" s="104" t="s">
        <v>24</v>
      </c>
      <c r="O256" s="104" t="s">
        <v>25</v>
      </c>
      <c r="P256" s="104" t="s">
        <v>106</v>
      </c>
      <c r="Q256" s="104">
        <v>46115.7555555556</v>
      </c>
      <c r="R256" s="104">
        <v>46115.7555555556</v>
      </c>
      <c r="S256" s="104">
        <v>46115.7777777778</v>
      </c>
      <c r="T256" s="104" t="s">
        <v>474</v>
      </c>
    </row>
    <row r="257" s="102" customFormat="1" ht="15" spans="1:20">
      <c r="A257" s="104" t="s">
        <v>22</v>
      </c>
      <c r="B257" s="104" t="s">
        <v>83</v>
      </c>
      <c r="C257" s="114"/>
      <c r="D257" s="114"/>
      <c r="E257" s="114"/>
      <c r="F257" s="114"/>
      <c r="G257" s="114"/>
      <c r="H257" s="104">
        <v>40301</v>
      </c>
      <c r="I257" s="104">
        <v>112</v>
      </c>
      <c r="J257" s="104">
        <v>23</v>
      </c>
      <c r="K257" s="104">
        <v>0</v>
      </c>
      <c r="L257" s="104">
        <v>23</v>
      </c>
      <c r="M257" s="104">
        <v>48.716</v>
      </c>
      <c r="N257" s="104" t="s">
        <v>24</v>
      </c>
      <c r="O257" s="104" t="s">
        <v>25</v>
      </c>
      <c r="P257" s="104" t="s">
        <v>106</v>
      </c>
      <c r="Q257" s="104">
        <v>46115.7555555556</v>
      </c>
      <c r="R257" s="104">
        <v>46115.7555555556</v>
      </c>
      <c r="S257" s="104">
        <v>46115.7777777778</v>
      </c>
      <c r="T257" s="104" t="s">
        <v>474</v>
      </c>
    </row>
    <row r="258" s="102" customFormat="1" ht="15" spans="1:20">
      <c r="A258" s="104" t="s">
        <v>22</v>
      </c>
      <c r="B258" s="104" t="s">
        <v>86</v>
      </c>
      <c r="C258" s="114"/>
      <c r="D258" s="114"/>
      <c r="E258" s="114"/>
      <c r="F258" s="114"/>
      <c r="G258" s="114"/>
      <c r="H258" s="104">
        <v>4033001</v>
      </c>
      <c r="I258" s="104">
        <v>5</v>
      </c>
      <c r="J258" s="104">
        <v>5</v>
      </c>
      <c r="K258" s="104">
        <v>0</v>
      </c>
      <c r="L258" s="104">
        <v>5</v>
      </c>
      <c r="M258" s="104">
        <v>0.15</v>
      </c>
      <c r="N258" s="104" t="s">
        <v>24</v>
      </c>
      <c r="O258" s="104" t="s">
        <v>25</v>
      </c>
      <c r="P258" s="104" t="s">
        <v>106</v>
      </c>
      <c r="Q258" s="104">
        <v>46115.75625</v>
      </c>
      <c r="R258" s="104">
        <v>46115.75625</v>
      </c>
      <c r="S258" s="104">
        <v>46115.7805555556</v>
      </c>
      <c r="T258" s="104" t="s">
        <v>482</v>
      </c>
    </row>
    <row r="259" s="102" customFormat="1" ht="15" spans="1:20">
      <c r="A259" s="104" t="s">
        <v>22</v>
      </c>
      <c r="B259" s="104" t="s">
        <v>86</v>
      </c>
      <c r="C259" s="114"/>
      <c r="D259" s="114"/>
      <c r="E259" s="114"/>
      <c r="F259" s="114"/>
      <c r="G259" s="114"/>
      <c r="H259" s="104">
        <v>40301</v>
      </c>
      <c r="I259" s="104">
        <v>69</v>
      </c>
      <c r="J259" s="104">
        <v>18</v>
      </c>
      <c r="K259" s="104">
        <v>1</v>
      </c>
      <c r="L259" s="104">
        <v>17</v>
      </c>
      <c r="M259" s="104">
        <v>36.15</v>
      </c>
      <c r="N259" s="104" t="s">
        <v>24</v>
      </c>
      <c r="O259" s="104" t="s">
        <v>25</v>
      </c>
      <c r="P259" s="104" t="s">
        <v>106</v>
      </c>
      <c r="Q259" s="104">
        <v>46115.75625</v>
      </c>
      <c r="R259" s="104">
        <v>46115.75625</v>
      </c>
      <c r="S259" s="104">
        <v>46115.7805555556</v>
      </c>
      <c r="T259" s="104" t="s">
        <v>482</v>
      </c>
    </row>
    <row r="260" s="102" customFormat="1" ht="15" spans="1:20">
      <c r="A260" s="104" t="s">
        <v>22</v>
      </c>
      <c r="B260" s="104" t="s">
        <v>33</v>
      </c>
      <c r="C260" s="114"/>
      <c r="D260" s="114"/>
      <c r="E260" s="114"/>
      <c r="F260" s="114"/>
      <c r="G260" s="114"/>
      <c r="H260" s="104">
        <v>4033279</v>
      </c>
      <c r="I260" s="104">
        <v>1</v>
      </c>
      <c r="J260" s="104">
        <v>1</v>
      </c>
      <c r="K260" s="104">
        <v>0</v>
      </c>
      <c r="L260" s="104">
        <v>1</v>
      </c>
      <c r="M260" s="104">
        <v>3.5</v>
      </c>
      <c r="N260" s="104" t="s">
        <v>24</v>
      </c>
      <c r="O260" s="104" t="s">
        <v>25</v>
      </c>
      <c r="P260" s="104" t="s">
        <v>106</v>
      </c>
      <c r="Q260" s="104">
        <v>46115.75625</v>
      </c>
      <c r="R260" s="104">
        <v>46115.75625</v>
      </c>
      <c r="S260" s="104">
        <v>46115.7777777778</v>
      </c>
      <c r="T260" s="104" t="s">
        <v>474</v>
      </c>
    </row>
    <row r="261" s="102" customFormat="1" ht="15" spans="1:20">
      <c r="A261" s="104" t="s">
        <v>22</v>
      </c>
      <c r="B261" s="104" t="s">
        <v>33</v>
      </c>
      <c r="C261" s="114"/>
      <c r="D261" s="114"/>
      <c r="E261" s="114"/>
      <c r="F261" s="114"/>
      <c r="G261" s="114"/>
      <c r="H261" s="104">
        <v>4033278</v>
      </c>
      <c r="I261" s="104">
        <v>13</v>
      </c>
      <c r="J261" s="104">
        <v>5</v>
      </c>
      <c r="K261" s="104">
        <v>0</v>
      </c>
      <c r="L261" s="104">
        <v>5</v>
      </c>
      <c r="M261" s="104">
        <v>2.793</v>
      </c>
      <c r="N261" s="104" t="s">
        <v>24</v>
      </c>
      <c r="O261" s="104" t="s">
        <v>25</v>
      </c>
      <c r="P261" s="104" t="s">
        <v>106</v>
      </c>
      <c r="Q261" s="104">
        <v>46115.75625</v>
      </c>
      <c r="R261" s="104">
        <v>46115.75625</v>
      </c>
      <c r="S261" s="104">
        <v>46115.7777777778</v>
      </c>
      <c r="T261" s="104" t="s">
        <v>474</v>
      </c>
    </row>
    <row r="262" s="102" customFormat="1" ht="15" spans="1:20">
      <c r="A262" s="104" t="s">
        <v>22</v>
      </c>
      <c r="B262" s="104" t="s">
        <v>87</v>
      </c>
      <c r="C262" s="114"/>
      <c r="D262" s="114"/>
      <c r="E262" s="114"/>
      <c r="F262" s="114"/>
      <c r="G262" s="114"/>
      <c r="H262" s="104">
        <v>40301</v>
      </c>
      <c r="I262" s="104">
        <v>136</v>
      </c>
      <c r="J262" s="104">
        <v>58</v>
      </c>
      <c r="K262" s="104">
        <v>0</v>
      </c>
      <c r="L262" s="104">
        <v>58</v>
      </c>
      <c r="M262" s="104">
        <v>108.313</v>
      </c>
      <c r="N262" s="104" t="s">
        <v>24</v>
      </c>
      <c r="O262" s="104" t="s">
        <v>25</v>
      </c>
      <c r="P262" s="104" t="s">
        <v>106</v>
      </c>
      <c r="Q262" s="104">
        <v>46115.75625</v>
      </c>
      <c r="R262" s="104">
        <v>46115.75625</v>
      </c>
      <c r="S262" s="104">
        <v>46115.7777777778</v>
      </c>
      <c r="T262" s="104" t="s">
        <v>474</v>
      </c>
    </row>
    <row r="263" s="102" customFormat="1" ht="15" spans="1:20">
      <c r="A263" s="104" t="s">
        <v>22</v>
      </c>
      <c r="B263" s="104" t="s">
        <v>89</v>
      </c>
      <c r="C263" s="114"/>
      <c r="D263" s="114"/>
      <c r="E263" s="114"/>
      <c r="F263" s="114"/>
      <c r="G263" s="114"/>
      <c r="H263" s="104">
        <v>40301</v>
      </c>
      <c r="I263" s="104">
        <v>70</v>
      </c>
      <c r="J263" s="104">
        <v>10</v>
      </c>
      <c r="K263" s="104">
        <v>0</v>
      </c>
      <c r="L263" s="104">
        <v>10</v>
      </c>
      <c r="M263" s="104">
        <v>6.237</v>
      </c>
      <c r="N263" s="104" t="s">
        <v>24</v>
      </c>
      <c r="O263" s="104" t="s">
        <v>25</v>
      </c>
      <c r="P263" s="104" t="s">
        <v>106</v>
      </c>
      <c r="Q263" s="104">
        <v>46115.75625</v>
      </c>
      <c r="R263" s="104">
        <v>46115.75625</v>
      </c>
      <c r="S263" s="104">
        <v>46115.7791666667</v>
      </c>
      <c r="T263" s="104" t="s">
        <v>200</v>
      </c>
    </row>
    <row r="264" s="102" customFormat="1" ht="15" spans="1:20">
      <c r="A264" s="104" t="s">
        <v>22</v>
      </c>
      <c r="B264" s="104" t="s">
        <v>223</v>
      </c>
      <c r="C264" s="104" t="s">
        <v>483</v>
      </c>
      <c r="D264" s="104" t="s">
        <v>193</v>
      </c>
      <c r="E264" s="114"/>
      <c r="F264" s="114"/>
      <c r="G264" s="104" t="s">
        <v>484</v>
      </c>
      <c r="H264" s="104">
        <v>4030002</v>
      </c>
      <c r="I264" s="104">
        <v>3187</v>
      </c>
      <c r="J264" s="104">
        <v>3187</v>
      </c>
      <c r="K264" s="104">
        <v>3</v>
      </c>
      <c r="L264" s="104">
        <v>3184</v>
      </c>
      <c r="M264" s="104">
        <v>3610.475</v>
      </c>
      <c r="N264" s="104" t="s">
        <v>24</v>
      </c>
      <c r="O264" s="104" t="s">
        <v>25</v>
      </c>
      <c r="P264" s="104" t="s">
        <v>106</v>
      </c>
      <c r="Q264" s="104">
        <v>46115.7555555556</v>
      </c>
      <c r="R264" s="104">
        <v>46115.7569444444</v>
      </c>
      <c r="S264" s="104">
        <v>46115.7854166667</v>
      </c>
      <c r="T264" s="104" t="s">
        <v>423</v>
      </c>
    </row>
    <row r="265" s="102" customFormat="1" ht="15" spans="1:20">
      <c r="A265" s="104" t="s">
        <v>22</v>
      </c>
      <c r="B265" s="104" t="s">
        <v>332</v>
      </c>
      <c r="C265" s="104" t="s">
        <v>485</v>
      </c>
      <c r="D265" s="104" t="s">
        <v>334</v>
      </c>
      <c r="E265" s="114"/>
      <c r="F265" s="114"/>
      <c r="G265" s="114"/>
      <c r="H265" s="104">
        <v>4030001</v>
      </c>
      <c r="I265" s="104">
        <v>3140</v>
      </c>
      <c r="J265" s="104">
        <v>2767</v>
      </c>
      <c r="K265" s="104">
        <v>12</v>
      </c>
      <c r="L265" s="104">
        <v>2746</v>
      </c>
      <c r="M265" s="104">
        <v>2340.271</v>
      </c>
      <c r="N265" s="104" t="s">
        <v>24</v>
      </c>
      <c r="O265" s="104" t="s">
        <v>25</v>
      </c>
      <c r="P265" s="104" t="s">
        <v>106</v>
      </c>
      <c r="Q265" s="104">
        <v>46115.8215277778</v>
      </c>
      <c r="R265" s="104">
        <v>46115.8236111111</v>
      </c>
      <c r="S265" s="104">
        <v>46115.8361111111</v>
      </c>
      <c r="T265" s="104" t="s">
        <v>393</v>
      </c>
    </row>
    <row r="266" s="102" customFormat="1" ht="15" spans="1:20">
      <c r="A266" s="104" t="s">
        <v>22</v>
      </c>
      <c r="B266" s="104" t="s">
        <v>212</v>
      </c>
      <c r="C266" s="104" t="s">
        <v>486</v>
      </c>
      <c r="D266" s="104" t="s">
        <v>214</v>
      </c>
      <c r="E266" s="114"/>
      <c r="F266" s="114"/>
      <c r="G266" s="114"/>
      <c r="H266" s="104">
        <v>4030001</v>
      </c>
      <c r="I266" s="104">
        <v>1292</v>
      </c>
      <c r="J266" s="104">
        <v>1189</v>
      </c>
      <c r="K266" s="104">
        <v>408</v>
      </c>
      <c r="L266" s="104">
        <v>781</v>
      </c>
      <c r="M266" s="104">
        <v>2988.057</v>
      </c>
      <c r="N266" s="104" t="s">
        <v>24</v>
      </c>
      <c r="O266" s="104" t="s">
        <v>25</v>
      </c>
      <c r="P266" s="104" t="s">
        <v>106</v>
      </c>
      <c r="Q266" s="104">
        <v>46115.81875</v>
      </c>
      <c r="R266" s="104">
        <v>46115.8236111111</v>
      </c>
      <c r="S266" s="104">
        <v>46115.8472222222</v>
      </c>
      <c r="T266" s="104" t="s">
        <v>487</v>
      </c>
    </row>
    <row r="267" s="102" customFormat="1" ht="15" spans="1:20">
      <c r="A267" s="104" t="s">
        <v>22</v>
      </c>
      <c r="B267" s="104" t="s">
        <v>261</v>
      </c>
      <c r="C267" s="104" t="s">
        <v>488</v>
      </c>
      <c r="D267" s="104" t="s">
        <v>44</v>
      </c>
      <c r="E267" s="114"/>
      <c r="F267" s="114"/>
      <c r="G267" s="104">
        <v>25646625500071</v>
      </c>
      <c r="H267" s="104">
        <v>4030001</v>
      </c>
      <c r="I267" s="104">
        <v>2246</v>
      </c>
      <c r="J267" s="104">
        <v>1772</v>
      </c>
      <c r="K267" s="104">
        <v>14</v>
      </c>
      <c r="L267" s="104">
        <v>1758</v>
      </c>
      <c r="M267" s="104">
        <v>2576.605</v>
      </c>
      <c r="N267" s="104" t="s">
        <v>24</v>
      </c>
      <c r="O267" s="104" t="s">
        <v>25</v>
      </c>
      <c r="P267" s="104" t="s">
        <v>106</v>
      </c>
      <c r="Q267" s="104">
        <v>46115.8125</v>
      </c>
      <c r="R267" s="104">
        <v>46115.8236111111</v>
      </c>
      <c r="S267" s="104">
        <v>46115.8479166667</v>
      </c>
      <c r="T267" s="104" t="s">
        <v>487</v>
      </c>
    </row>
    <row r="268" s="102" customFormat="1" ht="15" spans="1:20">
      <c r="A268" s="104" t="s">
        <v>22</v>
      </c>
      <c r="B268" s="104" t="s">
        <v>311</v>
      </c>
      <c r="C268" s="104" t="s">
        <v>489</v>
      </c>
      <c r="D268" s="104" t="s">
        <v>51</v>
      </c>
      <c r="E268" s="114"/>
      <c r="F268" s="114"/>
      <c r="G268" s="104">
        <v>25500099202506</v>
      </c>
      <c r="H268" s="104">
        <v>4030001</v>
      </c>
      <c r="I268" s="104">
        <v>880</v>
      </c>
      <c r="J268" s="104">
        <v>852</v>
      </c>
      <c r="K268" s="104">
        <v>2</v>
      </c>
      <c r="L268" s="104">
        <v>850</v>
      </c>
      <c r="M268" s="104">
        <v>1139.68</v>
      </c>
      <c r="N268" s="104" t="s">
        <v>24</v>
      </c>
      <c r="O268" s="104" t="s">
        <v>25</v>
      </c>
      <c r="P268" s="104" t="s">
        <v>106</v>
      </c>
      <c r="Q268" s="104">
        <v>46115.8243055556</v>
      </c>
      <c r="R268" s="104">
        <v>46115.8243055556</v>
      </c>
      <c r="S268" s="104">
        <v>46115.8361111111</v>
      </c>
      <c r="T268" s="104" t="s">
        <v>369</v>
      </c>
    </row>
    <row r="269" s="102" customFormat="1" ht="15" spans="1:20">
      <c r="A269" s="104" t="s">
        <v>22</v>
      </c>
      <c r="B269" s="104" t="s">
        <v>249</v>
      </c>
      <c r="C269" s="104" t="s">
        <v>490</v>
      </c>
      <c r="D269" s="104" t="s">
        <v>55</v>
      </c>
      <c r="E269" s="114"/>
      <c r="F269" s="114"/>
      <c r="G269" s="114"/>
      <c r="H269" s="104">
        <v>4030001</v>
      </c>
      <c r="I269" s="104">
        <v>71</v>
      </c>
      <c r="J269" s="104">
        <v>71</v>
      </c>
      <c r="K269" s="104">
        <v>12</v>
      </c>
      <c r="L269" s="104">
        <v>59</v>
      </c>
      <c r="M269" s="104">
        <v>113.5</v>
      </c>
      <c r="N269" s="104" t="s">
        <v>24</v>
      </c>
      <c r="O269" s="104" t="s">
        <v>25</v>
      </c>
      <c r="P269" s="104" t="s">
        <v>106</v>
      </c>
      <c r="Q269" s="104">
        <v>46115.83125</v>
      </c>
      <c r="R269" s="104">
        <v>46115.83125</v>
      </c>
      <c r="S269" s="104">
        <v>46115.8354166667</v>
      </c>
      <c r="T269" s="104" t="s">
        <v>491</v>
      </c>
    </row>
    <row r="270" s="102" customFormat="1" ht="15" spans="1:20">
      <c r="A270" s="104" t="s">
        <v>22</v>
      </c>
      <c r="B270" s="104" t="s">
        <v>302</v>
      </c>
      <c r="C270" s="104" t="s">
        <v>492</v>
      </c>
      <c r="D270" s="104" t="s">
        <v>74</v>
      </c>
      <c r="E270" s="114"/>
      <c r="F270" s="114"/>
      <c r="G270" s="114"/>
      <c r="H270" s="104">
        <v>4030001</v>
      </c>
      <c r="I270" s="104">
        <v>1359</v>
      </c>
      <c r="J270" s="104">
        <v>1325</v>
      </c>
      <c r="K270" s="104">
        <v>12</v>
      </c>
      <c r="L270" s="104">
        <v>1313</v>
      </c>
      <c r="M270" s="104">
        <v>2332.509</v>
      </c>
      <c r="N270" s="104" t="s">
        <v>24</v>
      </c>
      <c r="O270" s="104" t="s">
        <v>25</v>
      </c>
      <c r="P270" s="104" t="s">
        <v>106</v>
      </c>
      <c r="Q270" s="104">
        <v>46115.8326388889</v>
      </c>
      <c r="R270" s="104">
        <v>46115.8326388889</v>
      </c>
      <c r="S270" s="104">
        <v>46115.8486111111</v>
      </c>
      <c r="T270" s="104" t="s">
        <v>128</v>
      </c>
    </row>
    <row r="271" s="102" customFormat="1" ht="15" spans="1:20">
      <c r="A271" s="104" t="s">
        <v>22</v>
      </c>
      <c r="B271" s="104" t="s">
        <v>164</v>
      </c>
      <c r="C271" s="104" t="s">
        <v>493</v>
      </c>
      <c r="D271" s="104" t="s">
        <v>494</v>
      </c>
      <c r="E271" s="114"/>
      <c r="F271" s="114"/>
      <c r="G271" s="114"/>
      <c r="H271" s="104">
        <v>4030002</v>
      </c>
      <c r="I271" s="104">
        <v>5686</v>
      </c>
      <c r="J271" s="104">
        <v>5686</v>
      </c>
      <c r="K271" s="104">
        <v>1</v>
      </c>
      <c r="L271" s="104">
        <v>5685</v>
      </c>
      <c r="M271" s="104">
        <v>10538.109</v>
      </c>
      <c r="N271" s="104" t="s">
        <v>24</v>
      </c>
      <c r="O271" s="104" t="s">
        <v>25</v>
      </c>
      <c r="P271" s="104" t="s">
        <v>106</v>
      </c>
      <c r="Q271" s="104">
        <v>46115.8013888889</v>
      </c>
      <c r="R271" s="104">
        <v>46115.8375</v>
      </c>
      <c r="S271" s="104">
        <v>46115.8513888889</v>
      </c>
      <c r="T271" s="104" t="s">
        <v>372</v>
      </c>
    </row>
    <row r="272" s="102" customFormat="1" ht="15" spans="1:20">
      <c r="A272" s="104" t="s">
        <v>22</v>
      </c>
      <c r="B272" s="104" t="s">
        <v>223</v>
      </c>
      <c r="C272" s="104" t="s">
        <v>495</v>
      </c>
      <c r="D272" s="104" t="s">
        <v>329</v>
      </c>
      <c r="E272" s="114"/>
      <c r="F272" s="114"/>
      <c r="G272" s="104" t="s">
        <v>496</v>
      </c>
      <c r="H272" s="104">
        <v>4030001</v>
      </c>
      <c r="I272" s="104">
        <v>205</v>
      </c>
      <c r="J272" s="104">
        <v>205</v>
      </c>
      <c r="K272" s="104">
        <v>27</v>
      </c>
      <c r="L272" s="104">
        <v>178</v>
      </c>
      <c r="M272" s="104">
        <v>118.813</v>
      </c>
      <c r="N272" s="104" t="s">
        <v>24</v>
      </c>
      <c r="O272" s="104" t="s">
        <v>25</v>
      </c>
      <c r="P272" s="104" t="s">
        <v>106</v>
      </c>
      <c r="Q272" s="104">
        <v>46115.8590277778</v>
      </c>
      <c r="R272" s="104">
        <v>46115.8590277778</v>
      </c>
      <c r="S272" s="104">
        <v>46115.8743055556</v>
      </c>
      <c r="T272" s="104" t="s">
        <v>120</v>
      </c>
    </row>
    <row r="273" s="102" customFormat="1" ht="15" spans="1:20">
      <c r="A273" s="104" t="s">
        <v>22</v>
      </c>
      <c r="B273" s="104" t="s">
        <v>229</v>
      </c>
      <c r="C273" s="104" t="s">
        <v>497</v>
      </c>
      <c r="D273" s="104" t="s">
        <v>268</v>
      </c>
      <c r="E273" s="104" t="s">
        <v>413</v>
      </c>
      <c r="F273" s="104" t="s">
        <v>79</v>
      </c>
      <c r="G273" s="114"/>
      <c r="H273" s="104">
        <v>4030001</v>
      </c>
      <c r="I273" s="104">
        <v>5213</v>
      </c>
      <c r="J273" s="104">
        <v>5179</v>
      </c>
      <c r="K273" s="104">
        <v>4484</v>
      </c>
      <c r="L273" s="104">
        <v>695</v>
      </c>
      <c r="M273" s="104">
        <v>6292.699</v>
      </c>
      <c r="N273" s="104" t="s">
        <v>24</v>
      </c>
      <c r="O273" s="104" t="s">
        <v>25</v>
      </c>
      <c r="P273" s="104" t="s">
        <v>106</v>
      </c>
      <c r="Q273" s="104">
        <v>46115.8361111111</v>
      </c>
      <c r="R273" s="104">
        <v>46115.8736111111</v>
      </c>
      <c r="S273" s="104">
        <v>46115.9048611111</v>
      </c>
      <c r="T273" s="104" t="s">
        <v>471</v>
      </c>
    </row>
    <row r="274" s="102" customFormat="1" ht="15" spans="1:20">
      <c r="A274" s="104" t="s">
        <v>22</v>
      </c>
      <c r="B274" s="104" t="s">
        <v>336</v>
      </c>
      <c r="C274" s="104" t="s">
        <v>498</v>
      </c>
      <c r="D274" s="104" t="s">
        <v>190</v>
      </c>
      <c r="E274" s="114"/>
      <c r="F274" s="114"/>
      <c r="G274" s="114"/>
      <c r="H274" s="104">
        <v>4030001</v>
      </c>
      <c r="I274" s="104">
        <v>7611</v>
      </c>
      <c r="J274" s="104">
        <v>7611</v>
      </c>
      <c r="K274" s="104">
        <v>277</v>
      </c>
      <c r="L274" s="104">
        <v>7334</v>
      </c>
      <c r="M274" s="104">
        <v>5960.988</v>
      </c>
      <c r="N274" s="104" t="s">
        <v>24</v>
      </c>
      <c r="O274" s="104" t="s">
        <v>25</v>
      </c>
      <c r="P274" s="104" t="s">
        <v>106</v>
      </c>
      <c r="Q274" s="104">
        <v>46115.8659722222</v>
      </c>
      <c r="R274" s="104">
        <v>46115.8736111111</v>
      </c>
      <c r="S274" s="104">
        <v>46115.9048611111</v>
      </c>
      <c r="T274" s="104" t="s">
        <v>471</v>
      </c>
    </row>
    <row r="275" s="102" customFormat="1" ht="15" spans="1:20">
      <c r="A275" s="104" t="s">
        <v>22</v>
      </c>
      <c r="B275" s="104" t="s">
        <v>127</v>
      </c>
      <c r="C275" s="114"/>
      <c r="D275" s="104" t="s">
        <v>29</v>
      </c>
      <c r="E275" s="114"/>
      <c r="F275" s="114"/>
      <c r="G275" s="114"/>
      <c r="H275" s="104">
        <v>4031853</v>
      </c>
      <c r="I275" s="104">
        <v>3</v>
      </c>
      <c r="J275" s="104">
        <v>2</v>
      </c>
      <c r="K275" s="104">
        <v>0</v>
      </c>
      <c r="L275" s="104">
        <v>2</v>
      </c>
      <c r="M275" s="104">
        <v>0.065</v>
      </c>
      <c r="N275" s="104" t="s">
        <v>24</v>
      </c>
      <c r="O275" s="104" t="s">
        <v>25</v>
      </c>
      <c r="P275" s="104" t="s">
        <v>106</v>
      </c>
      <c r="Q275" s="104">
        <v>46115.9048611111</v>
      </c>
      <c r="R275" s="104">
        <v>46115.9048611111</v>
      </c>
      <c r="S275" s="104">
        <v>46115.90625</v>
      </c>
      <c r="T275" s="104" t="s">
        <v>499</v>
      </c>
    </row>
    <row r="276" s="102" customFormat="1" ht="15" spans="1:20">
      <c r="A276" s="104" t="s">
        <v>22</v>
      </c>
      <c r="B276" s="104" t="s">
        <v>357</v>
      </c>
      <c r="C276" s="104" t="s">
        <v>500</v>
      </c>
      <c r="D276" s="104" t="s">
        <v>359</v>
      </c>
      <c r="E276" s="104" t="s">
        <v>501</v>
      </c>
      <c r="F276" s="104" t="s">
        <v>502</v>
      </c>
      <c r="G276" s="114"/>
      <c r="H276" s="104">
        <v>4030001</v>
      </c>
      <c r="I276" s="104">
        <v>17099</v>
      </c>
      <c r="J276" s="104">
        <v>2776</v>
      </c>
      <c r="K276" s="104">
        <v>2</v>
      </c>
      <c r="L276" s="104">
        <v>2774</v>
      </c>
      <c r="M276" s="104">
        <v>9989.633</v>
      </c>
      <c r="N276" s="104" t="s">
        <v>24</v>
      </c>
      <c r="O276" s="104" t="s">
        <v>70</v>
      </c>
      <c r="P276" s="104" t="s">
        <v>106</v>
      </c>
      <c r="Q276" s="104">
        <v>46115.8513888889</v>
      </c>
      <c r="R276" s="104">
        <v>46115.9513888889</v>
      </c>
      <c r="S276" s="104">
        <v>46116.0013888889</v>
      </c>
      <c r="T276" s="104" t="s">
        <v>377</v>
      </c>
    </row>
    <row r="277" s="102" customFormat="1" ht="15" spans="1:20">
      <c r="A277" s="104" t="s">
        <v>22</v>
      </c>
      <c r="B277" s="104" t="s">
        <v>342</v>
      </c>
      <c r="C277" s="104" t="s">
        <v>503</v>
      </c>
      <c r="D277" s="104" t="s">
        <v>504</v>
      </c>
      <c r="E277" s="104" t="s">
        <v>505</v>
      </c>
      <c r="F277" s="104" t="s">
        <v>506</v>
      </c>
      <c r="G277" s="114"/>
      <c r="H277" s="104">
        <v>4030001</v>
      </c>
      <c r="I277" s="104">
        <v>14353</v>
      </c>
      <c r="J277" s="104">
        <v>2763</v>
      </c>
      <c r="K277" s="104">
        <v>3</v>
      </c>
      <c r="L277" s="104">
        <v>2760</v>
      </c>
      <c r="M277" s="104">
        <v>9603.519</v>
      </c>
      <c r="N277" s="104" t="s">
        <v>24</v>
      </c>
      <c r="O277" s="104" t="s">
        <v>70</v>
      </c>
      <c r="P277" s="104" t="s">
        <v>106</v>
      </c>
      <c r="Q277" s="104">
        <v>46115.6833333333</v>
      </c>
      <c r="R277" s="104">
        <v>46115.9527777778</v>
      </c>
      <c r="S277" s="104">
        <v>46116.0013888889</v>
      </c>
      <c r="T277" s="104" t="s">
        <v>507</v>
      </c>
    </row>
    <row r="278" s="102" customFormat="1" ht="15" spans="1:20">
      <c r="A278" s="104" t="s">
        <v>22</v>
      </c>
      <c r="B278" s="104" t="s">
        <v>223</v>
      </c>
      <c r="C278" s="104" t="s">
        <v>508</v>
      </c>
      <c r="D278" s="104" t="s">
        <v>329</v>
      </c>
      <c r="E278" s="114"/>
      <c r="F278" s="114"/>
      <c r="G278" s="104" t="s">
        <v>509</v>
      </c>
      <c r="H278" s="104">
        <v>4020001</v>
      </c>
      <c r="I278" s="104">
        <v>689</v>
      </c>
      <c r="J278" s="104">
        <v>689</v>
      </c>
      <c r="K278" s="104">
        <v>22</v>
      </c>
      <c r="L278" s="104">
        <v>667</v>
      </c>
      <c r="M278" s="104">
        <v>238.487</v>
      </c>
      <c r="N278" s="104" t="s">
        <v>24</v>
      </c>
      <c r="O278" s="104" t="s">
        <v>25</v>
      </c>
      <c r="P278" s="104" t="s">
        <v>271</v>
      </c>
      <c r="Q278" s="104">
        <v>46114.8694444444</v>
      </c>
      <c r="R278" s="104">
        <v>46114.8694444444</v>
      </c>
      <c r="S278" s="104">
        <v>46114.9284722222</v>
      </c>
      <c r="T278" s="104" t="s">
        <v>462</v>
      </c>
    </row>
    <row r="279" s="102" customFormat="1" ht="15" spans="1:20">
      <c r="A279" s="104" t="s">
        <v>22</v>
      </c>
      <c r="B279" s="104" t="s">
        <v>127</v>
      </c>
      <c r="C279" s="114"/>
      <c r="D279" s="104" t="s">
        <v>29</v>
      </c>
      <c r="E279" s="114"/>
      <c r="F279" s="114"/>
      <c r="G279" s="114"/>
      <c r="H279" s="104">
        <v>4021850</v>
      </c>
      <c r="I279" s="104">
        <v>3</v>
      </c>
      <c r="J279" s="104">
        <v>5</v>
      </c>
      <c r="K279" s="104">
        <v>0</v>
      </c>
      <c r="L279" s="104">
        <v>5</v>
      </c>
      <c r="M279" s="104">
        <v>0.078</v>
      </c>
      <c r="N279" s="104" t="s">
        <v>24</v>
      </c>
      <c r="O279" s="104" t="s">
        <v>25</v>
      </c>
      <c r="P279" s="104" t="s">
        <v>271</v>
      </c>
      <c r="Q279" s="104">
        <v>46114.8979166667</v>
      </c>
      <c r="R279" s="104">
        <v>46114.8979166667</v>
      </c>
      <c r="S279" s="104">
        <v>46114.9291666667</v>
      </c>
      <c r="T279" s="104" t="s">
        <v>510</v>
      </c>
    </row>
    <row r="280" s="102" customFormat="1" ht="15" spans="1:20">
      <c r="A280" s="104" t="s">
        <v>22</v>
      </c>
      <c r="B280" s="104" t="s">
        <v>342</v>
      </c>
      <c r="C280" s="104" t="s">
        <v>511</v>
      </c>
      <c r="D280" s="104" t="s">
        <v>512</v>
      </c>
      <c r="E280" s="104" t="s">
        <v>513</v>
      </c>
      <c r="F280" s="104" t="s">
        <v>514</v>
      </c>
      <c r="G280" s="114"/>
      <c r="H280" s="104">
        <v>4020001</v>
      </c>
      <c r="I280" s="104">
        <v>17139</v>
      </c>
      <c r="J280" s="104">
        <v>3333</v>
      </c>
      <c r="K280" s="104">
        <v>5</v>
      </c>
      <c r="L280" s="104">
        <v>3328</v>
      </c>
      <c r="M280" s="104">
        <v>11549.609</v>
      </c>
      <c r="N280" s="104" t="s">
        <v>24</v>
      </c>
      <c r="O280" s="104" t="s">
        <v>70</v>
      </c>
      <c r="P280" s="104" t="s">
        <v>271</v>
      </c>
      <c r="Q280" s="104">
        <v>46114.6951388889</v>
      </c>
      <c r="R280" s="104">
        <v>46114.9513888889</v>
      </c>
      <c r="S280" s="104">
        <v>46115.0069444444</v>
      </c>
      <c r="T280" s="104" t="s">
        <v>191</v>
      </c>
    </row>
    <row r="281" s="102" customFormat="1" ht="15" spans="1:20">
      <c r="A281" s="104" t="s">
        <v>22</v>
      </c>
      <c r="B281" s="104" t="s">
        <v>107</v>
      </c>
      <c r="C281" s="104" t="s">
        <v>515</v>
      </c>
      <c r="D281" s="104" t="s">
        <v>516</v>
      </c>
      <c r="E281" s="104" t="s">
        <v>517</v>
      </c>
      <c r="F281" s="104" t="s">
        <v>518</v>
      </c>
      <c r="G281" s="114"/>
      <c r="H281" s="104">
        <v>4020001</v>
      </c>
      <c r="I281" s="104">
        <v>19058</v>
      </c>
      <c r="J281" s="104">
        <v>3179</v>
      </c>
      <c r="K281" s="104">
        <v>1</v>
      </c>
      <c r="L281" s="104">
        <v>3178</v>
      </c>
      <c r="M281" s="104">
        <v>12133.705</v>
      </c>
      <c r="N281" s="104" t="s">
        <v>24</v>
      </c>
      <c r="O281" s="104" t="s">
        <v>70</v>
      </c>
      <c r="P281" s="104" t="s">
        <v>271</v>
      </c>
      <c r="Q281" s="104">
        <v>46114.7805555556</v>
      </c>
      <c r="R281" s="104">
        <v>46114.9520833333</v>
      </c>
      <c r="S281" s="104">
        <v>46115.0069444444</v>
      </c>
      <c r="T281" s="104" t="s">
        <v>450</v>
      </c>
    </row>
    <row r="282" s="102" customFormat="1" ht="15" spans="1:20">
      <c r="A282" s="104" t="s">
        <v>22</v>
      </c>
      <c r="B282" s="104" t="s">
        <v>99</v>
      </c>
      <c r="C282" s="104" t="s">
        <v>99</v>
      </c>
      <c r="D282" s="104" t="s">
        <v>29</v>
      </c>
      <c r="E282" s="114"/>
      <c r="F282" s="114"/>
      <c r="G282" s="114"/>
      <c r="H282" s="104" t="s">
        <v>99</v>
      </c>
      <c r="I282" s="104">
        <v>9285</v>
      </c>
      <c r="J282" s="104">
        <v>9285</v>
      </c>
      <c r="K282" s="104">
        <v>0</v>
      </c>
      <c r="L282" s="104">
        <v>35</v>
      </c>
      <c r="M282" s="104">
        <v>14929.774</v>
      </c>
      <c r="N282" s="104" t="s">
        <v>24</v>
      </c>
      <c r="O282" s="104" t="s">
        <v>25</v>
      </c>
      <c r="P282" s="104" t="s">
        <v>519</v>
      </c>
      <c r="Q282" s="114"/>
      <c r="R282" s="104">
        <v>46115</v>
      </c>
      <c r="S282" s="114"/>
      <c r="T282" s="114"/>
    </row>
    <row r="283" s="102" customFormat="1" ht="15" spans="1:20">
      <c r="A283" s="104" t="s">
        <v>22</v>
      </c>
      <c r="B283" s="104" t="s">
        <v>362</v>
      </c>
      <c r="C283" s="114"/>
      <c r="D283" s="114"/>
      <c r="E283" s="114"/>
      <c r="F283" s="114"/>
      <c r="G283" s="114"/>
      <c r="H283" s="104" t="s">
        <v>97</v>
      </c>
      <c r="I283" s="104">
        <v>177122</v>
      </c>
      <c r="J283" s="104">
        <v>6078</v>
      </c>
      <c r="K283" s="104">
        <v>0</v>
      </c>
      <c r="L283" s="104">
        <v>6078</v>
      </c>
      <c r="M283" s="104">
        <v>91100.977</v>
      </c>
      <c r="N283" s="104" t="s">
        <v>24</v>
      </c>
      <c r="O283" s="104" t="s">
        <v>70</v>
      </c>
      <c r="P283" s="104" t="s">
        <v>520</v>
      </c>
      <c r="Q283" s="114"/>
      <c r="R283" s="104">
        <v>46115</v>
      </c>
      <c r="S283" s="114"/>
      <c r="T283" s="114"/>
    </row>
    <row r="284" s="102" customFormat="1" ht="15" spans="1:20">
      <c r="A284" s="104" t="s">
        <v>22</v>
      </c>
      <c r="B284" s="104" t="s">
        <v>357</v>
      </c>
      <c r="C284" s="104" t="s">
        <v>521</v>
      </c>
      <c r="D284" s="104" t="s">
        <v>359</v>
      </c>
      <c r="E284" s="104" t="s">
        <v>522</v>
      </c>
      <c r="F284" s="104" t="s">
        <v>523</v>
      </c>
      <c r="G284" s="114"/>
      <c r="H284" s="104">
        <v>4020001</v>
      </c>
      <c r="I284" s="104">
        <v>20736</v>
      </c>
      <c r="J284" s="104">
        <v>3006</v>
      </c>
      <c r="K284" s="104">
        <v>2</v>
      </c>
      <c r="L284" s="104">
        <v>3004</v>
      </c>
      <c r="M284" s="104">
        <v>11333.831</v>
      </c>
      <c r="N284" s="104" t="s">
        <v>24</v>
      </c>
      <c r="O284" s="104" t="s">
        <v>70</v>
      </c>
      <c r="P284" s="104" t="s">
        <v>271</v>
      </c>
      <c r="Q284" s="104">
        <v>46114.9965277778</v>
      </c>
      <c r="R284" s="104">
        <v>46115.0222222222</v>
      </c>
      <c r="S284" s="104">
        <v>46115.1319444444</v>
      </c>
      <c r="T284" s="104" t="s">
        <v>524</v>
      </c>
    </row>
    <row r="285" s="102" customFormat="1" ht="15" spans="1:20">
      <c r="A285" s="104" t="s">
        <v>22</v>
      </c>
      <c r="B285" s="104" t="s">
        <v>117</v>
      </c>
      <c r="C285" s="104" t="s">
        <v>525</v>
      </c>
      <c r="D285" s="104" t="s">
        <v>526</v>
      </c>
      <c r="E285" s="114"/>
      <c r="F285" s="114"/>
      <c r="G285" s="114"/>
      <c r="H285" s="104">
        <v>4030002</v>
      </c>
      <c r="I285" s="104">
        <v>2139</v>
      </c>
      <c r="J285" s="104">
        <v>1156</v>
      </c>
      <c r="K285" s="104">
        <v>0</v>
      </c>
      <c r="L285" s="104">
        <v>1156</v>
      </c>
      <c r="M285" s="104">
        <v>4877.245</v>
      </c>
      <c r="N285" s="104" t="s">
        <v>24</v>
      </c>
      <c r="O285" s="104" t="s">
        <v>70</v>
      </c>
      <c r="P285" s="104" t="s">
        <v>271</v>
      </c>
      <c r="Q285" s="104">
        <v>46115.0145833333</v>
      </c>
      <c r="R285" s="104">
        <v>46115.0229166667</v>
      </c>
      <c r="S285" s="104">
        <v>46115.0458333333</v>
      </c>
      <c r="T285" s="104" t="s">
        <v>425</v>
      </c>
    </row>
    <row r="286" s="102" customFormat="1" ht="15" spans="1:20">
      <c r="A286" s="104" t="s">
        <v>22</v>
      </c>
      <c r="B286" s="104" t="s">
        <v>527</v>
      </c>
      <c r="C286" s="104" t="s">
        <v>528</v>
      </c>
      <c r="D286" s="104" t="s">
        <v>529</v>
      </c>
      <c r="E286" s="104" t="s">
        <v>530</v>
      </c>
      <c r="F286" s="104" t="s">
        <v>531</v>
      </c>
      <c r="G286" s="114"/>
      <c r="H286" s="104">
        <v>4020001</v>
      </c>
      <c r="I286" s="104">
        <v>17121</v>
      </c>
      <c r="J286" s="104">
        <v>2703</v>
      </c>
      <c r="K286" s="104">
        <v>3</v>
      </c>
      <c r="L286" s="104">
        <v>2700</v>
      </c>
      <c r="M286" s="104">
        <v>10113.11</v>
      </c>
      <c r="N286" s="104" t="s">
        <v>24</v>
      </c>
      <c r="O286" s="104" t="s">
        <v>70</v>
      </c>
      <c r="P286" s="104" t="s">
        <v>271</v>
      </c>
      <c r="Q286" s="104">
        <v>46114.8805555556</v>
      </c>
      <c r="R286" s="104">
        <v>46115.0458333333</v>
      </c>
      <c r="S286" s="104">
        <v>46115.1319444444</v>
      </c>
      <c r="T286" s="104" t="s">
        <v>66</v>
      </c>
    </row>
    <row r="287" s="102" customFormat="1" ht="15" spans="1:20">
      <c r="A287" s="104" t="s">
        <v>22</v>
      </c>
      <c r="B287" s="104" t="s">
        <v>113</v>
      </c>
      <c r="C287" s="104" t="s">
        <v>532</v>
      </c>
      <c r="D287" s="104" t="s">
        <v>115</v>
      </c>
      <c r="E287" s="114"/>
      <c r="F287" s="114"/>
      <c r="G287" s="114"/>
      <c r="H287" s="104">
        <v>4020001</v>
      </c>
      <c r="I287" s="104">
        <v>1038</v>
      </c>
      <c r="J287" s="104">
        <v>461</v>
      </c>
      <c r="K287" s="104">
        <v>0</v>
      </c>
      <c r="L287" s="104">
        <v>461</v>
      </c>
      <c r="M287" s="104">
        <v>1502.882</v>
      </c>
      <c r="N287" s="104" t="s">
        <v>24</v>
      </c>
      <c r="O287" s="104" t="s">
        <v>70</v>
      </c>
      <c r="P287" s="104" t="s">
        <v>271</v>
      </c>
      <c r="Q287" s="104">
        <v>46115.1305555556</v>
      </c>
      <c r="R287" s="104">
        <v>46115.1319444444</v>
      </c>
      <c r="S287" s="104">
        <v>46115.1451388889</v>
      </c>
      <c r="T287" s="104" t="s">
        <v>533</v>
      </c>
    </row>
    <row r="288" s="102" customFormat="1" ht="15" spans="1:20">
      <c r="A288" s="104" t="s">
        <v>22</v>
      </c>
      <c r="B288" s="104" t="s">
        <v>117</v>
      </c>
      <c r="C288" s="104" t="s">
        <v>534</v>
      </c>
      <c r="D288" s="104" t="s">
        <v>119</v>
      </c>
      <c r="E288" s="114"/>
      <c r="F288" s="114"/>
      <c r="G288" s="114"/>
      <c r="H288" s="104">
        <v>4030001</v>
      </c>
      <c r="I288" s="104">
        <v>3934</v>
      </c>
      <c r="J288" s="104">
        <v>916</v>
      </c>
      <c r="K288" s="104">
        <v>0</v>
      </c>
      <c r="L288" s="104">
        <v>916</v>
      </c>
      <c r="M288" s="104">
        <v>3140.788</v>
      </c>
      <c r="N288" s="104" t="s">
        <v>24</v>
      </c>
      <c r="O288" s="104" t="s">
        <v>70</v>
      </c>
      <c r="P288" s="104" t="s">
        <v>271</v>
      </c>
      <c r="Q288" s="104">
        <v>46115.1458333333</v>
      </c>
      <c r="R288" s="104">
        <v>46115.1493055556</v>
      </c>
      <c r="S288" s="104">
        <v>46115.1888888889</v>
      </c>
      <c r="T288" s="104" t="s">
        <v>535</v>
      </c>
    </row>
    <row r="289" s="102" customFormat="1" ht="15" spans="1:20">
      <c r="A289" s="104" t="s">
        <v>22</v>
      </c>
      <c r="B289" s="104" t="s">
        <v>121</v>
      </c>
      <c r="C289" s="104" t="s">
        <v>536</v>
      </c>
      <c r="D289" s="104" t="s">
        <v>123</v>
      </c>
      <c r="E289" s="104" t="s">
        <v>124</v>
      </c>
      <c r="F289" s="104" t="s">
        <v>125</v>
      </c>
      <c r="G289" s="114"/>
      <c r="H289" s="104">
        <v>4030001</v>
      </c>
      <c r="I289" s="104">
        <v>15246</v>
      </c>
      <c r="J289" s="104">
        <v>3278</v>
      </c>
      <c r="K289" s="104">
        <v>54</v>
      </c>
      <c r="L289" s="104">
        <v>3224</v>
      </c>
      <c r="M289" s="104">
        <v>12638.091</v>
      </c>
      <c r="N289" s="104" t="s">
        <v>24</v>
      </c>
      <c r="O289" s="104" t="s">
        <v>70</v>
      </c>
      <c r="P289" s="104" t="s">
        <v>271</v>
      </c>
      <c r="Q289" s="104">
        <v>46115.1486111111</v>
      </c>
      <c r="R289" s="104">
        <v>46115.1625</v>
      </c>
      <c r="S289" s="104">
        <v>46115.2118055556</v>
      </c>
      <c r="T289" s="104" t="s">
        <v>377</v>
      </c>
    </row>
    <row r="290" s="102" customFormat="1" ht="15" spans="1:20">
      <c r="A290" s="104" t="s">
        <v>22</v>
      </c>
      <c r="B290" s="104" t="s">
        <v>127</v>
      </c>
      <c r="C290" s="114"/>
      <c r="D290" s="104" t="s">
        <v>29</v>
      </c>
      <c r="E290" s="114"/>
      <c r="F290" s="114"/>
      <c r="G290" s="114"/>
      <c r="H290" s="104">
        <v>4031851</v>
      </c>
      <c r="I290" s="104">
        <v>226</v>
      </c>
      <c r="J290" s="104">
        <v>33</v>
      </c>
      <c r="K290" s="104">
        <v>0</v>
      </c>
      <c r="L290" s="104">
        <v>33</v>
      </c>
      <c r="M290" s="104">
        <v>27.516</v>
      </c>
      <c r="N290" s="104" t="s">
        <v>24</v>
      </c>
      <c r="O290" s="104" t="s">
        <v>25</v>
      </c>
      <c r="P290" s="104" t="s">
        <v>271</v>
      </c>
      <c r="Q290" s="104">
        <v>46115.2041666667</v>
      </c>
      <c r="R290" s="104">
        <v>46115.2041666667</v>
      </c>
      <c r="S290" s="104">
        <v>46115.2458333333</v>
      </c>
      <c r="T290" s="104" t="s">
        <v>537</v>
      </c>
    </row>
    <row r="291" s="102" customFormat="1" ht="15" spans="1:20">
      <c r="A291" s="104" t="s">
        <v>22</v>
      </c>
      <c r="B291" s="104" t="s">
        <v>129</v>
      </c>
      <c r="C291" s="114"/>
      <c r="D291" s="104" t="s">
        <v>29</v>
      </c>
      <c r="E291" s="114"/>
      <c r="F291" s="114"/>
      <c r="G291" s="114"/>
      <c r="H291" s="104">
        <v>4031840</v>
      </c>
      <c r="I291" s="104">
        <v>143</v>
      </c>
      <c r="J291" s="104">
        <v>134</v>
      </c>
      <c r="K291" s="104">
        <v>0</v>
      </c>
      <c r="L291" s="104">
        <v>134</v>
      </c>
      <c r="M291" s="104">
        <v>0</v>
      </c>
      <c r="N291" s="104" t="s">
        <v>24</v>
      </c>
      <c r="O291" s="104" t="s">
        <v>25</v>
      </c>
      <c r="P291" s="104" t="s">
        <v>271</v>
      </c>
      <c r="Q291" s="104">
        <v>46115.2111111111</v>
      </c>
      <c r="R291" s="104">
        <v>46115.2111111111</v>
      </c>
      <c r="S291" s="104">
        <v>46115.2458333333</v>
      </c>
      <c r="T291" s="104" t="s">
        <v>538</v>
      </c>
    </row>
    <row r="292" s="102" customFormat="1" ht="15" spans="1:20">
      <c r="A292" s="104" t="s">
        <v>22</v>
      </c>
      <c r="B292" s="104" t="s">
        <v>28</v>
      </c>
      <c r="C292" s="114"/>
      <c r="D292" s="104" t="s">
        <v>29</v>
      </c>
      <c r="E292" s="114"/>
      <c r="F292" s="114"/>
      <c r="G292" s="114"/>
      <c r="H292" s="104">
        <v>4032098</v>
      </c>
      <c r="I292" s="104">
        <v>0</v>
      </c>
      <c r="J292" s="104">
        <v>94</v>
      </c>
      <c r="K292" s="104">
        <v>0</v>
      </c>
      <c r="L292" s="104">
        <v>94</v>
      </c>
      <c r="M292" s="104">
        <v>0</v>
      </c>
      <c r="N292" s="104" t="s">
        <v>24</v>
      </c>
      <c r="O292" s="104" t="s">
        <v>25</v>
      </c>
      <c r="P292" s="104" t="s">
        <v>271</v>
      </c>
      <c r="Q292" s="104">
        <v>46115.2340277778</v>
      </c>
      <c r="R292" s="104">
        <v>46115.2340277778</v>
      </c>
      <c r="S292" s="104">
        <v>46115.2458333333</v>
      </c>
      <c r="T292" s="104" t="s">
        <v>369</v>
      </c>
    </row>
    <row r="293" s="102" customFormat="1" ht="15" spans="1:20">
      <c r="A293" s="104" t="s">
        <v>22</v>
      </c>
      <c r="B293" s="104" t="s">
        <v>132</v>
      </c>
      <c r="C293" s="104" t="s">
        <v>539</v>
      </c>
      <c r="D293" s="104" t="s">
        <v>134</v>
      </c>
      <c r="E293" s="114"/>
      <c r="F293" s="114"/>
      <c r="G293" s="114"/>
      <c r="H293" s="104">
        <v>4020001</v>
      </c>
      <c r="I293" s="104">
        <v>643</v>
      </c>
      <c r="J293" s="104">
        <v>619</v>
      </c>
      <c r="K293" s="104">
        <v>0</v>
      </c>
      <c r="L293" s="104">
        <v>619</v>
      </c>
      <c r="M293" s="104">
        <v>2049.123</v>
      </c>
      <c r="N293" s="104" t="s">
        <v>24</v>
      </c>
      <c r="O293" s="104" t="s">
        <v>70</v>
      </c>
      <c r="P293" s="104" t="s">
        <v>271</v>
      </c>
      <c r="Q293" s="104">
        <v>46115.2694444444</v>
      </c>
      <c r="R293" s="104">
        <v>46115.2701388889</v>
      </c>
      <c r="S293" s="104">
        <v>46115.2805555556</v>
      </c>
      <c r="T293" s="104" t="s">
        <v>540</v>
      </c>
    </row>
    <row r="294" s="102" customFormat="1" ht="15" spans="1:20">
      <c r="A294" s="104" t="s">
        <v>22</v>
      </c>
      <c r="B294" s="104" t="s">
        <v>28</v>
      </c>
      <c r="C294" s="114"/>
      <c r="D294" s="104" t="s">
        <v>29</v>
      </c>
      <c r="E294" s="114"/>
      <c r="F294" s="114"/>
      <c r="G294" s="114"/>
      <c r="H294" s="104">
        <v>4032099</v>
      </c>
      <c r="I294" s="104">
        <v>0</v>
      </c>
      <c r="J294" s="104">
        <v>5</v>
      </c>
      <c r="K294" s="104">
        <v>0</v>
      </c>
      <c r="L294" s="104">
        <v>5</v>
      </c>
      <c r="M294" s="104">
        <v>0</v>
      </c>
      <c r="N294" s="104" t="s">
        <v>24</v>
      </c>
      <c r="O294" s="104" t="s">
        <v>25</v>
      </c>
      <c r="P294" s="104" t="s">
        <v>271</v>
      </c>
      <c r="Q294" s="104">
        <v>46115.2756944444</v>
      </c>
      <c r="R294" s="104">
        <v>46115.2756944444</v>
      </c>
      <c r="S294" s="104">
        <v>46115.2958333333</v>
      </c>
      <c r="T294" s="104" t="s">
        <v>541</v>
      </c>
    </row>
    <row r="295" s="102" customFormat="1" ht="15" spans="1:20">
      <c r="A295" s="104" t="s">
        <v>22</v>
      </c>
      <c r="B295" s="104" t="s">
        <v>142</v>
      </c>
      <c r="C295" s="104" t="s">
        <v>542</v>
      </c>
      <c r="D295" s="104" t="s">
        <v>543</v>
      </c>
      <c r="E295" s="104" t="s">
        <v>544</v>
      </c>
      <c r="F295" s="104" t="s">
        <v>545</v>
      </c>
      <c r="G295" s="114"/>
      <c r="H295" s="104">
        <v>4030001</v>
      </c>
      <c r="I295" s="104">
        <v>17022</v>
      </c>
      <c r="J295" s="104">
        <v>3064</v>
      </c>
      <c r="K295" s="104">
        <v>5</v>
      </c>
      <c r="L295" s="104">
        <v>3059</v>
      </c>
      <c r="M295" s="104">
        <v>11333.932</v>
      </c>
      <c r="N295" s="104" t="s">
        <v>24</v>
      </c>
      <c r="O295" s="104" t="s">
        <v>70</v>
      </c>
      <c r="P295" s="104" t="s">
        <v>106</v>
      </c>
      <c r="Q295" s="104">
        <v>46115.2819444444</v>
      </c>
      <c r="R295" s="104">
        <v>46115.29375</v>
      </c>
      <c r="S295" s="104">
        <v>46115.3548611111</v>
      </c>
      <c r="T295" s="104" t="s">
        <v>427</v>
      </c>
    </row>
    <row r="296" s="102" customFormat="1" ht="15" spans="1:20">
      <c r="A296" s="104" t="s">
        <v>22</v>
      </c>
      <c r="B296" s="104" t="s">
        <v>28</v>
      </c>
      <c r="C296" s="114"/>
      <c r="D296" s="104" t="s">
        <v>29</v>
      </c>
      <c r="E296" s="114"/>
      <c r="F296" s="114"/>
      <c r="G296" s="114"/>
      <c r="H296" s="104">
        <v>4032100</v>
      </c>
      <c r="I296" s="104">
        <v>0</v>
      </c>
      <c r="J296" s="104">
        <v>19</v>
      </c>
      <c r="K296" s="104">
        <v>0</v>
      </c>
      <c r="L296" s="104">
        <v>19</v>
      </c>
      <c r="M296" s="104">
        <v>0</v>
      </c>
      <c r="N296" s="104" t="s">
        <v>24</v>
      </c>
      <c r="O296" s="104" t="s">
        <v>25</v>
      </c>
      <c r="P296" s="104" t="s">
        <v>106</v>
      </c>
      <c r="Q296" s="104">
        <v>46115.2986111111</v>
      </c>
      <c r="R296" s="104">
        <v>46115.2986111111</v>
      </c>
      <c r="S296" s="104">
        <v>46115.3083333333</v>
      </c>
      <c r="T296" s="104" t="s">
        <v>431</v>
      </c>
    </row>
    <row r="297" s="102" customFormat="1" ht="15" spans="1:20">
      <c r="A297" s="104" t="s">
        <v>22</v>
      </c>
      <c r="B297" s="104" t="s">
        <v>138</v>
      </c>
      <c r="C297" s="104" t="s">
        <v>546</v>
      </c>
      <c r="D297" s="104" t="s">
        <v>140</v>
      </c>
      <c r="E297" s="114"/>
      <c r="F297" s="114"/>
      <c r="G297" s="114"/>
      <c r="H297" s="104">
        <v>4030001</v>
      </c>
      <c r="I297" s="104">
        <v>4273</v>
      </c>
      <c r="J297" s="104">
        <v>1119</v>
      </c>
      <c r="K297" s="104">
        <v>1</v>
      </c>
      <c r="L297" s="104">
        <v>1118</v>
      </c>
      <c r="M297" s="104">
        <v>4354.463</v>
      </c>
      <c r="N297" s="104" t="s">
        <v>24</v>
      </c>
      <c r="O297" s="104" t="s">
        <v>70</v>
      </c>
      <c r="P297" s="104" t="s">
        <v>106</v>
      </c>
      <c r="Q297" s="104">
        <v>46115.3055555556</v>
      </c>
      <c r="R297" s="104">
        <v>46115.3055555556</v>
      </c>
      <c r="S297" s="104">
        <v>46115.3236111111</v>
      </c>
      <c r="T297" s="104" t="s">
        <v>547</v>
      </c>
    </row>
    <row r="298" s="102" customFormat="1" ht="15" spans="1:20">
      <c r="A298" s="104" t="s">
        <v>22</v>
      </c>
      <c r="B298" s="104" t="s">
        <v>232</v>
      </c>
      <c r="C298" s="104" t="s">
        <v>548</v>
      </c>
      <c r="D298" s="104" t="s">
        <v>234</v>
      </c>
      <c r="E298" s="114"/>
      <c r="F298" s="114"/>
      <c r="G298" s="114"/>
      <c r="H298" s="104">
        <v>4030002</v>
      </c>
      <c r="I298" s="104">
        <v>2256</v>
      </c>
      <c r="J298" s="104">
        <v>2256</v>
      </c>
      <c r="K298" s="104">
        <v>53</v>
      </c>
      <c r="L298" s="104">
        <v>2203</v>
      </c>
      <c r="M298" s="104">
        <v>2536.616</v>
      </c>
      <c r="N298" s="104" t="s">
        <v>24</v>
      </c>
      <c r="O298" s="104" t="s">
        <v>25</v>
      </c>
      <c r="P298" s="104" t="s">
        <v>106</v>
      </c>
      <c r="Q298" s="104">
        <v>46115.7583333333</v>
      </c>
      <c r="R298" s="104">
        <v>46115.7631944444</v>
      </c>
      <c r="S298" s="104">
        <v>46115.7861111111</v>
      </c>
      <c r="T298" s="104" t="s">
        <v>200</v>
      </c>
    </row>
    <row r="299" s="102" customFormat="1" ht="15" spans="1:20">
      <c r="A299" s="104" t="s">
        <v>22</v>
      </c>
      <c r="B299" s="104" t="s">
        <v>229</v>
      </c>
      <c r="C299" s="104" t="s">
        <v>549</v>
      </c>
      <c r="D299" s="104" t="s">
        <v>217</v>
      </c>
      <c r="E299" s="114"/>
      <c r="F299" s="114"/>
      <c r="G299" s="114"/>
      <c r="H299" s="104">
        <v>4030003</v>
      </c>
      <c r="I299" s="104">
        <v>2679</v>
      </c>
      <c r="J299" s="104">
        <v>2679</v>
      </c>
      <c r="K299" s="104">
        <v>144</v>
      </c>
      <c r="L299" s="104">
        <v>2535</v>
      </c>
      <c r="M299" s="104">
        <v>4400.577</v>
      </c>
      <c r="N299" s="104" t="s">
        <v>24</v>
      </c>
      <c r="O299" s="104" t="s">
        <v>25</v>
      </c>
      <c r="P299" s="104" t="s">
        <v>106</v>
      </c>
      <c r="Q299" s="104">
        <v>46115.7416666667</v>
      </c>
      <c r="R299" s="104">
        <v>46115.7638888889</v>
      </c>
      <c r="S299" s="104">
        <v>46115.7861111111</v>
      </c>
      <c r="T299" s="104" t="s">
        <v>200</v>
      </c>
    </row>
    <row r="300" s="102" customFormat="1" ht="15" spans="1:20">
      <c r="A300" s="104" t="s">
        <v>22</v>
      </c>
      <c r="B300" s="104" t="s">
        <v>219</v>
      </c>
      <c r="C300" s="104" t="s">
        <v>550</v>
      </c>
      <c r="D300" s="104" t="s">
        <v>221</v>
      </c>
      <c r="E300" s="114"/>
      <c r="F300" s="114"/>
      <c r="G300" s="104">
        <v>11111111111111</v>
      </c>
      <c r="H300" s="104">
        <v>4030002</v>
      </c>
      <c r="I300" s="104">
        <v>5485</v>
      </c>
      <c r="J300" s="104">
        <v>5485</v>
      </c>
      <c r="K300" s="104">
        <v>218</v>
      </c>
      <c r="L300" s="104">
        <v>5267</v>
      </c>
      <c r="M300" s="104">
        <v>3341.77</v>
      </c>
      <c r="N300" s="104" t="s">
        <v>24</v>
      </c>
      <c r="O300" s="104" t="s">
        <v>25</v>
      </c>
      <c r="P300" s="104" t="s">
        <v>106</v>
      </c>
      <c r="Q300" s="104">
        <v>46115.7479166667</v>
      </c>
      <c r="R300" s="104">
        <v>46115.7638888889</v>
      </c>
      <c r="S300" s="104">
        <v>46115.7868055556</v>
      </c>
      <c r="T300" s="104" t="s">
        <v>200</v>
      </c>
    </row>
    <row r="301" s="102" customFormat="1" ht="15" spans="1:20">
      <c r="A301" s="104" t="s">
        <v>22</v>
      </c>
      <c r="B301" s="104" t="s">
        <v>261</v>
      </c>
      <c r="C301" s="104" t="s">
        <v>551</v>
      </c>
      <c r="D301" s="104" t="s">
        <v>552</v>
      </c>
      <c r="E301" s="114"/>
      <c r="F301" s="114"/>
      <c r="G301" s="104">
        <v>25500071256466</v>
      </c>
      <c r="H301" s="104">
        <v>4030002</v>
      </c>
      <c r="I301" s="104">
        <v>1288</v>
      </c>
      <c r="J301" s="104">
        <v>1288</v>
      </c>
      <c r="K301" s="104">
        <v>130</v>
      </c>
      <c r="L301" s="104">
        <v>1158</v>
      </c>
      <c r="M301" s="104">
        <v>1182.81</v>
      </c>
      <c r="N301" s="104" t="s">
        <v>24</v>
      </c>
      <c r="O301" s="104" t="s">
        <v>25</v>
      </c>
      <c r="P301" s="104" t="s">
        <v>106</v>
      </c>
      <c r="Q301" s="104">
        <v>46115.7569444444</v>
      </c>
      <c r="R301" s="104">
        <v>46115.7673611111</v>
      </c>
      <c r="S301" s="104">
        <v>46115.7868055556</v>
      </c>
      <c r="T301" s="104" t="s">
        <v>406</v>
      </c>
    </row>
    <row r="302" s="102" customFormat="1" ht="15" spans="1:20">
      <c r="A302" s="104" t="s">
        <v>22</v>
      </c>
      <c r="B302" s="104" t="s">
        <v>219</v>
      </c>
      <c r="C302" s="104" t="s">
        <v>553</v>
      </c>
      <c r="D302" s="104" t="s">
        <v>239</v>
      </c>
      <c r="E302" s="114"/>
      <c r="F302" s="114"/>
      <c r="G302" s="104">
        <v>11111111111111</v>
      </c>
      <c r="H302" s="104">
        <v>4030003</v>
      </c>
      <c r="I302" s="104">
        <v>4037</v>
      </c>
      <c r="J302" s="104">
        <v>4037</v>
      </c>
      <c r="K302" s="104">
        <v>9</v>
      </c>
      <c r="L302" s="104">
        <v>4028</v>
      </c>
      <c r="M302" s="104">
        <v>4140.35</v>
      </c>
      <c r="N302" s="104" t="s">
        <v>24</v>
      </c>
      <c r="O302" s="104" t="s">
        <v>25</v>
      </c>
      <c r="P302" s="104" t="s">
        <v>106</v>
      </c>
      <c r="Q302" s="104">
        <v>46115.7625</v>
      </c>
      <c r="R302" s="104">
        <v>46115.7756944444</v>
      </c>
      <c r="S302" s="104">
        <v>46115.7965277778</v>
      </c>
      <c r="T302" s="104" t="s">
        <v>141</v>
      </c>
    </row>
    <row r="303" s="102" customFormat="1" ht="15" spans="1:20">
      <c r="A303" s="104" t="s">
        <v>22</v>
      </c>
      <c r="B303" s="104" t="s">
        <v>81</v>
      </c>
      <c r="C303" s="104" t="s">
        <v>554</v>
      </c>
      <c r="D303" s="104" t="s">
        <v>38</v>
      </c>
      <c r="E303" s="114"/>
      <c r="F303" s="114"/>
      <c r="G303" s="114"/>
      <c r="H303" s="104">
        <v>4030001</v>
      </c>
      <c r="I303" s="104">
        <v>480</v>
      </c>
      <c r="J303" s="104">
        <v>480</v>
      </c>
      <c r="K303" s="104">
        <v>1</v>
      </c>
      <c r="L303" s="104">
        <v>479</v>
      </c>
      <c r="M303" s="104">
        <v>316.655</v>
      </c>
      <c r="N303" s="104" t="s">
        <v>24</v>
      </c>
      <c r="O303" s="104" t="s">
        <v>25</v>
      </c>
      <c r="P303" s="104" t="s">
        <v>106</v>
      </c>
      <c r="Q303" s="104">
        <v>46115.7763888889</v>
      </c>
      <c r="R303" s="104">
        <v>46115.7763888889</v>
      </c>
      <c r="S303" s="104">
        <v>46115.7798611111</v>
      </c>
      <c r="T303" s="104" t="s">
        <v>555</v>
      </c>
    </row>
    <row r="304" s="102" customFormat="1" ht="15" spans="1:20">
      <c r="A304" s="104" t="s">
        <v>22</v>
      </c>
      <c r="B304" s="104" t="s">
        <v>244</v>
      </c>
      <c r="C304" s="104" t="s">
        <v>556</v>
      </c>
      <c r="D304" s="104" t="s">
        <v>41</v>
      </c>
      <c r="E304" s="114"/>
      <c r="F304" s="114"/>
      <c r="G304" s="114"/>
      <c r="H304" s="104">
        <v>4030001</v>
      </c>
      <c r="I304" s="104">
        <v>268</v>
      </c>
      <c r="J304" s="104">
        <v>19</v>
      </c>
      <c r="K304" s="104">
        <v>5</v>
      </c>
      <c r="L304" s="104">
        <v>14</v>
      </c>
      <c r="M304" s="104">
        <v>179.074</v>
      </c>
      <c r="N304" s="104" t="s">
        <v>24</v>
      </c>
      <c r="O304" s="104" t="s">
        <v>25</v>
      </c>
      <c r="P304" s="104" t="s">
        <v>106</v>
      </c>
      <c r="Q304" s="104">
        <v>46115.7826388889</v>
      </c>
      <c r="R304" s="104">
        <v>46115.7833333333</v>
      </c>
      <c r="S304" s="104">
        <v>46115.7993055556</v>
      </c>
      <c r="T304" s="104" t="s">
        <v>478</v>
      </c>
    </row>
    <row r="305" s="102" customFormat="1" ht="15" spans="1:20">
      <c r="A305" s="104" t="s">
        <v>22</v>
      </c>
      <c r="B305" s="104" t="s">
        <v>229</v>
      </c>
      <c r="C305" s="104" t="s">
        <v>557</v>
      </c>
      <c r="D305" s="104" t="s">
        <v>231</v>
      </c>
      <c r="E305" s="114"/>
      <c r="F305" s="114"/>
      <c r="G305" s="114"/>
      <c r="H305" s="104">
        <v>4030002</v>
      </c>
      <c r="I305" s="104">
        <v>3817</v>
      </c>
      <c r="J305" s="104">
        <v>3817</v>
      </c>
      <c r="K305" s="104">
        <v>206</v>
      </c>
      <c r="L305" s="104">
        <v>3611</v>
      </c>
      <c r="M305" s="104">
        <v>5747.02</v>
      </c>
      <c r="N305" s="104" t="s">
        <v>24</v>
      </c>
      <c r="O305" s="104" t="s">
        <v>25</v>
      </c>
      <c r="P305" s="104" t="s">
        <v>106</v>
      </c>
      <c r="Q305" s="104">
        <v>46115.7722222222</v>
      </c>
      <c r="R305" s="104">
        <v>46115.7833333333</v>
      </c>
      <c r="S305" s="104">
        <v>46115.7861111111</v>
      </c>
      <c r="T305" s="104" t="s">
        <v>558</v>
      </c>
    </row>
    <row r="306" s="102" customFormat="1" ht="15" spans="1:20">
      <c r="A306" s="104" t="s">
        <v>22</v>
      </c>
      <c r="B306" s="104" t="s">
        <v>236</v>
      </c>
      <c r="C306" s="114"/>
      <c r="D306" s="114"/>
      <c r="E306" s="114"/>
      <c r="F306" s="114"/>
      <c r="G306" s="114"/>
      <c r="H306" s="104">
        <v>4034806</v>
      </c>
      <c r="I306" s="104">
        <v>2651</v>
      </c>
      <c r="J306" s="104">
        <v>2651</v>
      </c>
      <c r="K306" s="104">
        <v>11</v>
      </c>
      <c r="L306" s="104">
        <v>2640</v>
      </c>
      <c r="M306" s="104">
        <v>3558.349</v>
      </c>
      <c r="N306" s="104" t="s">
        <v>24</v>
      </c>
      <c r="O306" s="104" t="s">
        <v>25</v>
      </c>
      <c r="P306" s="104" t="s">
        <v>106</v>
      </c>
      <c r="Q306" s="104">
        <v>46115.7840277778</v>
      </c>
      <c r="R306" s="104">
        <v>46115.7840277778</v>
      </c>
      <c r="S306" s="104">
        <v>46115.7875</v>
      </c>
      <c r="T306" s="104" t="s">
        <v>491</v>
      </c>
    </row>
    <row r="307" s="102" customFormat="1" ht="15" spans="1:20">
      <c r="A307" s="104" t="s">
        <v>22</v>
      </c>
      <c r="B307" s="104" t="s">
        <v>254</v>
      </c>
      <c r="C307" s="104" t="s">
        <v>559</v>
      </c>
      <c r="D307" s="104" t="s">
        <v>182</v>
      </c>
      <c r="E307" s="114"/>
      <c r="F307" s="114"/>
      <c r="G307" s="114"/>
      <c r="H307" s="104">
        <v>4030001</v>
      </c>
      <c r="I307" s="104">
        <v>2613</v>
      </c>
      <c r="J307" s="104">
        <v>2459</v>
      </c>
      <c r="K307" s="104">
        <v>427</v>
      </c>
      <c r="L307" s="104">
        <v>2032</v>
      </c>
      <c r="M307" s="104">
        <v>2694.005</v>
      </c>
      <c r="N307" s="104" t="s">
        <v>24</v>
      </c>
      <c r="O307" s="104" t="s">
        <v>25</v>
      </c>
      <c r="P307" s="104" t="s">
        <v>106</v>
      </c>
      <c r="Q307" s="104">
        <v>46115.7854166667</v>
      </c>
      <c r="R307" s="104">
        <v>46115.7881944444</v>
      </c>
      <c r="S307" s="104">
        <v>46115.7993055556</v>
      </c>
      <c r="T307" s="104" t="s">
        <v>560</v>
      </c>
    </row>
    <row r="308" s="102" customFormat="1" ht="15" spans="1:20">
      <c r="A308" s="104" t="s">
        <v>22</v>
      </c>
      <c r="B308" s="104" t="s">
        <v>305</v>
      </c>
      <c r="C308" s="104" t="s">
        <v>561</v>
      </c>
      <c r="D308" s="104" t="s">
        <v>307</v>
      </c>
      <c r="E308" s="114"/>
      <c r="F308" s="114"/>
      <c r="G308" s="114"/>
      <c r="H308" s="104">
        <v>4030001</v>
      </c>
      <c r="I308" s="104">
        <v>710</v>
      </c>
      <c r="J308" s="104">
        <v>518</v>
      </c>
      <c r="K308" s="104">
        <v>4</v>
      </c>
      <c r="L308" s="104">
        <v>514</v>
      </c>
      <c r="M308" s="104">
        <v>572.34</v>
      </c>
      <c r="N308" s="104" t="s">
        <v>24</v>
      </c>
      <c r="O308" s="104" t="s">
        <v>25</v>
      </c>
      <c r="P308" s="104" t="s">
        <v>106</v>
      </c>
      <c r="Q308" s="104">
        <v>46115.7972222222</v>
      </c>
      <c r="R308" s="104">
        <v>46115.7979166667</v>
      </c>
      <c r="S308" s="104">
        <v>46115.8131944444</v>
      </c>
      <c r="T308" s="104" t="s">
        <v>120</v>
      </c>
    </row>
    <row r="309" s="102" customFormat="1" ht="15" spans="1:20">
      <c r="A309" s="104" t="s">
        <v>22</v>
      </c>
      <c r="B309" s="104" t="s">
        <v>319</v>
      </c>
      <c r="C309" s="104" t="s">
        <v>562</v>
      </c>
      <c r="D309" s="104" t="s">
        <v>321</v>
      </c>
      <c r="E309" s="114"/>
      <c r="F309" s="114"/>
      <c r="G309" s="114"/>
      <c r="H309" s="104">
        <v>4030001</v>
      </c>
      <c r="I309" s="104">
        <v>1020</v>
      </c>
      <c r="J309" s="104">
        <v>392</v>
      </c>
      <c r="K309" s="104">
        <v>25</v>
      </c>
      <c r="L309" s="104">
        <v>367</v>
      </c>
      <c r="M309" s="104">
        <v>461.51</v>
      </c>
      <c r="N309" s="104" t="s">
        <v>24</v>
      </c>
      <c r="O309" s="104" t="s">
        <v>25</v>
      </c>
      <c r="P309" s="104" t="s">
        <v>106</v>
      </c>
      <c r="Q309" s="104">
        <v>46115.7944444444</v>
      </c>
      <c r="R309" s="104">
        <v>46115.7986111111</v>
      </c>
      <c r="S309" s="104">
        <v>46115.8131944444</v>
      </c>
      <c r="T309" s="104" t="s">
        <v>120</v>
      </c>
    </row>
    <row r="310" s="102" customFormat="1" ht="15" spans="1:20">
      <c r="A310" s="104" t="s">
        <v>22</v>
      </c>
      <c r="B310" s="104" t="s">
        <v>212</v>
      </c>
      <c r="C310" s="104" t="s">
        <v>563</v>
      </c>
      <c r="D310" s="104" t="s">
        <v>340</v>
      </c>
      <c r="E310" s="114"/>
      <c r="F310" s="114"/>
      <c r="G310" s="114"/>
      <c r="H310" s="104">
        <v>4030002</v>
      </c>
      <c r="I310" s="104">
        <v>797</v>
      </c>
      <c r="J310" s="104">
        <v>797</v>
      </c>
      <c r="K310" s="104">
        <v>5</v>
      </c>
      <c r="L310" s="104">
        <v>792</v>
      </c>
      <c r="M310" s="104">
        <v>1606.838</v>
      </c>
      <c r="N310" s="104" t="s">
        <v>24</v>
      </c>
      <c r="O310" s="104" t="s">
        <v>25</v>
      </c>
      <c r="P310" s="104" t="s">
        <v>106</v>
      </c>
      <c r="Q310" s="104">
        <v>46115.7875</v>
      </c>
      <c r="R310" s="104">
        <v>46115.7986111111</v>
      </c>
      <c r="S310" s="104">
        <v>46115.8291666667</v>
      </c>
      <c r="T310" s="104" t="s">
        <v>459</v>
      </c>
    </row>
    <row r="311" s="102" customFormat="1" ht="15" spans="1:20">
      <c r="A311" s="104" t="s">
        <v>22</v>
      </c>
      <c r="B311" s="104" t="s">
        <v>257</v>
      </c>
      <c r="C311" s="104" t="s">
        <v>564</v>
      </c>
      <c r="D311" s="104" t="s">
        <v>259</v>
      </c>
      <c r="E311" s="114"/>
      <c r="F311" s="114"/>
      <c r="G311" s="114"/>
      <c r="H311" s="104">
        <v>4030001</v>
      </c>
      <c r="I311" s="104">
        <v>2150</v>
      </c>
      <c r="J311" s="104">
        <v>1938</v>
      </c>
      <c r="K311" s="104">
        <v>11</v>
      </c>
      <c r="L311" s="104">
        <v>1927</v>
      </c>
      <c r="M311" s="104">
        <v>3411.397</v>
      </c>
      <c r="N311" s="104" t="s">
        <v>24</v>
      </c>
      <c r="O311" s="104" t="s">
        <v>25</v>
      </c>
      <c r="P311" s="104" t="s">
        <v>106</v>
      </c>
      <c r="Q311" s="104">
        <v>46115.8020833333</v>
      </c>
      <c r="R311" s="104">
        <v>46115.8055555556</v>
      </c>
      <c r="S311" s="104">
        <v>46115.8291666667</v>
      </c>
      <c r="T311" s="104" t="s">
        <v>487</v>
      </c>
    </row>
    <row r="312" s="102" customFormat="1" ht="15" spans="1:20">
      <c r="A312" s="104" t="s">
        <v>22</v>
      </c>
      <c r="B312" s="104" t="s">
        <v>219</v>
      </c>
      <c r="C312" s="104" t="s">
        <v>565</v>
      </c>
      <c r="D312" s="104" t="s">
        <v>252</v>
      </c>
      <c r="E312" s="114"/>
      <c r="F312" s="114"/>
      <c r="G312" s="114"/>
      <c r="H312" s="104">
        <v>4030001</v>
      </c>
      <c r="I312" s="104">
        <v>4564</v>
      </c>
      <c r="J312" s="104">
        <v>4356</v>
      </c>
      <c r="K312" s="104">
        <v>835</v>
      </c>
      <c r="L312" s="104">
        <v>3521</v>
      </c>
      <c r="M312" s="104">
        <v>3490.725</v>
      </c>
      <c r="N312" s="104" t="s">
        <v>24</v>
      </c>
      <c r="O312" s="104" t="s">
        <v>25</v>
      </c>
      <c r="P312" s="104" t="s">
        <v>106</v>
      </c>
      <c r="Q312" s="104">
        <v>46115.8069444444</v>
      </c>
      <c r="R312" s="104">
        <v>46115.8076388889</v>
      </c>
      <c r="S312" s="104">
        <v>46115.8298611111</v>
      </c>
      <c r="T312" s="104" t="s">
        <v>474</v>
      </c>
    </row>
    <row r="313" s="102" customFormat="1" ht="15" spans="1:20">
      <c r="A313" s="104" t="s">
        <v>22</v>
      </c>
      <c r="B313" s="104" t="s">
        <v>299</v>
      </c>
      <c r="C313" s="104" t="s">
        <v>566</v>
      </c>
      <c r="D313" s="104" t="s">
        <v>174</v>
      </c>
      <c r="E313" s="114"/>
      <c r="F313" s="114"/>
      <c r="G313" s="114"/>
      <c r="H313" s="104">
        <v>4030001</v>
      </c>
      <c r="I313" s="104">
        <v>4</v>
      </c>
      <c r="J313" s="104">
        <v>4</v>
      </c>
      <c r="K313" s="104">
        <v>0</v>
      </c>
      <c r="L313" s="104">
        <v>4</v>
      </c>
      <c r="M313" s="104">
        <v>20.35</v>
      </c>
      <c r="N313" s="104" t="s">
        <v>24</v>
      </c>
      <c r="O313" s="104" t="s">
        <v>25</v>
      </c>
      <c r="P313" s="104" t="s">
        <v>106</v>
      </c>
      <c r="Q313" s="104">
        <v>46115.8083333333</v>
      </c>
      <c r="R313" s="104">
        <v>46115.8083333333</v>
      </c>
      <c r="S313" s="104">
        <v>46115.8298611111</v>
      </c>
      <c r="T313" s="104" t="s">
        <v>474</v>
      </c>
    </row>
    <row r="314" s="102" customFormat="1" ht="15" spans="1:20">
      <c r="A314" s="104" t="s">
        <v>22</v>
      </c>
      <c r="B314" s="104" t="s">
        <v>232</v>
      </c>
      <c r="C314" s="104" t="s">
        <v>567</v>
      </c>
      <c r="D314" s="104" t="s">
        <v>65</v>
      </c>
      <c r="E314" s="114"/>
      <c r="F314" s="114"/>
      <c r="G314" s="114"/>
      <c r="H314" s="104">
        <v>4030001</v>
      </c>
      <c r="I314" s="104">
        <v>3036</v>
      </c>
      <c r="J314" s="104">
        <v>2143</v>
      </c>
      <c r="K314" s="104">
        <v>76</v>
      </c>
      <c r="L314" s="104">
        <v>2067</v>
      </c>
      <c r="M314" s="104">
        <v>2449.468</v>
      </c>
      <c r="N314" s="104" t="s">
        <v>24</v>
      </c>
      <c r="O314" s="104" t="s">
        <v>25</v>
      </c>
      <c r="P314" s="104" t="s">
        <v>106</v>
      </c>
      <c r="Q314" s="104">
        <v>46115.8111111111</v>
      </c>
      <c r="R314" s="104">
        <v>46115.8125</v>
      </c>
      <c r="S314" s="104">
        <v>46115.8305555556</v>
      </c>
      <c r="T314" s="104" t="s">
        <v>568</v>
      </c>
    </row>
    <row r="315" s="102" customFormat="1" ht="15" spans="1:20">
      <c r="A315" s="104" t="s">
        <v>22</v>
      </c>
      <c r="B315" s="104" t="s">
        <v>324</v>
      </c>
      <c r="C315" s="104" t="s">
        <v>569</v>
      </c>
      <c r="D315" s="104" t="s">
        <v>326</v>
      </c>
      <c r="E315" s="114"/>
      <c r="F315" s="114"/>
      <c r="G315" s="114"/>
      <c r="H315" s="104">
        <v>4030001</v>
      </c>
      <c r="I315" s="104">
        <v>3686</v>
      </c>
      <c r="J315" s="104">
        <v>2835</v>
      </c>
      <c r="K315" s="104">
        <v>6</v>
      </c>
      <c r="L315" s="104">
        <v>2829</v>
      </c>
      <c r="M315" s="104">
        <v>3657.204</v>
      </c>
      <c r="N315" s="104" t="s">
        <v>24</v>
      </c>
      <c r="O315" s="104" t="s">
        <v>25</v>
      </c>
      <c r="P315" s="104" t="s">
        <v>106</v>
      </c>
      <c r="Q315" s="104">
        <v>46115.8125</v>
      </c>
      <c r="R315" s="104">
        <v>46115.8138888889</v>
      </c>
      <c r="S315" s="104">
        <v>46115.8354166667</v>
      </c>
      <c r="T315" s="104" t="s">
        <v>141</v>
      </c>
    </row>
    <row r="316" s="102" customFormat="1" ht="15" spans="1:20">
      <c r="A316" s="104" t="s">
        <v>22</v>
      </c>
      <c r="B316" s="104" t="s">
        <v>263</v>
      </c>
      <c r="C316" s="104" t="s">
        <v>570</v>
      </c>
      <c r="D316" s="104" t="s">
        <v>265</v>
      </c>
      <c r="E316" s="114"/>
      <c r="F316" s="114"/>
      <c r="G316" s="114"/>
      <c r="H316" s="104">
        <v>4030001</v>
      </c>
      <c r="I316" s="104">
        <v>2309</v>
      </c>
      <c r="J316" s="104">
        <v>1371</v>
      </c>
      <c r="K316" s="104">
        <v>203</v>
      </c>
      <c r="L316" s="104">
        <v>1168</v>
      </c>
      <c r="M316" s="104">
        <v>2990.389</v>
      </c>
      <c r="N316" s="104" t="s">
        <v>24</v>
      </c>
      <c r="O316" s="104" t="s">
        <v>25</v>
      </c>
      <c r="P316" s="104" t="s">
        <v>106</v>
      </c>
      <c r="Q316" s="104">
        <v>46115.8145833333</v>
      </c>
      <c r="R316" s="104">
        <v>46115.8166666667</v>
      </c>
      <c r="S316" s="104">
        <v>46115.8354166667</v>
      </c>
      <c r="T316" s="104" t="s">
        <v>571</v>
      </c>
    </row>
    <row r="317" s="102" customFormat="1" ht="15" spans="1:20">
      <c r="A317" s="104" t="s">
        <v>22</v>
      </c>
      <c r="B317" s="104" t="s">
        <v>314</v>
      </c>
      <c r="C317" s="104" t="s">
        <v>572</v>
      </c>
      <c r="D317" s="104" t="s">
        <v>293</v>
      </c>
      <c r="E317" s="114"/>
      <c r="F317" s="114"/>
      <c r="G317" s="114"/>
      <c r="H317" s="104">
        <v>4030001</v>
      </c>
      <c r="I317" s="104">
        <v>33</v>
      </c>
      <c r="J317" s="104">
        <v>13</v>
      </c>
      <c r="K317" s="104">
        <v>2</v>
      </c>
      <c r="L317" s="104">
        <v>11</v>
      </c>
      <c r="M317" s="104">
        <v>39.768</v>
      </c>
      <c r="N317" s="104" t="s">
        <v>24</v>
      </c>
      <c r="O317" s="104" t="s">
        <v>25</v>
      </c>
      <c r="P317" s="104" t="s">
        <v>106</v>
      </c>
      <c r="Q317" s="104">
        <v>46115.8145833333</v>
      </c>
      <c r="R317" s="104">
        <v>46115.8166666667</v>
      </c>
      <c r="S317" s="104">
        <v>46115.8361111111</v>
      </c>
      <c r="T317" s="104" t="s">
        <v>571</v>
      </c>
    </row>
    <row r="318" s="102" customFormat="1" ht="15" spans="1:20">
      <c r="A318" s="104" t="s">
        <v>22</v>
      </c>
      <c r="B318" s="104" t="s">
        <v>35</v>
      </c>
      <c r="C318" s="114"/>
      <c r="D318" s="114"/>
      <c r="E318" s="114"/>
      <c r="F318" s="114"/>
      <c r="G318" s="114"/>
      <c r="H318" s="104">
        <v>40301</v>
      </c>
      <c r="I318" s="104">
        <v>6</v>
      </c>
      <c r="J318" s="104">
        <v>4</v>
      </c>
      <c r="K318" s="104">
        <v>0</v>
      </c>
      <c r="L318" s="104">
        <v>4</v>
      </c>
      <c r="M318" s="104">
        <v>4.317</v>
      </c>
      <c r="N318" s="104" t="s">
        <v>24</v>
      </c>
      <c r="O318" s="104" t="s">
        <v>25</v>
      </c>
      <c r="P318" s="104" t="s">
        <v>106</v>
      </c>
      <c r="Q318" s="104">
        <v>46115.5076388889</v>
      </c>
      <c r="R318" s="104">
        <v>46115.5076388889</v>
      </c>
      <c r="S318" s="104">
        <v>46115.5194444444</v>
      </c>
      <c r="T318" s="104" t="s">
        <v>560</v>
      </c>
    </row>
    <row r="319" s="102" customFormat="1" ht="15" spans="1:20">
      <c r="A319" s="104" t="s">
        <v>22</v>
      </c>
      <c r="B319" s="104" t="s">
        <v>42</v>
      </c>
      <c r="C319" s="104" t="s">
        <v>573</v>
      </c>
      <c r="D319" s="104" t="s">
        <v>44</v>
      </c>
      <c r="E319" s="114"/>
      <c r="F319" s="114"/>
      <c r="G319" s="114"/>
      <c r="H319" s="104">
        <v>4030001</v>
      </c>
      <c r="I319" s="104">
        <v>369</v>
      </c>
      <c r="J319" s="104">
        <v>359</v>
      </c>
      <c r="K319" s="104">
        <v>42</v>
      </c>
      <c r="L319" s="104">
        <v>317</v>
      </c>
      <c r="M319" s="104">
        <v>375.332</v>
      </c>
      <c r="N319" s="104" t="s">
        <v>24</v>
      </c>
      <c r="O319" s="104" t="s">
        <v>25</v>
      </c>
      <c r="P319" s="104" t="s">
        <v>106</v>
      </c>
      <c r="Q319" s="104">
        <v>46115.4902777778</v>
      </c>
      <c r="R319" s="104">
        <v>46115.5083333333</v>
      </c>
      <c r="S319" s="104">
        <v>46115.5270833333</v>
      </c>
      <c r="T319" s="104" t="s">
        <v>571</v>
      </c>
    </row>
    <row r="320" s="102" customFormat="1" ht="15" spans="1:20">
      <c r="A320" s="104" t="s">
        <v>22</v>
      </c>
      <c r="B320" s="104" t="s">
        <v>63</v>
      </c>
      <c r="C320" s="104" t="s">
        <v>574</v>
      </c>
      <c r="D320" s="104" t="s">
        <v>65</v>
      </c>
      <c r="E320" s="114"/>
      <c r="F320" s="114"/>
      <c r="G320" s="114"/>
      <c r="H320" s="104">
        <v>4030001</v>
      </c>
      <c r="I320" s="104">
        <v>580</v>
      </c>
      <c r="J320" s="104">
        <v>577</v>
      </c>
      <c r="K320" s="104">
        <v>68</v>
      </c>
      <c r="L320" s="104">
        <v>509</v>
      </c>
      <c r="M320" s="104">
        <v>1042.789</v>
      </c>
      <c r="N320" s="104" t="s">
        <v>24</v>
      </c>
      <c r="O320" s="104" t="s">
        <v>25</v>
      </c>
      <c r="P320" s="104" t="s">
        <v>106</v>
      </c>
      <c r="Q320" s="104">
        <v>46115.4951388889</v>
      </c>
      <c r="R320" s="104">
        <v>46115.5083333333</v>
      </c>
      <c r="S320" s="104">
        <v>46115.5277777778</v>
      </c>
      <c r="T320" s="104" t="s">
        <v>571</v>
      </c>
    </row>
    <row r="321" s="102" customFormat="1" ht="15" spans="1:20">
      <c r="A321" s="104" t="s">
        <v>22</v>
      </c>
      <c r="B321" s="104" t="s">
        <v>57</v>
      </c>
      <c r="C321" s="104" t="s">
        <v>575</v>
      </c>
      <c r="D321" s="104" t="s">
        <v>214</v>
      </c>
      <c r="E321" s="114"/>
      <c r="F321" s="114"/>
      <c r="G321" s="114"/>
      <c r="H321" s="104">
        <v>4030001</v>
      </c>
      <c r="I321" s="104">
        <v>39</v>
      </c>
      <c r="J321" s="104">
        <v>37</v>
      </c>
      <c r="K321" s="104">
        <v>12</v>
      </c>
      <c r="L321" s="104">
        <v>25</v>
      </c>
      <c r="M321" s="104">
        <v>63.18</v>
      </c>
      <c r="N321" s="104" t="s">
        <v>24</v>
      </c>
      <c r="O321" s="104" t="s">
        <v>25</v>
      </c>
      <c r="P321" s="104" t="s">
        <v>106</v>
      </c>
      <c r="Q321" s="104">
        <v>46115.4888888889</v>
      </c>
      <c r="R321" s="104">
        <v>46115.5090277778</v>
      </c>
      <c r="S321" s="104">
        <v>46115.5277777778</v>
      </c>
      <c r="T321" s="104" t="s">
        <v>571</v>
      </c>
    </row>
    <row r="322" s="102" customFormat="1" ht="15" spans="1:20">
      <c r="A322" s="104" t="s">
        <v>22</v>
      </c>
      <c r="B322" s="104" t="s">
        <v>76</v>
      </c>
      <c r="C322" s="104" t="s">
        <v>576</v>
      </c>
      <c r="D322" s="104" t="s">
        <v>268</v>
      </c>
      <c r="E322" s="114"/>
      <c r="F322" s="104" t="s">
        <v>79</v>
      </c>
      <c r="G322" s="114"/>
      <c r="H322" s="104">
        <v>4030001</v>
      </c>
      <c r="I322" s="104">
        <v>1423</v>
      </c>
      <c r="J322" s="104">
        <v>1165</v>
      </c>
      <c r="K322" s="104">
        <v>9</v>
      </c>
      <c r="L322" s="104">
        <v>1156</v>
      </c>
      <c r="M322" s="104">
        <v>2646.001</v>
      </c>
      <c r="N322" s="104" t="s">
        <v>24</v>
      </c>
      <c r="O322" s="104" t="s">
        <v>25</v>
      </c>
      <c r="P322" s="104" t="s">
        <v>106</v>
      </c>
      <c r="Q322" s="104">
        <v>46115.5027777778</v>
      </c>
      <c r="R322" s="104">
        <v>46115.5090277778</v>
      </c>
      <c r="S322" s="104">
        <v>46115.5284722222</v>
      </c>
      <c r="T322" s="104" t="s">
        <v>571</v>
      </c>
    </row>
    <row r="323" s="102" customFormat="1" ht="15" spans="1:20">
      <c r="A323" s="104" t="s">
        <v>22</v>
      </c>
      <c r="B323" s="104" t="s">
        <v>188</v>
      </c>
      <c r="C323" s="104" t="s">
        <v>577</v>
      </c>
      <c r="D323" s="104" t="s">
        <v>190</v>
      </c>
      <c r="E323" s="114"/>
      <c r="F323" s="114"/>
      <c r="G323" s="114"/>
      <c r="H323" s="104">
        <v>4030001</v>
      </c>
      <c r="I323" s="104">
        <v>2567</v>
      </c>
      <c r="J323" s="104">
        <v>2537</v>
      </c>
      <c r="K323" s="104">
        <v>6</v>
      </c>
      <c r="L323" s="104">
        <v>2531</v>
      </c>
      <c r="M323" s="104">
        <v>4585.379</v>
      </c>
      <c r="N323" s="104" t="s">
        <v>24</v>
      </c>
      <c r="O323" s="104" t="s">
        <v>25</v>
      </c>
      <c r="P323" s="104" t="s">
        <v>106</v>
      </c>
      <c r="Q323" s="104">
        <v>46115.5145833333</v>
      </c>
      <c r="R323" s="104">
        <v>46115.5166666667</v>
      </c>
      <c r="S323" s="104">
        <v>46115.5284722222</v>
      </c>
      <c r="T323" s="104" t="s">
        <v>560</v>
      </c>
    </row>
    <row r="324" s="102" customFormat="1" ht="15" spans="1:20">
      <c r="A324" s="104" t="s">
        <v>22</v>
      </c>
      <c r="B324" s="104" t="s">
        <v>184</v>
      </c>
      <c r="C324" s="104" t="s">
        <v>578</v>
      </c>
      <c r="D324" s="104" t="s">
        <v>186</v>
      </c>
      <c r="E324" s="114"/>
      <c r="F324" s="114"/>
      <c r="G324" s="114"/>
      <c r="H324" s="104">
        <v>4030001</v>
      </c>
      <c r="I324" s="104">
        <v>1636</v>
      </c>
      <c r="J324" s="104">
        <v>1560</v>
      </c>
      <c r="K324" s="104">
        <v>15</v>
      </c>
      <c r="L324" s="104">
        <v>1545</v>
      </c>
      <c r="M324" s="104">
        <v>1151.681</v>
      </c>
      <c r="N324" s="104" t="s">
        <v>24</v>
      </c>
      <c r="O324" s="104" t="s">
        <v>25</v>
      </c>
      <c r="P324" s="104" t="s">
        <v>106</v>
      </c>
      <c r="Q324" s="104">
        <v>46115.5159722222</v>
      </c>
      <c r="R324" s="104">
        <v>46115.5173611111</v>
      </c>
      <c r="S324" s="104">
        <v>46115.5291666667</v>
      </c>
      <c r="T324" s="104" t="s">
        <v>560</v>
      </c>
    </row>
    <row r="325" s="102" customFormat="1" ht="15" spans="1:20">
      <c r="A325" s="104" t="s">
        <v>22</v>
      </c>
      <c r="B325" s="104" t="s">
        <v>180</v>
      </c>
      <c r="C325" s="104" t="s">
        <v>579</v>
      </c>
      <c r="D325" s="104" t="s">
        <v>182</v>
      </c>
      <c r="E325" s="114"/>
      <c r="F325" s="114"/>
      <c r="G325" s="114"/>
      <c r="H325" s="104">
        <v>4030001</v>
      </c>
      <c r="I325" s="104">
        <v>1138</v>
      </c>
      <c r="J325" s="104">
        <v>740</v>
      </c>
      <c r="K325" s="104">
        <v>281</v>
      </c>
      <c r="L325" s="104">
        <v>459</v>
      </c>
      <c r="M325" s="104">
        <v>1285.601</v>
      </c>
      <c r="N325" s="104" t="s">
        <v>24</v>
      </c>
      <c r="O325" s="104" t="s">
        <v>25</v>
      </c>
      <c r="P325" s="104" t="s">
        <v>106</v>
      </c>
      <c r="Q325" s="104">
        <v>46115.5194444444</v>
      </c>
      <c r="R325" s="104">
        <v>46115.5194444444</v>
      </c>
      <c r="S325" s="104">
        <v>46115.5291666667</v>
      </c>
      <c r="T325" s="104" t="s">
        <v>135</v>
      </c>
    </row>
    <row r="326" s="102" customFormat="1" ht="15" spans="1:20">
      <c r="A326" s="104" t="s">
        <v>22</v>
      </c>
      <c r="B326" s="104" t="s">
        <v>31</v>
      </c>
      <c r="C326" s="114"/>
      <c r="D326" s="114"/>
      <c r="E326" s="114"/>
      <c r="F326" s="114"/>
      <c r="G326" s="114"/>
      <c r="H326" s="104">
        <v>4033357</v>
      </c>
      <c r="I326" s="104">
        <v>99</v>
      </c>
      <c r="J326" s="104">
        <v>8</v>
      </c>
      <c r="K326" s="104">
        <v>2</v>
      </c>
      <c r="L326" s="104">
        <v>6</v>
      </c>
      <c r="M326" s="104">
        <v>8.509</v>
      </c>
      <c r="N326" s="104" t="s">
        <v>24</v>
      </c>
      <c r="O326" s="104" t="s">
        <v>25</v>
      </c>
      <c r="P326" s="104" t="s">
        <v>106</v>
      </c>
      <c r="Q326" s="104">
        <v>46115.5201388889</v>
      </c>
      <c r="R326" s="104">
        <v>46115.5201388889</v>
      </c>
      <c r="S326" s="104">
        <v>46115.5291666667</v>
      </c>
      <c r="T326" s="104" t="s">
        <v>135</v>
      </c>
    </row>
    <row r="327" s="102" customFormat="1" ht="15" spans="1:20">
      <c r="A327" s="104" t="s">
        <v>22</v>
      </c>
      <c r="B327" s="104" t="s">
        <v>197</v>
      </c>
      <c r="C327" s="104" t="s">
        <v>580</v>
      </c>
      <c r="D327" s="104" t="s">
        <v>199</v>
      </c>
      <c r="E327" s="114"/>
      <c r="F327" s="114"/>
      <c r="G327" s="114"/>
      <c r="H327" s="104">
        <v>4030001</v>
      </c>
      <c r="I327" s="104">
        <v>6806</v>
      </c>
      <c r="J327" s="104">
        <v>6529</v>
      </c>
      <c r="K327" s="104">
        <v>32</v>
      </c>
      <c r="L327" s="104">
        <v>6497</v>
      </c>
      <c r="M327" s="104">
        <v>7115.637</v>
      </c>
      <c r="N327" s="104" t="s">
        <v>24</v>
      </c>
      <c r="O327" s="104" t="s">
        <v>25</v>
      </c>
      <c r="P327" s="104" t="s">
        <v>106</v>
      </c>
      <c r="Q327" s="104">
        <v>46115.5381944444</v>
      </c>
      <c r="R327" s="104">
        <v>46115.5423611111</v>
      </c>
      <c r="S327" s="104">
        <v>46115.55625</v>
      </c>
      <c r="T327" s="104" t="s">
        <v>533</v>
      </c>
    </row>
    <row r="328" s="102" customFormat="1" ht="15" spans="1:20">
      <c r="A328" s="104" t="s">
        <v>22</v>
      </c>
      <c r="B328" s="104" t="s">
        <v>23</v>
      </c>
      <c r="C328" s="104" t="s">
        <v>581</v>
      </c>
      <c r="D328" s="104" t="s">
        <v>193</v>
      </c>
      <c r="E328" s="114"/>
      <c r="F328" s="114"/>
      <c r="G328" s="114"/>
      <c r="H328" s="104">
        <v>4030001</v>
      </c>
      <c r="I328" s="104">
        <v>1083</v>
      </c>
      <c r="J328" s="104">
        <v>1083</v>
      </c>
      <c r="K328" s="104">
        <v>1</v>
      </c>
      <c r="L328" s="104">
        <v>1082</v>
      </c>
      <c r="M328" s="104">
        <v>1483.49</v>
      </c>
      <c r="N328" s="104" t="s">
        <v>24</v>
      </c>
      <c r="O328" s="104" t="s">
        <v>25</v>
      </c>
      <c r="P328" s="104" t="s">
        <v>106</v>
      </c>
      <c r="Q328" s="104">
        <v>46115.5430555556</v>
      </c>
      <c r="R328" s="104">
        <v>46115.5430555556</v>
      </c>
      <c r="S328" s="104">
        <v>46115.55625</v>
      </c>
      <c r="T328" s="104" t="s">
        <v>533</v>
      </c>
    </row>
    <row r="329" s="102" customFormat="1" ht="15" spans="1:20">
      <c r="A329" s="104" t="s">
        <v>22</v>
      </c>
      <c r="B329" s="104" t="s">
        <v>91</v>
      </c>
      <c r="C329" s="104" t="s">
        <v>582</v>
      </c>
      <c r="D329" s="104" t="s">
        <v>93</v>
      </c>
      <c r="E329" s="114"/>
      <c r="F329" s="114"/>
      <c r="G329" s="104">
        <v>12345678900000</v>
      </c>
      <c r="H329" s="104">
        <v>4030003</v>
      </c>
      <c r="I329" s="104">
        <v>1592</v>
      </c>
      <c r="J329" s="104">
        <v>1592</v>
      </c>
      <c r="K329" s="104">
        <v>2</v>
      </c>
      <c r="L329" s="104">
        <v>1590</v>
      </c>
      <c r="M329" s="104">
        <v>3050.919</v>
      </c>
      <c r="N329" s="104" t="s">
        <v>24</v>
      </c>
      <c r="O329" s="104" t="s">
        <v>25</v>
      </c>
      <c r="P329" s="104" t="s">
        <v>106</v>
      </c>
      <c r="Q329" s="104">
        <v>46115.5118055556</v>
      </c>
      <c r="R329" s="104">
        <v>46115.5430555556</v>
      </c>
      <c r="S329" s="104">
        <v>46115.55625</v>
      </c>
      <c r="T329" s="104" t="s">
        <v>393</v>
      </c>
    </row>
    <row r="330" s="102" customFormat="1" ht="15" spans="1:20">
      <c r="A330" s="104" t="s">
        <v>22</v>
      </c>
      <c r="B330" s="104" t="s">
        <v>83</v>
      </c>
      <c r="C330" s="114"/>
      <c r="D330" s="114"/>
      <c r="E330" s="114"/>
      <c r="F330" s="114"/>
      <c r="G330" s="114"/>
      <c r="H330" s="104">
        <v>4033731</v>
      </c>
      <c r="I330" s="104">
        <v>4</v>
      </c>
      <c r="J330" s="104">
        <v>1</v>
      </c>
      <c r="K330" s="104">
        <v>1</v>
      </c>
      <c r="L330" s="104">
        <v>0</v>
      </c>
      <c r="M330" s="104">
        <v>1.14</v>
      </c>
      <c r="N330" s="104" t="s">
        <v>24</v>
      </c>
      <c r="O330" s="104" t="s">
        <v>25</v>
      </c>
      <c r="P330" s="104" t="s">
        <v>106</v>
      </c>
      <c r="Q330" s="104">
        <v>46115.5493055556</v>
      </c>
      <c r="R330" s="104">
        <v>46115.5493055556</v>
      </c>
      <c r="S330" s="104">
        <v>46115.55625</v>
      </c>
      <c r="T330" s="104" t="s">
        <v>136</v>
      </c>
    </row>
    <row r="331" s="102" customFormat="1" ht="15" spans="1:20">
      <c r="A331" s="104" t="s">
        <v>22</v>
      </c>
      <c r="B331" s="104" t="s">
        <v>201</v>
      </c>
      <c r="C331" s="104" t="s">
        <v>583</v>
      </c>
      <c r="D331" s="104" t="s">
        <v>203</v>
      </c>
      <c r="E331" s="104" t="s">
        <v>204</v>
      </c>
      <c r="F331" s="104" t="s">
        <v>205</v>
      </c>
      <c r="G331" s="114"/>
      <c r="H331" s="104">
        <v>4030001</v>
      </c>
      <c r="I331" s="104">
        <v>14972</v>
      </c>
      <c r="J331" s="104">
        <v>2816</v>
      </c>
      <c r="K331" s="104">
        <v>4</v>
      </c>
      <c r="L331" s="104">
        <v>2812</v>
      </c>
      <c r="M331" s="104">
        <v>10393.221</v>
      </c>
      <c r="N331" s="104" t="s">
        <v>24</v>
      </c>
      <c r="O331" s="104" t="s">
        <v>70</v>
      </c>
      <c r="P331" s="104" t="s">
        <v>106</v>
      </c>
      <c r="Q331" s="104">
        <v>46115.5131944444</v>
      </c>
      <c r="R331" s="104">
        <v>46115.6</v>
      </c>
      <c r="S331" s="104">
        <v>46115.6451388889</v>
      </c>
      <c r="T331" s="104" t="s">
        <v>584</v>
      </c>
    </row>
    <row r="332" s="102" customFormat="1" ht="15" spans="1:20">
      <c r="A332" s="104" t="s">
        <v>22</v>
      </c>
      <c r="B332" s="104" t="s">
        <v>207</v>
      </c>
      <c r="C332" s="104" t="s">
        <v>585</v>
      </c>
      <c r="D332" s="104" t="s">
        <v>144</v>
      </c>
      <c r="E332" s="104" t="s">
        <v>145</v>
      </c>
      <c r="F332" s="104" t="s">
        <v>146</v>
      </c>
      <c r="G332" s="114"/>
      <c r="H332" s="104">
        <v>4030001</v>
      </c>
      <c r="I332" s="104">
        <v>15905</v>
      </c>
      <c r="J332" s="104">
        <v>2809</v>
      </c>
      <c r="K332" s="104">
        <v>1</v>
      </c>
      <c r="L332" s="104">
        <v>2808</v>
      </c>
      <c r="M332" s="104">
        <v>10474.051</v>
      </c>
      <c r="N332" s="104" t="s">
        <v>24</v>
      </c>
      <c r="O332" s="104" t="s">
        <v>70</v>
      </c>
      <c r="P332" s="104" t="s">
        <v>106</v>
      </c>
      <c r="Q332" s="104">
        <v>46115.5736111111</v>
      </c>
      <c r="R332" s="104">
        <v>46115.6</v>
      </c>
      <c r="S332" s="104">
        <v>46115.6458333333</v>
      </c>
      <c r="T332" s="104" t="s">
        <v>586</v>
      </c>
    </row>
    <row r="333" s="102" customFormat="1" ht="15" spans="1:20">
      <c r="A333" s="104" t="s">
        <v>22</v>
      </c>
      <c r="B333" s="104" t="s">
        <v>587</v>
      </c>
      <c r="C333" s="104" t="s">
        <v>587</v>
      </c>
      <c r="D333" s="104" t="s">
        <v>29</v>
      </c>
      <c r="E333" s="114"/>
      <c r="F333" s="114"/>
      <c r="G333" s="114"/>
      <c r="H333" s="104" t="s">
        <v>587</v>
      </c>
      <c r="I333" s="104">
        <v>9714</v>
      </c>
      <c r="J333" s="104">
        <v>9714</v>
      </c>
      <c r="K333" s="104">
        <v>0</v>
      </c>
      <c r="L333" s="104">
        <v>3074</v>
      </c>
      <c r="M333" s="104">
        <v>17904.405</v>
      </c>
      <c r="N333" s="104" t="s">
        <v>24</v>
      </c>
      <c r="O333" s="104" t="s">
        <v>25</v>
      </c>
      <c r="P333" s="104" t="s">
        <v>588</v>
      </c>
      <c r="Q333" s="114"/>
      <c r="R333" s="104">
        <v>46115.7048611111</v>
      </c>
      <c r="S333" s="114"/>
      <c r="T333" s="114"/>
    </row>
    <row r="334" s="102" customFormat="1" ht="15" spans="1:20">
      <c r="A334" s="104" t="s">
        <v>22</v>
      </c>
      <c r="B334" s="104" t="s">
        <v>91</v>
      </c>
      <c r="C334" s="104" t="s">
        <v>589</v>
      </c>
      <c r="D334" s="104" t="s">
        <v>93</v>
      </c>
      <c r="E334" s="114"/>
      <c r="F334" s="114"/>
      <c r="G334" s="104">
        <v>12345678911111</v>
      </c>
      <c r="H334" s="104">
        <v>4030002</v>
      </c>
      <c r="I334" s="104">
        <v>824</v>
      </c>
      <c r="J334" s="104">
        <v>824</v>
      </c>
      <c r="K334" s="104">
        <v>129</v>
      </c>
      <c r="L334" s="104">
        <v>695</v>
      </c>
      <c r="M334" s="104">
        <v>1945.497</v>
      </c>
      <c r="N334" s="104" t="s">
        <v>24</v>
      </c>
      <c r="O334" s="104" t="s">
        <v>25</v>
      </c>
      <c r="P334" s="104" t="s">
        <v>106</v>
      </c>
      <c r="Q334" s="104">
        <v>46115.6979166667</v>
      </c>
      <c r="R334" s="104">
        <v>46115.7097222222</v>
      </c>
      <c r="S334" s="104">
        <v>46115.71875</v>
      </c>
      <c r="T334" s="104" t="s">
        <v>135</v>
      </c>
    </row>
    <row r="335" s="102" customFormat="1" ht="15" spans="1:20">
      <c r="A335" s="104" t="s">
        <v>22</v>
      </c>
      <c r="B335" s="104" t="s">
        <v>175</v>
      </c>
      <c r="C335" s="104" t="s">
        <v>590</v>
      </c>
      <c r="D335" s="104" t="s">
        <v>177</v>
      </c>
      <c r="E335" s="114"/>
      <c r="F335" s="114"/>
      <c r="G335" s="104">
        <v>11111111111111</v>
      </c>
      <c r="H335" s="104">
        <v>4030002</v>
      </c>
      <c r="I335" s="104">
        <v>2161</v>
      </c>
      <c r="J335" s="104">
        <v>2161</v>
      </c>
      <c r="K335" s="104">
        <v>1</v>
      </c>
      <c r="L335" s="104">
        <v>2160</v>
      </c>
      <c r="M335" s="104">
        <v>4517.06</v>
      </c>
      <c r="N335" s="104" t="s">
        <v>24</v>
      </c>
      <c r="O335" s="104" t="s">
        <v>25</v>
      </c>
      <c r="P335" s="104" t="s">
        <v>106</v>
      </c>
      <c r="Q335" s="104">
        <v>46115.7131944444</v>
      </c>
      <c r="R335" s="104">
        <v>46115.7138888889</v>
      </c>
      <c r="S335" s="104">
        <v>46115.7409722222</v>
      </c>
      <c r="T335" s="104" t="s">
        <v>391</v>
      </c>
    </row>
    <row r="336" s="102" customFormat="1" ht="15" spans="1:20">
      <c r="A336" s="104" t="s">
        <v>22</v>
      </c>
      <c r="B336" s="104" t="s">
        <v>90</v>
      </c>
      <c r="C336" s="114"/>
      <c r="D336" s="114"/>
      <c r="E336" s="114"/>
      <c r="F336" s="114"/>
      <c r="G336" s="114"/>
      <c r="H336" s="104">
        <v>40301</v>
      </c>
      <c r="I336" s="104">
        <v>2</v>
      </c>
      <c r="J336" s="104">
        <v>2</v>
      </c>
      <c r="K336" s="104">
        <v>0</v>
      </c>
      <c r="L336" s="104">
        <v>2</v>
      </c>
      <c r="M336" s="104">
        <v>0.102</v>
      </c>
      <c r="N336" s="104" t="s">
        <v>24</v>
      </c>
      <c r="O336" s="104" t="s">
        <v>25</v>
      </c>
      <c r="P336" s="104" t="s">
        <v>106</v>
      </c>
      <c r="Q336" s="104">
        <v>46115.7541666667</v>
      </c>
      <c r="R336" s="104">
        <v>46115.7541666667</v>
      </c>
      <c r="S336" s="104">
        <v>46115.7777777778</v>
      </c>
      <c r="T336" s="104" t="s">
        <v>425</v>
      </c>
    </row>
    <row r="337" s="102" customFormat="1" ht="15" spans="1:20">
      <c r="A337" s="104" t="s">
        <v>22</v>
      </c>
      <c r="B337" s="104" t="s">
        <v>81</v>
      </c>
      <c r="C337" s="114"/>
      <c r="D337" s="114"/>
      <c r="E337" s="114"/>
      <c r="F337" s="114"/>
      <c r="G337" s="114"/>
      <c r="H337" s="104">
        <v>4033795</v>
      </c>
      <c r="I337" s="104">
        <v>157</v>
      </c>
      <c r="J337" s="104">
        <v>16</v>
      </c>
      <c r="K337" s="104">
        <v>6</v>
      </c>
      <c r="L337" s="104">
        <v>10</v>
      </c>
      <c r="M337" s="104">
        <v>66.796</v>
      </c>
      <c r="N337" s="104" t="s">
        <v>24</v>
      </c>
      <c r="O337" s="104" t="s">
        <v>25</v>
      </c>
      <c r="P337" s="104" t="s">
        <v>106</v>
      </c>
      <c r="Q337" s="104">
        <v>46115.7548611111</v>
      </c>
      <c r="R337" s="104">
        <v>46115.7548611111</v>
      </c>
      <c r="S337" s="104">
        <v>46115.7798611111</v>
      </c>
      <c r="T337" s="104" t="s">
        <v>116</v>
      </c>
    </row>
    <row r="338" s="102" customFormat="1" ht="15" spans="1:20">
      <c r="A338" s="104" t="s">
        <v>22</v>
      </c>
      <c r="B338" s="104" t="s">
        <v>39</v>
      </c>
      <c r="C338" s="104" t="s">
        <v>591</v>
      </c>
      <c r="D338" s="104" t="s">
        <v>41</v>
      </c>
      <c r="E338" s="114"/>
      <c r="F338" s="114"/>
      <c r="G338" s="114"/>
      <c r="H338" s="104">
        <v>4040001</v>
      </c>
      <c r="I338" s="104">
        <v>264</v>
      </c>
      <c r="J338" s="104">
        <v>9</v>
      </c>
      <c r="K338" s="104">
        <v>2</v>
      </c>
      <c r="L338" s="104">
        <v>7</v>
      </c>
      <c r="M338" s="104">
        <v>122.455</v>
      </c>
      <c r="N338" s="104" t="s">
        <v>24</v>
      </c>
      <c r="O338" s="104" t="s">
        <v>25</v>
      </c>
      <c r="P338" s="104" t="s">
        <v>26</v>
      </c>
      <c r="Q338" s="104">
        <v>46116.4756944444</v>
      </c>
      <c r="R338" s="104">
        <v>46116.4777777778</v>
      </c>
      <c r="S338" s="104">
        <v>46116.54375</v>
      </c>
      <c r="T338" s="104" t="s">
        <v>411</v>
      </c>
    </row>
    <row r="339" s="102" customFormat="1" ht="15" spans="1:20">
      <c r="A339" s="104" t="s">
        <v>22</v>
      </c>
      <c r="B339" s="104" t="s">
        <v>23</v>
      </c>
      <c r="C339" s="114"/>
      <c r="D339" s="114"/>
      <c r="E339" s="114"/>
      <c r="F339" s="114"/>
      <c r="G339" s="114"/>
      <c r="H339" s="104">
        <v>4047322</v>
      </c>
      <c r="I339" s="104">
        <v>51</v>
      </c>
      <c r="J339" s="104">
        <v>1</v>
      </c>
      <c r="K339" s="104">
        <v>0</v>
      </c>
      <c r="L339" s="104">
        <v>1</v>
      </c>
      <c r="M339" s="104">
        <v>2.55</v>
      </c>
      <c r="N339" s="104" t="s">
        <v>24</v>
      </c>
      <c r="O339" s="104" t="s">
        <v>25</v>
      </c>
      <c r="P339" s="104" t="s">
        <v>26</v>
      </c>
      <c r="Q339" s="104">
        <v>46116.4840277778</v>
      </c>
      <c r="R339" s="104">
        <v>46116.4840277778</v>
      </c>
      <c r="S339" s="104">
        <v>46116.5430555556</v>
      </c>
      <c r="T339" s="104" t="s">
        <v>592</v>
      </c>
    </row>
    <row r="340" s="102" customFormat="1" ht="15" spans="1:20">
      <c r="A340" s="104" t="s">
        <v>22</v>
      </c>
      <c r="B340" s="104" t="s">
        <v>31</v>
      </c>
      <c r="C340" s="114"/>
      <c r="D340" s="114"/>
      <c r="E340" s="114"/>
      <c r="F340" s="114"/>
      <c r="G340" s="114"/>
      <c r="H340" s="104">
        <v>4043358</v>
      </c>
      <c r="I340" s="104">
        <v>91</v>
      </c>
      <c r="J340" s="104">
        <v>8</v>
      </c>
      <c r="K340" s="104">
        <v>2</v>
      </c>
      <c r="L340" s="104">
        <v>6</v>
      </c>
      <c r="M340" s="104">
        <v>11.231</v>
      </c>
      <c r="N340" s="104" t="s">
        <v>24</v>
      </c>
      <c r="O340" s="104" t="s">
        <v>25</v>
      </c>
      <c r="P340" s="104" t="s">
        <v>26</v>
      </c>
      <c r="Q340" s="104">
        <v>46116.4840277778</v>
      </c>
      <c r="R340" s="104">
        <v>46116.4840277778</v>
      </c>
      <c r="S340" s="104">
        <v>46116.5423611111</v>
      </c>
      <c r="T340" s="104" t="s">
        <v>592</v>
      </c>
    </row>
    <row r="341" s="102" customFormat="1" ht="15" spans="1:20">
      <c r="A341" s="104" t="s">
        <v>22</v>
      </c>
      <c r="B341" s="104" t="s">
        <v>31</v>
      </c>
      <c r="C341" s="114"/>
      <c r="D341" s="114"/>
      <c r="E341" s="114"/>
      <c r="F341" s="114"/>
      <c r="G341" s="114"/>
      <c r="H341" s="104">
        <v>4043359</v>
      </c>
      <c r="I341" s="104">
        <v>10</v>
      </c>
      <c r="J341" s="104">
        <v>3</v>
      </c>
      <c r="K341" s="104">
        <v>3</v>
      </c>
      <c r="L341" s="104">
        <v>0</v>
      </c>
      <c r="M341" s="104">
        <v>0.15</v>
      </c>
      <c r="N341" s="104" t="s">
        <v>24</v>
      </c>
      <c r="O341" s="104" t="s">
        <v>25</v>
      </c>
      <c r="P341" s="104" t="s">
        <v>26</v>
      </c>
      <c r="Q341" s="104">
        <v>46116.4840277778</v>
      </c>
      <c r="R341" s="104">
        <v>46116.4840277778</v>
      </c>
      <c r="S341" s="104">
        <v>46116.5423611111</v>
      </c>
      <c r="T341" s="104" t="s">
        <v>592</v>
      </c>
    </row>
    <row r="342" s="102" customFormat="1" ht="15" spans="1:20">
      <c r="A342" s="104" t="s">
        <v>22</v>
      </c>
      <c r="B342" s="104" t="s">
        <v>47</v>
      </c>
      <c r="C342" s="114"/>
      <c r="D342" s="114"/>
      <c r="E342" s="114"/>
      <c r="F342" s="114"/>
      <c r="G342" s="114"/>
      <c r="H342" s="104">
        <v>40401</v>
      </c>
      <c r="I342" s="104">
        <v>9</v>
      </c>
      <c r="J342" s="104">
        <v>2</v>
      </c>
      <c r="K342" s="104">
        <v>0</v>
      </c>
      <c r="L342" s="104">
        <v>2</v>
      </c>
      <c r="M342" s="104">
        <v>0.188</v>
      </c>
      <c r="N342" s="104" t="s">
        <v>24</v>
      </c>
      <c r="O342" s="104" t="s">
        <v>25</v>
      </c>
      <c r="P342" s="104" t="s">
        <v>26</v>
      </c>
      <c r="Q342" s="104">
        <v>46116.4840277778</v>
      </c>
      <c r="R342" s="104">
        <v>46116.4840277778</v>
      </c>
      <c r="S342" s="104">
        <v>46116.5423611111</v>
      </c>
      <c r="T342" s="104" t="s">
        <v>416</v>
      </c>
    </row>
    <row r="343" s="102" customFormat="1" ht="15" spans="1:20">
      <c r="A343" s="104" t="s">
        <v>22</v>
      </c>
      <c r="B343" s="104" t="s">
        <v>33</v>
      </c>
      <c r="C343" s="114"/>
      <c r="D343" s="114"/>
      <c r="E343" s="114"/>
      <c r="F343" s="114"/>
      <c r="G343" s="114"/>
      <c r="H343" s="104">
        <v>40401</v>
      </c>
      <c r="I343" s="104">
        <v>40</v>
      </c>
      <c r="J343" s="104">
        <v>7</v>
      </c>
      <c r="K343" s="104">
        <v>0</v>
      </c>
      <c r="L343" s="104">
        <v>7</v>
      </c>
      <c r="M343" s="104">
        <v>10.924</v>
      </c>
      <c r="N343" s="104" t="s">
        <v>24</v>
      </c>
      <c r="O343" s="104" t="s">
        <v>25</v>
      </c>
      <c r="P343" s="104" t="s">
        <v>26</v>
      </c>
      <c r="Q343" s="104">
        <v>46116.4840277778</v>
      </c>
      <c r="R343" s="104">
        <v>46116.4840277778</v>
      </c>
      <c r="S343" s="104">
        <v>46116.5430555556</v>
      </c>
      <c r="T343" s="104" t="s">
        <v>403</v>
      </c>
    </row>
    <row r="344" s="102" customFormat="1" ht="15" spans="1:20">
      <c r="A344" s="104" t="s">
        <v>22</v>
      </c>
      <c r="B344" s="104" t="s">
        <v>35</v>
      </c>
      <c r="C344" s="114"/>
      <c r="D344" s="114"/>
      <c r="E344" s="114"/>
      <c r="F344" s="114"/>
      <c r="G344" s="114"/>
      <c r="H344" s="104">
        <v>40401</v>
      </c>
      <c r="I344" s="104">
        <v>1</v>
      </c>
      <c r="J344" s="104">
        <v>1</v>
      </c>
      <c r="K344" s="104">
        <v>0</v>
      </c>
      <c r="L344" s="104">
        <v>1</v>
      </c>
      <c r="M344" s="104">
        <v>0.011</v>
      </c>
      <c r="N344" s="104" t="s">
        <v>24</v>
      </c>
      <c r="O344" s="104" t="s">
        <v>25</v>
      </c>
      <c r="P344" s="104" t="s">
        <v>26</v>
      </c>
      <c r="Q344" s="104">
        <v>46116.4861111111</v>
      </c>
      <c r="R344" s="104">
        <v>46116.4861111111</v>
      </c>
      <c r="S344" s="104">
        <v>46116.5430555556</v>
      </c>
      <c r="T344" s="104" t="s">
        <v>351</v>
      </c>
    </row>
    <row r="345" s="102" customFormat="1" ht="15" spans="1:20">
      <c r="A345" s="104" t="s">
        <v>22</v>
      </c>
      <c r="B345" s="104" t="s">
        <v>47</v>
      </c>
      <c r="C345" s="114"/>
      <c r="D345" s="114"/>
      <c r="E345" s="114"/>
      <c r="F345" s="114"/>
      <c r="G345" s="114"/>
      <c r="H345" s="104">
        <v>40401</v>
      </c>
      <c r="I345" s="104">
        <v>31</v>
      </c>
      <c r="J345" s="104">
        <v>2</v>
      </c>
      <c r="K345" s="104">
        <v>0</v>
      </c>
      <c r="L345" s="104">
        <v>2</v>
      </c>
      <c r="M345" s="104">
        <v>3.14</v>
      </c>
      <c r="N345" s="104" t="s">
        <v>24</v>
      </c>
      <c r="O345" s="104" t="s">
        <v>25</v>
      </c>
      <c r="P345" s="104" t="s">
        <v>26</v>
      </c>
      <c r="Q345" s="104">
        <v>46116.4840277778</v>
      </c>
      <c r="R345" s="104">
        <v>46116.4868055556</v>
      </c>
      <c r="S345" s="104">
        <v>46116.5423611111</v>
      </c>
      <c r="T345" s="104" t="s">
        <v>416</v>
      </c>
    </row>
    <row r="346" s="102" customFormat="1" ht="15" spans="1:20">
      <c r="A346" s="104" t="s">
        <v>22</v>
      </c>
      <c r="B346" s="104" t="s">
        <v>127</v>
      </c>
      <c r="C346" s="114"/>
      <c r="D346" s="104" t="s">
        <v>29</v>
      </c>
      <c r="E346" s="114"/>
      <c r="F346" s="114"/>
      <c r="G346" s="114"/>
      <c r="H346" s="104">
        <v>4041855</v>
      </c>
      <c r="I346" s="104">
        <v>73</v>
      </c>
      <c r="J346" s="104">
        <v>7</v>
      </c>
      <c r="K346" s="104">
        <v>1</v>
      </c>
      <c r="L346" s="104">
        <v>6</v>
      </c>
      <c r="M346" s="104">
        <v>5.019</v>
      </c>
      <c r="N346" s="104" t="s">
        <v>24</v>
      </c>
      <c r="O346" s="104" t="s">
        <v>25</v>
      </c>
      <c r="P346" s="104" t="s">
        <v>26</v>
      </c>
      <c r="Q346" s="104">
        <v>46116.4868055556</v>
      </c>
      <c r="R346" s="104">
        <v>46116.4868055556</v>
      </c>
      <c r="S346" s="104">
        <v>46116.5451388889</v>
      </c>
      <c r="T346" s="104" t="s">
        <v>592</v>
      </c>
    </row>
    <row r="347" s="102" customFormat="1" ht="15" spans="1:20">
      <c r="A347" s="104" t="s">
        <v>22</v>
      </c>
      <c r="B347" s="104" t="s">
        <v>36</v>
      </c>
      <c r="C347" s="104" t="s">
        <v>593</v>
      </c>
      <c r="D347" s="104" t="s">
        <v>38</v>
      </c>
      <c r="E347" s="114"/>
      <c r="F347" s="114"/>
      <c r="G347" s="114"/>
      <c r="H347" s="104">
        <v>4040001</v>
      </c>
      <c r="I347" s="104">
        <v>2224</v>
      </c>
      <c r="J347" s="104">
        <v>2224</v>
      </c>
      <c r="K347" s="104">
        <v>7</v>
      </c>
      <c r="L347" s="104">
        <v>2217</v>
      </c>
      <c r="M347" s="104">
        <v>1268.468</v>
      </c>
      <c r="N347" s="104" t="s">
        <v>24</v>
      </c>
      <c r="O347" s="104" t="s">
        <v>25</v>
      </c>
      <c r="P347" s="104" t="s">
        <v>26</v>
      </c>
      <c r="Q347" s="104">
        <v>46116.48125</v>
      </c>
      <c r="R347" s="104">
        <v>46116.4875</v>
      </c>
      <c r="S347" s="104">
        <v>46116.54375</v>
      </c>
      <c r="T347" s="104" t="s">
        <v>351</v>
      </c>
    </row>
    <row r="348" s="102" customFormat="1" ht="15" spans="1:20">
      <c r="A348" s="104" t="s">
        <v>22</v>
      </c>
      <c r="B348" s="104" t="s">
        <v>42</v>
      </c>
      <c r="C348" s="104" t="s">
        <v>594</v>
      </c>
      <c r="D348" s="104" t="s">
        <v>44</v>
      </c>
      <c r="E348" s="114"/>
      <c r="F348" s="114"/>
      <c r="G348" s="114"/>
      <c r="H348" s="104">
        <v>4040001</v>
      </c>
      <c r="I348" s="104">
        <v>471</v>
      </c>
      <c r="J348" s="104">
        <v>303</v>
      </c>
      <c r="K348" s="104">
        <v>8</v>
      </c>
      <c r="L348" s="104">
        <v>295</v>
      </c>
      <c r="M348" s="104">
        <v>218.76</v>
      </c>
      <c r="N348" s="104" t="s">
        <v>24</v>
      </c>
      <c r="O348" s="104" t="s">
        <v>25</v>
      </c>
      <c r="P348" s="104" t="s">
        <v>26</v>
      </c>
      <c r="Q348" s="104">
        <v>46116.4826388889</v>
      </c>
      <c r="R348" s="104">
        <v>46116.4875</v>
      </c>
      <c r="S348" s="104">
        <v>46116.5444444444</v>
      </c>
      <c r="T348" s="104" t="s">
        <v>281</v>
      </c>
    </row>
    <row r="349" s="102" customFormat="1" ht="15" spans="1:20">
      <c r="A349" s="104" t="s">
        <v>22</v>
      </c>
      <c r="B349" s="104" t="s">
        <v>49</v>
      </c>
      <c r="C349" s="104" t="s">
        <v>595</v>
      </c>
      <c r="D349" s="104" t="s">
        <v>51</v>
      </c>
      <c r="E349" s="114"/>
      <c r="F349" s="114"/>
      <c r="G349" s="114"/>
      <c r="H349" s="104">
        <v>4040001</v>
      </c>
      <c r="I349" s="104">
        <v>73</v>
      </c>
      <c r="J349" s="104">
        <v>71</v>
      </c>
      <c r="K349" s="104">
        <v>4</v>
      </c>
      <c r="L349" s="104">
        <v>67</v>
      </c>
      <c r="M349" s="104">
        <v>241.9</v>
      </c>
      <c r="N349" s="104" t="s">
        <v>24</v>
      </c>
      <c r="O349" s="104" t="s">
        <v>25</v>
      </c>
      <c r="P349" s="104" t="s">
        <v>26</v>
      </c>
      <c r="Q349" s="104">
        <v>46116.4861111111</v>
      </c>
      <c r="R349" s="104">
        <v>46116.4875</v>
      </c>
      <c r="S349" s="104">
        <v>46116.54375</v>
      </c>
      <c r="T349" s="104" t="s">
        <v>416</v>
      </c>
    </row>
    <row r="350" s="102" customFormat="1" ht="15" spans="1:20">
      <c r="A350" s="104" t="s">
        <v>22</v>
      </c>
      <c r="B350" s="104" t="s">
        <v>53</v>
      </c>
      <c r="C350" s="104" t="s">
        <v>596</v>
      </c>
      <c r="D350" s="104" t="s">
        <v>55</v>
      </c>
      <c r="E350" s="114"/>
      <c r="F350" s="114"/>
      <c r="G350" s="114"/>
      <c r="H350" s="104">
        <v>4040001</v>
      </c>
      <c r="I350" s="104">
        <v>38</v>
      </c>
      <c r="J350" s="104">
        <v>12</v>
      </c>
      <c r="K350" s="104">
        <v>3</v>
      </c>
      <c r="L350" s="104">
        <v>9</v>
      </c>
      <c r="M350" s="104">
        <v>34.565</v>
      </c>
      <c r="N350" s="104" t="s">
        <v>24</v>
      </c>
      <c r="O350" s="104" t="s">
        <v>25</v>
      </c>
      <c r="P350" s="104" t="s">
        <v>26</v>
      </c>
      <c r="Q350" s="104">
        <v>46116.4868055556</v>
      </c>
      <c r="R350" s="104">
        <v>46116.4875</v>
      </c>
      <c r="S350" s="104">
        <v>46116.5430555556</v>
      </c>
      <c r="T350" s="104" t="s">
        <v>191</v>
      </c>
    </row>
    <row r="351" s="102" customFormat="1" ht="15" spans="1:20">
      <c r="A351" s="104" t="s">
        <v>22</v>
      </c>
      <c r="B351" s="104" t="s">
        <v>164</v>
      </c>
      <c r="C351" s="104" t="s">
        <v>597</v>
      </c>
      <c r="D351" s="104" t="s">
        <v>166</v>
      </c>
      <c r="E351" s="114"/>
      <c r="F351" s="114"/>
      <c r="G351" s="114"/>
      <c r="H351" s="104">
        <v>4040001</v>
      </c>
      <c r="I351" s="104">
        <v>5311</v>
      </c>
      <c r="J351" s="104">
        <v>5311</v>
      </c>
      <c r="K351" s="104">
        <v>10</v>
      </c>
      <c r="L351" s="104">
        <v>5301</v>
      </c>
      <c r="M351" s="104">
        <v>8685.72</v>
      </c>
      <c r="N351" s="104" t="s">
        <v>24</v>
      </c>
      <c r="O351" s="104" t="s">
        <v>25</v>
      </c>
      <c r="P351" s="104" t="s">
        <v>26</v>
      </c>
      <c r="Q351" s="104">
        <v>46116.4888888889</v>
      </c>
      <c r="R351" s="104">
        <v>46116.4888888889</v>
      </c>
      <c r="S351" s="104">
        <v>46116.5430555556</v>
      </c>
      <c r="T351" s="104" t="s">
        <v>450</v>
      </c>
    </row>
    <row r="352" s="102" customFormat="1" ht="15" spans="1:20">
      <c r="A352" s="104" t="s">
        <v>22</v>
      </c>
      <c r="B352" s="104" t="s">
        <v>63</v>
      </c>
      <c r="C352" s="104" t="s">
        <v>598</v>
      </c>
      <c r="D352" s="104" t="s">
        <v>65</v>
      </c>
      <c r="E352" s="114"/>
      <c r="F352" s="114"/>
      <c r="G352" s="114"/>
      <c r="H352" s="104">
        <v>4040001</v>
      </c>
      <c r="I352" s="104">
        <v>675</v>
      </c>
      <c r="J352" s="104">
        <v>675</v>
      </c>
      <c r="K352" s="104">
        <v>1</v>
      </c>
      <c r="L352" s="104">
        <v>674</v>
      </c>
      <c r="M352" s="104">
        <v>980.046</v>
      </c>
      <c r="N352" s="104" t="s">
        <v>24</v>
      </c>
      <c r="O352" s="104" t="s">
        <v>25</v>
      </c>
      <c r="P352" s="104" t="s">
        <v>26</v>
      </c>
      <c r="Q352" s="104">
        <v>46116.4881944444</v>
      </c>
      <c r="R352" s="104">
        <v>46116.4888888889</v>
      </c>
      <c r="S352" s="104">
        <v>46116.5451388889</v>
      </c>
      <c r="T352" s="104" t="s">
        <v>416</v>
      </c>
    </row>
    <row r="353" s="102" customFormat="1" ht="15" spans="1:20">
      <c r="A353" s="104" t="s">
        <v>22</v>
      </c>
      <c r="B353" s="104" t="s">
        <v>67</v>
      </c>
      <c r="C353" s="104" t="s">
        <v>599</v>
      </c>
      <c r="D353" s="104" t="s">
        <v>69</v>
      </c>
      <c r="E353" s="114"/>
      <c r="F353" s="114"/>
      <c r="G353" s="114"/>
      <c r="H353" s="104">
        <v>4040001</v>
      </c>
      <c r="I353" s="104">
        <v>1193</v>
      </c>
      <c r="J353" s="104">
        <v>239</v>
      </c>
      <c r="K353" s="104">
        <v>0</v>
      </c>
      <c r="L353" s="104">
        <v>239</v>
      </c>
      <c r="M353" s="104">
        <v>642.728</v>
      </c>
      <c r="N353" s="104" t="s">
        <v>24</v>
      </c>
      <c r="O353" s="104" t="s">
        <v>70</v>
      </c>
      <c r="P353" s="104" t="s">
        <v>26</v>
      </c>
      <c r="Q353" s="104">
        <v>46116.4902777778</v>
      </c>
      <c r="R353" s="104">
        <v>46116.4916666667</v>
      </c>
      <c r="S353" s="104">
        <v>46116.5458333333</v>
      </c>
      <c r="T353" s="104" t="s">
        <v>452</v>
      </c>
    </row>
    <row r="354" s="102" customFormat="1" ht="15" spans="1:20">
      <c r="A354" s="104" t="s">
        <v>22</v>
      </c>
      <c r="B354" s="104" t="s">
        <v>33</v>
      </c>
      <c r="C354" s="114"/>
      <c r="D354" s="114"/>
      <c r="E354" s="114"/>
      <c r="F354" s="114"/>
      <c r="G354" s="114"/>
      <c r="H354" s="104">
        <v>40401</v>
      </c>
      <c r="I354" s="104">
        <v>5</v>
      </c>
      <c r="J354" s="104">
        <v>5</v>
      </c>
      <c r="K354" s="104">
        <v>0</v>
      </c>
      <c r="L354" s="104">
        <v>5</v>
      </c>
      <c r="M354" s="104">
        <v>25.238</v>
      </c>
      <c r="N354" s="104" t="s">
        <v>24</v>
      </c>
      <c r="O354" s="104" t="s">
        <v>25</v>
      </c>
      <c r="P354" s="104" t="s">
        <v>26</v>
      </c>
      <c r="Q354" s="104">
        <v>46116.4840277778</v>
      </c>
      <c r="R354" s="104">
        <v>46116.5013888889</v>
      </c>
      <c r="S354" s="104">
        <v>46116.5430555556</v>
      </c>
      <c r="T354" s="104" t="s">
        <v>403</v>
      </c>
    </row>
    <row r="355" s="102" customFormat="1" ht="15" spans="1:20">
      <c r="A355" s="104" t="s">
        <v>22</v>
      </c>
      <c r="B355" s="104" t="s">
        <v>168</v>
      </c>
      <c r="C355" s="104" t="s">
        <v>600</v>
      </c>
      <c r="D355" s="104" t="s">
        <v>293</v>
      </c>
      <c r="E355" s="114"/>
      <c r="F355" s="114"/>
      <c r="G355" s="114"/>
      <c r="H355" s="104">
        <v>4040001</v>
      </c>
      <c r="I355" s="104">
        <v>447</v>
      </c>
      <c r="J355" s="104">
        <v>339</v>
      </c>
      <c r="K355" s="104">
        <v>18</v>
      </c>
      <c r="L355" s="104">
        <v>321</v>
      </c>
      <c r="M355" s="104">
        <v>378.515</v>
      </c>
      <c r="N355" s="104" t="s">
        <v>24</v>
      </c>
      <c r="O355" s="104" t="s">
        <v>25</v>
      </c>
      <c r="P355" s="104" t="s">
        <v>26</v>
      </c>
      <c r="Q355" s="104">
        <v>46116.4930555556</v>
      </c>
      <c r="R355" s="104">
        <v>46116.5013888889</v>
      </c>
      <c r="S355" s="104">
        <v>46116.5430555556</v>
      </c>
      <c r="T355" s="104" t="s">
        <v>537</v>
      </c>
    </row>
    <row r="356" s="102" customFormat="1" ht="15" spans="1:20">
      <c r="A356" s="104" t="s">
        <v>22</v>
      </c>
      <c r="B356" s="104" t="s">
        <v>57</v>
      </c>
      <c r="C356" s="104" t="s">
        <v>601</v>
      </c>
      <c r="D356" s="104" t="s">
        <v>214</v>
      </c>
      <c r="E356" s="114"/>
      <c r="F356" s="114"/>
      <c r="G356" s="114"/>
      <c r="H356" s="104">
        <v>4040001</v>
      </c>
      <c r="I356" s="104">
        <v>85</v>
      </c>
      <c r="J356" s="104">
        <v>79</v>
      </c>
      <c r="K356" s="104">
        <v>7</v>
      </c>
      <c r="L356" s="104">
        <v>5</v>
      </c>
      <c r="M356" s="104">
        <v>48.436</v>
      </c>
      <c r="N356" s="104" t="s">
        <v>24</v>
      </c>
      <c r="O356" s="104" t="s">
        <v>25</v>
      </c>
      <c r="P356" s="104" t="s">
        <v>26</v>
      </c>
      <c r="Q356" s="104">
        <v>46116.4993055556</v>
      </c>
      <c r="R356" s="104">
        <v>46116.5013888889</v>
      </c>
      <c r="S356" s="104">
        <v>46116.5444444444</v>
      </c>
      <c r="T356" s="104" t="s">
        <v>456</v>
      </c>
    </row>
    <row r="357" s="102" customFormat="1" ht="15" spans="1:20">
      <c r="A357" s="104" t="s">
        <v>22</v>
      </c>
      <c r="B357" s="104" t="s">
        <v>91</v>
      </c>
      <c r="C357" s="104" t="s">
        <v>602</v>
      </c>
      <c r="D357" s="104" t="s">
        <v>93</v>
      </c>
      <c r="E357" s="114"/>
      <c r="F357" s="114"/>
      <c r="G357" s="104">
        <v>12345678900000</v>
      </c>
      <c r="H357" s="104">
        <v>4040003</v>
      </c>
      <c r="I357" s="104">
        <v>1640</v>
      </c>
      <c r="J357" s="104">
        <v>1640</v>
      </c>
      <c r="K357" s="104">
        <v>3</v>
      </c>
      <c r="L357" s="104">
        <v>1637</v>
      </c>
      <c r="M357" s="104">
        <v>3569.174</v>
      </c>
      <c r="N357" s="104" t="s">
        <v>24</v>
      </c>
      <c r="O357" s="104" t="s">
        <v>25</v>
      </c>
      <c r="P357" s="104" t="s">
        <v>26</v>
      </c>
      <c r="Q357" s="104">
        <v>46116.5048611111</v>
      </c>
      <c r="R357" s="104">
        <v>46116.5083333333</v>
      </c>
      <c r="S357" s="104">
        <v>46116.5444444444</v>
      </c>
      <c r="T357" s="104" t="s">
        <v>196</v>
      </c>
    </row>
    <row r="358" s="102" customFormat="1" ht="15" spans="1:20">
      <c r="A358" s="104" t="s">
        <v>22</v>
      </c>
      <c r="B358" s="104" t="s">
        <v>83</v>
      </c>
      <c r="C358" s="114"/>
      <c r="D358" s="114"/>
      <c r="E358" s="114"/>
      <c r="F358" s="114"/>
      <c r="G358" s="114"/>
      <c r="H358" s="104">
        <v>4043650</v>
      </c>
      <c r="I358" s="104">
        <v>52</v>
      </c>
      <c r="J358" s="104">
        <v>16</v>
      </c>
      <c r="K358" s="104">
        <v>2</v>
      </c>
      <c r="L358" s="104">
        <v>14</v>
      </c>
      <c r="M358" s="104">
        <v>18.602</v>
      </c>
      <c r="N358" s="104" t="s">
        <v>24</v>
      </c>
      <c r="O358" s="104" t="s">
        <v>25</v>
      </c>
      <c r="P358" s="104" t="s">
        <v>26</v>
      </c>
      <c r="Q358" s="104">
        <v>46116.7118055556</v>
      </c>
      <c r="R358" s="104">
        <v>46116.7118055556</v>
      </c>
      <c r="S358" s="104">
        <v>46116.7909722222</v>
      </c>
      <c r="T358" s="104" t="s">
        <v>603</v>
      </c>
    </row>
    <row r="359" s="102" customFormat="1" ht="15" spans="1:20">
      <c r="A359" s="104" t="s">
        <v>22</v>
      </c>
      <c r="B359" s="104" t="s">
        <v>83</v>
      </c>
      <c r="C359" s="114"/>
      <c r="D359" s="114"/>
      <c r="E359" s="114"/>
      <c r="F359" s="114"/>
      <c r="G359" s="114"/>
      <c r="H359" s="104">
        <v>40401</v>
      </c>
      <c r="I359" s="104">
        <v>15</v>
      </c>
      <c r="J359" s="104">
        <v>7</v>
      </c>
      <c r="K359" s="104">
        <v>0</v>
      </c>
      <c r="L359" s="104">
        <v>7</v>
      </c>
      <c r="M359" s="104">
        <v>13.654</v>
      </c>
      <c r="N359" s="104" t="s">
        <v>24</v>
      </c>
      <c r="O359" s="104" t="s">
        <v>25</v>
      </c>
      <c r="P359" s="104" t="s">
        <v>26</v>
      </c>
      <c r="Q359" s="104">
        <v>46116.7118055556</v>
      </c>
      <c r="R359" s="104">
        <v>46116.7118055556</v>
      </c>
      <c r="S359" s="104">
        <v>46116.7909722222</v>
      </c>
      <c r="T359" s="104" t="s">
        <v>604</v>
      </c>
    </row>
    <row r="360" s="102" customFormat="1" ht="15" spans="1:20">
      <c r="A360" s="104" t="s">
        <v>22</v>
      </c>
      <c r="B360" s="104" t="s">
        <v>31</v>
      </c>
      <c r="C360" s="114"/>
      <c r="D360" s="114"/>
      <c r="E360" s="114"/>
      <c r="F360" s="114"/>
      <c r="G360" s="114"/>
      <c r="H360" s="104">
        <v>40401</v>
      </c>
      <c r="I360" s="104">
        <v>2</v>
      </c>
      <c r="J360" s="104">
        <v>2</v>
      </c>
      <c r="K360" s="104">
        <v>0</v>
      </c>
      <c r="L360" s="104">
        <v>2</v>
      </c>
      <c r="M360" s="104">
        <v>3.322</v>
      </c>
      <c r="N360" s="104" t="s">
        <v>24</v>
      </c>
      <c r="O360" s="104" t="s">
        <v>25</v>
      </c>
      <c r="P360" s="104" t="s">
        <v>26</v>
      </c>
      <c r="Q360" s="104">
        <v>46116.7125</v>
      </c>
      <c r="R360" s="104">
        <v>46116.7125</v>
      </c>
      <c r="S360" s="104">
        <v>46116.7909722222</v>
      </c>
      <c r="T360" s="104" t="s">
        <v>603</v>
      </c>
    </row>
    <row r="361" s="102" customFormat="1" ht="15" spans="1:20">
      <c r="A361" s="104" t="s">
        <v>22</v>
      </c>
      <c r="B361" s="104" t="s">
        <v>87</v>
      </c>
      <c r="C361" s="114"/>
      <c r="D361" s="114"/>
      <c r="E361" s="114"/>
      <c r="F361" s="114"/>
      <c r="G361" s="114"/>
      <c r="H361" s="104">
        <v>40401</v>
      </c>
      <c r="I361" s="104">
        <v>21</v>
      </c>
      <c r="J361" s="104">
        <v>21</v>
      </c>
      <c r="K361" s="104">
        <v>0</v>
      </c>
      <c r="L361" s="104">
        <v>21</v>
      </c>
      <c r="M361" s="104">
        <v>46.06</v>
      </c>
      <c r="N361" s="104" t="s">
        <v>24</v>
      </c>
      <c r="O361" s="104" t="s">
        <v>25</v>
      </c>
      <c r="P361" s="104" t="s">
        <v>26</v>
      </c>
      <c r="Q361" s="104">
        <v>46116.7125</v>
      </c>
      <c r="R361" s="104">
        <v>46116.7125</v>
      </c>
      <c r="S361" s="104">
        <v>46116.7909722222</v>
      </c>
      <c r="T361" s="104" t="s">
        <v>604</v>
      </c>
    </row>
    <row r="362" s="102" customFormat="1" ht="15" spans="1:20">
      <c r="A362" s="104" t="s">
        <v>22</v>
      </c>
      <c r="B362" s="104" t="s">
        <v>33</v>
      </c>
      <c r="C362" s="114"/>
      <c r="D362" s="114"/>
      <c r="E362" s="114"/>
      <c r="F362" s="114"/>
      <c r="G362" s="114"/>
      <c r="H362" s="104">
        <v>4043280</v>
      </c>
      <c r="I362" s="104">
        <v>33</v>
      </c>
      <c r="J362" s="104">
        <v>5</v>
      </c>
      <c r="K362" s="104">
        <v>0</v>
      </c>
      <c r="L362" s="104">
        <v>5</v>
      </c>
      <c r="M362" s="104">
        <v>13.359</v>
      </c>
      <c r="N362" s="104" t="s">
        <v>24</v>
      </c>
      <c r="O362" s="104" t="s">
        <v>25</v>
      </c>
      <c r="P362" s="104" t="s">
        <v>26</v>
      </c>
      <c r="Q362" s="104">
        <v>46116.7125</v>
      </c>
      <c r="R362" s="104">
        <v>46116.7125</v>
      </c>
      <c r="S362" s="104">
        <v>46116.7909722222</v>
      </c>
      <c r="T362" s="104" t="s">
        <v>605</v>
      </c>
    </row>
    <row r="363" s="102" customFormat="1" ht="15" spans="1:20">
      <c r="A363" s="104" t="s">
        <v>22</v>
      </c>
      <c r="B363" s="104" t="s">
        <v>83</v>
      </c>
      <c r="C363" s="114"/>
      <c r="D363" s="114"/>
      <c r="E363" s="114"/>
      <c r="F363" s="114"/>
      <c r="G363" s="114"/>
      <c r="H363" s="104">
        <v>40401</v>
      </c>
      <c r="I363" s="104">
        <v>6</v>
      </c>
      <c r="J363" s="104">
        <v>3</v>
      </c>
      <c r="K363" s="104">
        <v>0</v>
      </c>
      <c r="L363" s="104">
        <v>3</v>
      </c>
      <c r="M363" s="104">
        <v>0.845</v>
      </c>
      <c r="N363" s="104" t="s">
        <v>24</v>
      </c>
      <c r="O363" s="104" t="s">
        <v>25</v>
      </c>
      <c r="P363" s="104" t="s">
        <v>26</v>
      </c>
      <c r="Q363" s="104">
        <v>46116.7118055556</v>
      </c>
      <c r="R363" s="104">
        <v>46116.7298611111</v>
      </c>
      <c r="S363" s="104">
        <v>46116.7909722222</v>
      </c>
      <c r="T363" s="104" t="s">
        <v>604</v>
      </c>
    </row>
    <row r="364" s="102" customFormat="1" ht="15" spans="1:20">
      <c r="A364" s="104" t="s">
        <v>22</v>
      </c>
      <c r="B364" s="104" t="s">
        <v>86</v>
      </c>
      <c r="C364" s="114"/>
      <c r="D364" s="114"/>
      <c r="E364" s="114"/>
      <c r="F364" s="114"/>
      <c r="G364" s="114"/>
      <c r="H364" s="104">
        <v>40401</v>
      </c>
      <c r="I364" s="104">
        <v>61</v>
      </c>
      <c r="J364" s="104">
        <v>6</v>
      </c>
      <c r="K364" s="104">
        <v>0</v>
      </c>
      <c r="L364" s="104">
        <v>6</v>
      </c>
      <c r="M364" s="104">
        <v>7.918</v>
      </c>
      <c r="N364" s="104" t="s">
        <v>24</v>
      </c>
      <c r="O364" s="104" t="s">
        <v>25</v>
      </c>
      <c r="P364" s="104" t="s">
        <v>26</v>
      </c>
      <c r="Q364" s="104">
        <v>46116.7298611111</v>
      </c>
      <c r="R364" s="104">
        <v>46116.7298611111</v>
      </c>
      <c r="S364" s="104">
        <v>46116.7909722222</v>
      </c>
      <c r="T364" s="104" t="s">
        <v>162</v>
      </c>
    </row>
    <row r="365" s="102" customFormat="1" ht="15" spans="1:20">
      <c r="A365" s="104" t="s">
        <v>22</v>
      </c>
      <c r="B365" s="104" t="s">
        <v>87</v>
      </c>
      <c r="C365" s="114"/>
      <c r="D365" s="114"/>
      <c r="E365" s="114"/>
      <c r="F365" s="114"/>
      <c r="G365" s="114"/>
      <c r="H365" s="104">
        <v>40401</v>
      </c>
      <c r="I365" s="104">
        <v>42</v>
      </c>
      <c r="J365" s="104">
        <v>5</v>
      </c>
      <c r="K365" s="104">
        <v>0</v>
      </c>
      <c r="L365" s="104">
        <v>5</v>
      </c>
      <c r="M365" s="104">
        <v>1.819</v>
      </c>
      <c r="N365" s="104" t="s">
        <v>24</v>
      </c>
      <c r="O365" s="104" t="s">
        <v>25</v>
      </c>
      <c r="P365" s="104" t="s">
        <v>26</v>
      </c>
      <c r="Q365" s="104">
        <v>46116.7125</v>
      </c>
      <c r="R365" s="104">
        <v>46116.7298611111</v>
      </c>
      <c r="S365" s="104">
        <v>46116.7909722222</v>
      </c>
      <c r="T365" s="104" t="s">
        <v>604</v>
      </c>
    </row>
    <row r="366" s="102" customFormat="1" ht="15" spans="1:20">
      <c r="A366" s="104" t="s">
        <v>22</v>
      </c>
      <c r="B366" s="104" t="s">
        <v>89</v>
      </c>
      <c r="C366" s="114"/>
      <c r="D366" s="114"/>
      <c r="E366" s="114"/>
      <c r="F366" s="114"/>
      <c r="G366" s="114"/>
      <c r="H366" s="104">
        <v>40401</v>
      </c>
      <c r="I366" s="104">
        <v>10</v>
      </c>
      <c r="J366" s="104">
        <v>3</v>
      </c>
      <c r="K366" s="104">
        <v>0</v>
      </c>
      <c r="L366" s="104">
        <v>3</v>
      </c>
      <c r="M366" s="104">
        <v>5.082</v>
      </c>
      <c r="N366" s="104" t="s">
        <v>24</v>
      </c>
      <c r="O366" s="104" t="s">
        <v>25</v>
      </c>
      <c r="P366" s="104" t="s">
        <v>26</v>
      </c>
      <c r="Q366" s="104">
        <v>46116.7298611111</v>
      </c>
      <c r="R366" s="104">
        <v>46116.7298611111</v>
      </c>
      <c r="S366" s="104">
        <v>46116.7909722222</v>
      </c>
      <c r="T366" s="104" t="s">
        <v>162</v>
      </c>
    </row>
    <row r="367" s="102" customFormat="1" ht="15" spans="1:20">
      <c r="A367" s="104" t="s">
        <v>22</v>
      </c>
      <c r="B367" s="104" t="s">
        <v>232</v>
      </c>
      <c r="C367" s="104" t="s">
        <v>606</v>
      </c>
      <c r="D367" s="104" t="s">
        <v>234</v>
      </c>
      <c r="E367" s="114"/>
      <c r="F367" s="114"/>
      <c r="G367" s="114"/>
      <c r="H367" s="104">
        <v>4040002</v>
      </c>
      <c r="I367" s="104">
        <v>1677</v>
      </c>
      <c r="J367" s="104">
        <v>1677</v>
      </c>
      <c r="K367" s="104">
        <v>3</v>
      </c>
      <c r="L367" s="104">
        <v>1674</v>
      </c>
      <c r="M367" s="104">
        <v>2196.23</v>
      </c>
      <c r="N367" s="104" t="s">
        <v>24</v>
      </c>
      <c r="O367" s="104" t="s">
        <v>25</v>
      </c>
      <c r="P367" s="104" t="s">
        <v>26</v>
      </c>
      <c r="Q367" s="104">
        <v>46116.7298611111</v>
      </c>
      <c r="R367" s="104">
        <v>46116.73125</v>
      </c>
      <c r="S367" s="104">
        <v>46116.9729166667</v>
      </c>
      <c r="T367" s="104" t="s">
        <v>607</v>
      </c>
    </row>
    <row r="368" s="102" customFormat="1" ht="15" spans="1:20">
      <c r="A368" s="104" t="s">
        <v>22</v>
      </c>
      <c r="B368" s="104" t="s">
        <v>86</v>
      </c>
      <c r="C368" s="114"/>
      <c r="D368" s="114"/>
      <c r="E368" s="114"/>
      <c r="F368" s="114"/>
      <c r="G368" s="114"/>
      <c r="H368" s="104">
        <v>40401</v>
      </c>
      <c r="I368" s="104">
        <v>5</v>
      </c>
      <c r="J368" s="104">
        <v>5</v>
      </c>
      <c r="K368" s="104">
        <v>0</v>
      </c>
      <c r="L368" s="104">
        <v>5</v>
      </c>
      <c r="M368" s="104">
        <v>41.9</v>
      </c>
      <c r="N368" s="104" t="s">
        <v>24</v>
      </c>
      <c r="O368" s="104" t="s">
        <v>25</v>
      </c>
      <c r="P368" s="104" t="s">
        <v>26</v>
      </c>
      <c r="Q368" s="104">
        <v>46116.7298611111</v>
      </c>
      <c r="R368" s="104">
        <v>46116.7381944444</v>
      </c>
      <c r="S368" s="104">
        <v>46116.7909722222</v>
      </c>
      <c r="T368" s="104" t="s">
        <v>162</v>
      </c>
    </row>
    <row r="369" s="102" customFormat="1" ht="15" spans="1:20">
      <c r="A369" s="104" t="s">
        <v>22</v>
      </c>
      <c r="B369" s="104" t="s">
        <v>89</v>
      </c>
      <c r="C369" s="114"/>
      <c r="D369" s="114"/>
      <c r="E369" s="114"/>
      <c r="F369" s="114"/>
      <c r="G369" s="114"/>
      <c r="H369" s="104">
        <v>40401</v>
      </c>
      <c r="I369" s="104">
        <v>3</v>
      </c>
      <c r="J369" s="104">
        <v>3</v>
      </c>
      <c r="K369" s="104">
        <v>0</v>
      </c>
      <c r="L369" s="104">
        <v>3</v>
      </c>
      <c r="M369" s="104">
        <v>5.887</v>
      </c>
      <c r="N369" s="104" t="s">
        <v>24</v>
      </c>
      <c r="O369" s="104" t="s">
        <v>25</v>
      </c>
      <c r="P369" s="104" t="s">
        <v>26</v>
      </c>
      <c r="Q369" s="104">
        <v>46116.7298611111</v>
      </c>
      <c r="R369" s="104">
        <v>46116.7381944444</v>
      </c>
      <c r="S369" s="104">
        <v>46116.7909722222</v>
      </c>
      <c r="T369" s="104" t="s">
        <v>162</v>
      </c>
    </row>
    <row r="370" s="102" customFormat="1" ht="15" spans="1:20">
      <c r="A370" s="104" t="s">
        <v>22</v>
      </c>
      <c r="B370" s="104" t="s">
        <v>219</v>
      </c>
      <c r="C370" s="104" t="s">
        <v>608</v>
      </c>
      <c r="D370" s="104" t="s">
        <v>221</v>
      </c>
      <c r="E370" s="114"/>
      <c r="F370" s="114"/>
      <c r="G370" s="104">
        <v>11111111111111</v>
      </c>
      <c r="H370" s="104">
        <v>4040002</v>
      </c>
      <c r="I370" s="104">
        <v>6630</v>
      </c>
      <c r="J370" s="104">
        <v>6630</v>
      </c>
      <c r="K370" s="104">
        <v>376</v>
      </c>
      <c r="L370" s="104">
        <v>6254</v>
      </c>
      <c r="M370" s="104">
        <v>4516.59</v>
      </c>
      <c r="N370" s="104" t="s">
        <v>24</v>
      </c>
      <c r="O370" s="104" t="s">
        <v>25</v>
      </c>
      <c r="P370" s="104" t="s">
        <v>26</v>
      </c>
      <c r="Q370" s="104">
        <v>46116.7402777778</v>
      </c>
      <c r="R370" s="104">
        <v>46116.7652777778</v>
      </c>
      <c r="S370" s="104">
        <v>46116.9729166667</v>
      </c>
      <c r="T370" s="104" t="s">
        <v>609</v>
      </c>
    </row>
    <row r="371" s="102" customFormat="1" ht="15" spans="1:20">
      <c r="A371" s="104" t="s">
        <v>22</v>
      </c>
      <c r="B371" s="104" t="s">
        <v>223</v>
      </c>
      <c r="C371" s="104" t="s">
        <v>610</v>
      </c>
      <c r="D371" s="104" t="s">
        <v>193</v>
      </c>
      <c r="E371" s="114"/>
      <c r="F371" s="114"/>
      <c r="G371" s="104" t="s">
        <v>611</v>
      </c>
      <c r="H371" s="104">
        <v>4040002</v>
      </c>
      <c r="I371" s="104">
        <v>2688</v>
      </c>
      <c r="J371" s="104">
        <v>2688</v>
      </c>
      <c r="K371" s="104">
        <v>265</v>
      </c>
      <c r="L371" s="104">
        <v>2423</v>
      </c>
      <c r="M371" s="104">
        <v>3052.606</v>
      </c>
      <c r="N371" s="104" t="s">
        <v>24</v>
      </c>
      <c r="O371" s="104" t="s">
        <v>25</v>
      </c>
      <c r="P371" s="104" t="s">
        <v>26</v>
      </c>
      <c r="Q371" s="104">
        <v>46116.7631944444</v>
      </c>
      <c r="R371" s="104">
        <v>46116.7659722222</v>
      </c>
      <c r="S371" s="104">
        <v>46116.9743055556</v>
      </c>
      <c r="T371" s="104" t="s">
        <v>85</v>
      </c>
    </row>
    <row r="372" s="102" customFormat="1" ht="15" spans="1:20">
      <c r="A372" s="104" t="s">
        <v>22</v>
      </c>
      <c r="B372" s="104" t="s">
        <v>236</v>
      </c>
      <c r="C372" s="114"/>
      <c r="D372" s="114"/>
      <c r="E372" s="114"/>
      <c r="F372" s="114"/>
      <c r="G372" s="114"/>
      <c r="H372" s="104">
        <v>4044807</v>
      </c>
      <c r="I372" s="104">
        <v>352</v>
      </c>
      <c r="J372" s="104">
        <v>352</v>
      </c>
      <c r="K372" s="104">
        <v>2</v>
      </c>
      <c r="L372" s="104">
        <v>350</v>
      </c>
      <c r="M372" s="104">
        <v>316.201</v>
      </c>
      <c r="N372" s="104" t="s">
        <v>24</v>
      </c>
      <c r="O372" s="104" t="s">
        <v>25</v>
      </c>
      <c r="P372" s="104" t="s">
        <v>26</v>
      </c>
      <c r="Q372" s="104">
        <v>46116.7659722222</v>
      </c>
      <c r="R372" s="104">
        <v>46116.7659722222</v>
      </c>
      <c r="S372" s="104">
        <v>46116.9743055556</v>
      </c>
      <c r="T372" s="104" t="s">
        <v>85</v>
      </c>
    </row>
    <row r="373" s="102" customFormat="1" ht="15" spans="1:20">
      <c r="A373" s="104" t="s">
        <v>22</v>
      </c>
      <c r="B373" s="104" t="s">
        <v>229</v>
      </c>
      <c r="C373" s="104" t="s">
        <v>612</v>
      </c>
      <c r="D373" s="104" t="s">
        <v>231</v>
      </c>
      <c r="E373" s="114"/>
      <c r="F373" s="114"/>
      <c r="G373" s="114"/>
      <c r="H373" s="104">
        <v>4040002</v>
      </c>
      <c r="I373" s="104">
        <v>3184</v>
      </c>
      <c r="J373" s="104">
        <v>3184</v>
      </c>
      <c r="K373" s="104">
        <v>3</v>
      </c>
      <c r="L373" s="104">
        <v>3181</v>
      </c>
      <c r="M373" s="104">
        <v>4222.18</v>
      </c>
      <c r="N373" s="104" t="s">
        <v>24</v>
      </c>
      <c r="O373" s="104" t="s">
        <v>25</v>
      </c>
      <c r="P373" s="104" t="s">
        <v>26</v>
      </c>
      <c r="Q373" s="104">
        <v>46116.7736111111</v>
      </c>
      <c r="R373" s="104">
        <v>46116.7791666667</v>
      </c>
      <c r="S373" s="104">
        <v>46116.9736111111</v>
      </c>
      <c r="T373" s="104" t="s">
        <v>613</v>
      </c>
    </row>
    <row r="374" s="102" customFormat="1" ht="15" spans="1:20">
      <c r="A374" s="104" t="s">
        <v>22</v>
      </c>
      <c r="B374" s="104" t="s">
        <v>81</v>
      </c>
      <c r="C374" s="104" t="s">
        <v>614</v>
      </c>
      <c r="D374" s="104" t="s">
        <v>38</v>
      </c>
      <c r="E374" s="114"/>
      <c r="F374" s="114"/>
      <c r="G374" s="114"/>
      <c r="H374" s="104">
        <v>4040001</v>
      </c>
      <c r="I374" s="104">
        <v>1595</v>
      </c>
      <c r="J374" s="104">
        <v>1595</v>
      </c>
      <c r="K374" s="104">
        <v>14</v>
      </c>
      <c r="L374" s="104">
        <v>1581</v>
      </c>
      <c r="M374" s="104">
        <v>878.911</v>
      </c>
      <c r="N374" s="104" t="s">
        <v>24</v>
      </c>
      <c r="O374" s="104" t="s">
        <v>25</v>
      </c>
      <c r="P374" s="104" t="s">
        <v>26</v>
      </c>
      <c r="Q374" s="104">
        <v>46116.7763888889</v>
      </c>
      <c r="R374" s="104">
        <v>46116.7798611111</v>
      </c>
      <c r="S374" s="104">
        <v>46116.9715277778</v>
      </c>
      <c r="T374" s="104" t="s">
        <v>615</v>
      </c>
    </row>
    <row r="375" s="102" customFormat="1" ht="15" spans="1:20">
      <c r="A375" s="104" t="s">
        <v>22</v>
      </c>
      <c r="B375" s="104" t="s">
        <v>212</v>
      </c>
      <c r="C375" s="104" t="s">
        <v>616</v>
      </c>
      <c r="D375" s="104" t="s">
        <v>340</v>
      </c>
      <c r="E375" s="114"/>
      <c r="F375" s="114"/>
      <c r="G375" s="114"/>
      <c r="H375" s="104">
        <v>4040002</v>
      </c>
      <c r="I375" s="104">
        <v>829</v>
      </c>
      <c r="J375" s="104">
        <v>829</v>
      </c>
      <c r="K375" s="104">
        <v>116</v>
      </c>
      <c r="L375" s="104">
        <v>713</v>
      </c>
      <c r="M375" s="104">
        <v>2450.274</v>
      </c>
      <c r="N375" s="104" t="s">
        <v>24</v>
      </c>
      <c r="O375" s="104" t="s">
        <v>25</v>
      </c>
      <c r="P375" s="104" t="s">
        <v>26</v>
      </c>
      <c r="Q375" s="104">
        <v>46116.7763888889</v>
      </c>
      <c r="R375" s="104">
        <v>46116.7840277778</v>
      </c>
      <c r="S375" s="104">
        <v>46116.9736111111</v>
      </c>
      <c r="T375" s="104" t="s">
        <v>617</v>
      </c>
    </row>
    <row r="376" s="102" customFormat="1" ht="15" spans="1:20">
      <c r="A376" s="104" t="s">
        <v>22</v>
      </c>
      <c r="B376" s="104" t="s">
        <v>302</v>
      </c>
      <c r="C376" s="104" t="s">
        <v>618</v>
      </c>
      <c r="D376" s="104" t="s">
        <v>74</v>
      </c>
      <c r="E376" s="114"/>
      <c r="F376" s="114"/>
      <c r="G376" s="114"/>
      <c r="H376" s="104">
        <v>4040001</v>
      </c>
      <c r="I376" s="104">
        <v>915</v>
      </c>
      <c r="J376" s="104">
        <v>894</v>
      </c>
      <c r="K376" s="104">
        <v>7</v>
      </c>
      <c r="L376" s="104">
        <v>887</v>
      </c>
      <c r="M376" s="104">
        <v>881.724</v>
      </c>
      <c r="N376" s="104" t="s">
        <v>24</v>
      </c>
      <c r="O376" s="104" t="s">
        <v>25</v>
      </c>
      <c r="P376" s="104" t="s">
        <v>26</v>
      </c>
      <c r="Q376" s="104">
        <v>46116.7840277778</v>
      </c>
      <c r="R376" s="104">
        <v>46116.7847222222</v>
      </c>
      <c r="S376" s="104">
        <v>46116.9722222222</v>
      </c>
      <c r="T376" s="104" t="s">
        <v>304</v>
      </c>
    </row>
    <row r="377" s="102" customFormat="1" ht="15" spans="1:20">
      <c r="A377" s="104" t="s">
        <v>22</v>
      </c>
      <c r="B377" s="104" t="s">
        <v>263</v>
      </c>
      <c r="C377" s="104" t="s">
        <v>619</v>
      </c>
      <c r="D377" s="104" t="s">
        <v>265</v>
      </c>
      <c r="E377" s="114"/>
      <c r="F377" s="114"/>
      <c r="G377" s="114"/>
      <c r="H377" s="104">
        <v>4040001</v>
      </c>
      <c r="I377" s="104">
        <v>1207</v>
      </c>
      <c r="J377" s="104">
        <v>1029</v>
      </c>
      <c r="K377" s="104">
        <v>30</v>
      </c>
      <c r="L377" s="104">
        <v>999</v>
      </c>
      <c r="M377" s="104">
        <v>2006.694</v>
      </c>
      <c r="N377" s="104" t="s">
        <v>24</v>
      </c>
      <c r="O377" s="104" t="s">
        <v>25</v>
      </c>
      <c r="P377" s="104" t="s">
        <v>26</v>
      </c>
      <c r="Q377" s="104">
        <v>46116.7861111111</v>
      </c>
      <c r="R377" s="104">
        <v>46116.7888888889</v>
      </c>
      <c r="S377" s="104">
        <v>46116.9715277778</v>
      </c>
      <c r="T377" s="104" t="s">
        <v>84</v>
      </c>
    </row>
    <row r="378" s="102" customFormat="1" ht="15" spans="1:20">
      <c r="A378" s="104" t="s">
        <v>22</v>
      </c>
      <c r="B378" s="104" t="s">
        <v>72</v>
      </c>
      <c r="C378" s="104" t="s">
        <v>620</v>
      </c>
      <c r="D378" s="104" t="s">
        <v>74</v>
      </c>
      <c r="E378" s="114"/>
      <c r="F378" s="114"/>
      <c r="G378" s="114"/>
      <c r="H378" s="104">
        <v>4040001</v>
      </c>
      <c r="I378" s="104">
        <v>491</v>
      </c>
      <c r="J378" s="104">
        <v>395</v>
      </c>
      <c r="K378" s="104">
        <v>7</v>
      </c>
      <c r="L378" s="104">
        <v>388</v>
      </c>
      <c r="M378" s="104">
        <v>334.279</v>
      </c>
      <c r="N378" s="104" t="s">
        <v>24</v>
      </c>
      <c r="O378" s="104" t="s">
        <v>25</v>
      </c>
      <c r="P378" s="104" t="s">
        <v>26</v>
      </c>
      <c r="Q378" s="104">
        <v>46116.5131944444</v>
      </c>
      <c r="R378" s="104">
        <v>46116.5131944444</v>
      </c>
      <c r="S378" s="104">
        <v>46116.5430555556</v>
      </c>
      <c r="T378" s="104" t="s">
        <v>459</v>
      </c>
    </row>
    <row r="379" s="102" customFormat="1" ht="15" spans="1:20">
      <c r="A379" s="104" t="s">
        <v>22</v>
      </c>
      <c r="B379" s="104" t="s">
        <v>188</v>
      </c>
      <c r="C379" s="104" t="s">
        <v>621</v>
      </c>
      <c r="D379" s="104" t="s">
        <v>190</v>
      </c>
      <c r="E379" s="114"/>
      <c r="F379" s="114"/>
      <c r="G379" s="114"/>
      <c r="H379" s="104">
        <v>4040001</v>
      </c>
      <c r="I379" s="104">
        <v>2049</v>
      </c>
      <c r="J379" s="104">
        <v>2040</v>
      </c>
      <c r="K379" s="104">
        <v>225</v>
      </c>
      <c r="L379" s="104">
        <v>1815</v>
      </c>
      <c r="M379" s="104">
        <v>4094.701</v>
      </c>
      <c r="N379" s="104" t="s">
        <v>24</v>
      </c>
      <c r="O379" s="104" t="s">
        <v>25</v>
      </c>
      <c r="P379" s="104" t="s">
        <v>26</v>
      </c>
      <c r="Q379" s="104">
        <v>46116.5138888889</v>
      </c>
      <c r="R379" s="104">
        <v>46116.5229166667</v>
      </c>
      <c r="S379" s="104">
        <v>46116.5444444444</v>
      </c>
      <c r="T379" s="104" t="s">
        <v>474</v>
      </c>
    </row>
    <row r="380" s="102" customFormat="1" ht="15" spans="1:20">
      <c r="A380" s="104" t="s">
        <v>22</v>
      </c>
      <c r="B380" s="104" t="s">
        <v>184</v>
      </c>
      <c r="C380" s="104" t="s">
        <v>622</v>
      </c>
      <c r="D380" s="104" t="s">
        <v>186</v>
      </c>
      <c r="E380" s="114"/>
      <c r="F380" s="114"/>
      <c r="G380" s="114"/>
      <c r="H380" s="104">
        <v>4040001</v>
      </c>
      <c r="I380" s="104">
        <v>1716</v>
      </c>
      <c r="J380" s="104">
        <v>1653</v>
      </c>
      <c r="K380" s="104">
        <v>30</v>
      </c>
      <c r="L380" s="104">
        <v>1623</v>
      </c>
      <c r="M380" s="104">
        <v>1385.71</v>
      </c>
      <c r="N380" s="104" t="s">
        <v>24</v>
      </c>
      <c r="O380" s="104" t="s">
        <v>25</v>
      </c>
      <c r="P380" s="104" t="s">
        <v>26</v>
      </c>
      <c r="Q380" s="104">
        <v>46116.51875</v>
      </c>
      <c r="R380" s="104">
        <v>46116.5229166667</v>
      </c>
      <c r="S380" s="104">
        <v>46116.5444444444</v>
      </c>
      <c r="T380" s="104" t="s">
        <v>141</v>
      </c>
    </row>
    <row r="381" s="102" customFormat="1" ht="15" spans="1:20">
      <c r="A381" s="104" t="s">
        <v>22</v>
      </c>
      <c r="B381" s="104" t="s">
        <v>180</v>
      </c>
      <c r="C381" s="104" t="s">
        <v>623</v>
      </c>
      <c r="D381" s="104" t="s">
        <v>182</v>
      </c>
      <c r="E381" s="114"/>
      <c r="F381" s="114"/>
      <c r="G381" s="114"/>
      <c r="H381" s="104">
        <v>4040001</v>
      </c>
      <c r="I381" s="104">
        <v>901</v>
      </c>
      <c r="J381" s="104">
        <v>591</v>
      </c>
      <c r="K381" s="104">
        <v>158</v>
      </c>
      <c r="L381" s="104">
        <v>433</v>
      </c>
      <c r="M381" s="104">
        <v>1023.241</v>
      </c>
      <c r="N381" s="104" t="s">
        <v>24</v>
      </c>
      <c r="O381" s="104" t="s">
        <v>25</v>
      </c>
      <c r="P381" s="104" t="s">
        <v>26</v>
      </c>
      <c r="Q381" s="104">
        <v>46116.5201388889</v>
      </c>
      <c r="R381" s="104">
        <v>46116.5229166667</v>
      </c>
      <c r="S381" s="104">
        <v>46116.5430555556</v>
      </c>
      <c r="T381" s="104" t="s">
        <v>406</v>
      </c>
    </row>
    <row r="382" s="102" customFormat="1" ht="15" spans="1:20">
      <c r="A382" s="104" t="s">
        <v>22</v>
      </c>
      <c r="B382" s="104" t="s">
        <v>172</v>
      </c>
      <c r="C382" s="104" t="s">
        <v>624</v>
      </c>
      <c r="D382" s="104" t="s">
        <v>174</v>
      </c>
      <c r="E382" s="114"/>
      <c r="F382" s="114"/>
      <c r="G382" s="114"/>
      <c r="H382" s="104">
        <v>4040001</v>
      </c>
      <c r="I382" s="104">
        <v>64</v>
      </c>
      <c r="J382" s="104">
        <v>31</v>
      </c>
      <c r="K382" s="104">
        <v>8</v>
      </c>
      <c r="L382" s="104">
        <v>23</v>
      </c>
      <c r="M382" s="104">
        <v>63.037</v>
      </c>
      <c r="N382" s="104" t="s">
        <v>24</v>
      </c>
      <c r="O382" s="104" t="s">
        <v>25</v>
      </c>
      <c r="P382" s="104" t="s">
        <v>26</v>
      </c>
      <c r="Q382" s="104">
        <v>46116.5215277778</v>
      </c>
      <c r="R382" s="104">
        <v>46116.5229166667</v>
      </c>
      <c r="S382" s="104">
        <v>46116.5430555556</v>
      </c>
      <c r="T382" s="104" t="s">
        <v>406</v>
      </c>
    </row>
    <row r="383" s="102" customFormat="1" ht="15" spans="1:20">
      <c r="A383" s="104" t="s">
        <v>22</v>
      </c>
      <c r="B383" s="104" t="s">
        <v>31</v>
      </c>
      <c r="C383" s="114"/>
      <c r="D383" s="114"/>
      <c r="E383" s="114"/>
      <c r="F383" s="114"/>
      <c r="G383" s="114"/>
      <c r="H383" s="104">
        <v>4043360</v>
      </c>
      <c r="I383" s="104">
        <v>1</v>
      </c>
      <c r="J383" s="104">
        <v>1</v>
      </c>
      <c r="K383" s="104">
        <v>1</v>
      </c>
      <c r="L383" s="104">
        <v>0</v>
      </c>
      <c r="M383" s="104">
        <v>1.52</v>
      </c>
      <c r="N383" s="104" t="s">
        <v>24</v>
      </c>
      <c r="O383" s="104" t="s">
        <v>25</v>
      </c>
      <c r="P383" s="104" t="s">
        <v>26</v>
      </c>
      <c r="Q383" s="104">
        <v>46116.5236111111</v>
      </c>
      <c r="R383" s="104">
        <v>46116.5236111111</v>
      </c>
      <c r="S383" s="104">
        <v>46116.5423611111</v>
      </c>
      <c r="T383" s="104" t="s">
        <v>571</v>
      </c>
    </row>
    <row r="384" s="102" customFormat="1" ht="15" spans="1:20">
      <c r="A384" s="104" t="s">
        <v>22</v>
      </c>
      <c r="B384" s="104" t="s">
        <v>23</v>
      </c>
      <c r="C384" s="104" t="s">
        <v>625</v>
      </c>
      <c r="D384" s="104" t="s">
        <v>193</v>
      </c>
      <c r="E384" s="114"/>
      <c r="F384" s="114"/>
      <c r="G384" s="114"/>
      <c r="H384" s="104">
        <v>4040001</v>
      </c>
      <c r="I384" s="104">
        <v>931</v>
      </c>
      <c r="J384" s="104">
        <v>931</v>
      </c>
      <c r="K384" s="104">
        <v>0</v>
      </c>
      <c r="L384" s="104">
        <v>931</v>
      </c>
      <c r="M384" s="104">
        <v>1222.35</v>
      </c>
      <c r="N384" s="104" t="s">
        <v>24</v>
      </c>
      <c r="O384" s="104" t="s">
        <v>25</v>
      </c>
      <c r="P384" s="104" t="s">
        <v>26</v>
      </c>
      <c r="Q384" s="104">
        <v>46116.5291666667</v>
      </c>
      <c r="R384" s="104">
        <v>46116.5291666667</v>
      </c>
      <c r="S384" s="104">
        <v>46116.5430555556</v>
      </c>
      <c r="T384" s="104" t="s">
        <v>533</v>
      </c>
    </row>
    <row r="385" s="102" customFormat="1" ht="15" spans="1:20">
      <c r="A385" s="104" t="s">
        <v>22</v>
      </c>
      <c r="B385" s="104" t="s">
        <v>76</v>
      </c>
      <c r="C385" s="104" t="s">
        <v>626</v>
      </c>
      <c r="D385" s="104" t="s">
        <v>627</v>
      </c>
      <c r="E385" s="114"/>
      <c r="F385" s="104" t="s">
        <v>79</v>
      </c>
      <c r="G385" s="114"/>
      <c r="H385" s="104">
        <v>4040001</v>
      </c>
      <c r="I385" s="104">
        <v>1421</v>
      </c>
      <c r="J385" s="104">
        <v>1173</v>
      </c>
      <c r="K385" s="104">
        <v>9</v>
      </c>
      <c r="L385" s="104">
        <v>1164</v>
      </c>
      <c r="M385" s="104">
        <v>2580.579</v>
      </c>
      <c r="N385" s="104" t="s">
        <v>24</v>
      </c>
      <c r="O385" s="104" t="s">
        <v>25</v>
      </c>
      <c r="P385" s="104" t="s">
        <v>26</v>
      </c>
      <c r="Q385" s="104">
        <v>46116.5368055556</v>
      </c>
      <c r="R385" s="104">
        <v>46116.5375</v>
      </c>
      <c r="S385" s="104">
        <v>46116.5444444444</v>
      </c>
      <c r="T385" s="104" t="s">
        <v>136</v>
      </c>
    </row>
    <row r="386" s="102" customFormat="1" ht="15" spans="1:20">
      <c r="A386" s="104" t="s">
        <v>22</v>
      </c>
      <c r="B386" s="104" t="s">
        <v>197</v>
      </c>
      <c r="C386" s="104" t="s">
        <v>628</v>
      </c>
      <c r="D386" s="104" t="s">
        <v>422</v>
      </c>
      <c r="E386" s="114"/>
      <c r="F386" s="114"/>
      <c r="G386" s="104">
        <v>11111111111111</v>
      </c>
      <c r="H386" s="104">
        <v>4040001</v>
      </c>
      <c r="I386" s="104">
        <v>7615</v>
      </c>
      <c r="J386" s="104">
        <v>7320</v>
      </c>
      <c r="K386" s="104">
        <v>35</v>
      </c>
      <c r="L386" s="104">
        <v>7285</v>
      </c>
      <c r="M386" s="104">
        <v>6059.872</v>
      </c>
      <c r="N386" s="104" t="s">
        <v>24</v>
      </c>
      <c r="O386" s="104" t="s">
        <v>25</v>
      </c>
      <c r="P386" s="104" t="s">
        <v>26</v>
      </c>
      <c r="Q386" s="104">
        <v>46116.5402777778</v>
      </c>
      <c r="R386" s="104">
        <v>46116.5416666667</v>
      </c>
      <c r="S386" s="104">
        <v>46116.5444444444</v>
      </c>
      <c r="T386" s="104" t="s">
        <v>555</v>
      </c>
    </row>
    <row r="387" s="102" customFormat="1" ht="15" spans="1:20">
      <c r="A387" s="104" t="s">
        <v>22</v>
      </c>
      <c r="B387" s="104" t="s">
        <v>83</v>
      </c>
      <c r="C387" s="114"/>
      <c r="D387" s="114"/>
      <c r="E387" s="114"/>
      <c r="F387" s="114"/>
      <c r="G387" s="114"/>
      <c r="H387" s="104">
        <v>4043733</v>
      </c>
      <c r="I387" s="104">
        <v>2</v>
      </c>
      <c r="J387" s="104">
        <v>1</v>
      </c>
      <c r="K387" s="104">
        <v>0</v>
      </c>
      <c r="L387" s="104">
        <v>1</v>
      </c>
      <c r="M387" s="104">
        <v>0.44</v>
      </c>
      <c r="N387" s="104" t="s">
        <v>24</v>
      </c>
      <c r="O387" s="104" t="s">
        <v>25</v>
      </c>
      <c r="P387" s="104" t="s">
        <v>26</v>
      </c>
      <c r="Q387" s="104">
        <v>46116.5423611111</v>
      </c>
      <c r="R387" s="104">
        <v>46116.5423611111</v>
      </c>
      <c r="S387" s="104">
        <v>46116.5423611111</v>
      </c>
      <c r="T387" s="104" t="s">
        <v>629</v>
      </c>
    </row>
    <row r="388" s="102" customFormat="1" ht="15" spans="1:20">
      <c r="A388" s="104" t="s">
        <v>22</v>
      </c>
      <c r="B388" s="104" t="s">
        <v>201</v>
      </c>
      <c r="C388" s="104" t="s">
        <v>630</v>
      </c>
      <c r="D388" s="104" t="s">
        <v>123</v>
      </c>
      <c r="E388" s="104" t="s">
        <v>124</v>
      </c>
      <c r="F388" s="104" t="s">
        <v>125</v>
      </c>
      <c r="G388" s="114"/>
      <c r="H388" s="104">
        <v>4040001</v>
      </c>
      <c r="I388" s="104">
        <v>13998</v>
      </c>
      <c r="J388" s="104">
        <v>3073</v>
      </c>
      <c r="K388" s="104">
        <v>8</v>
      </c>
      <c r="L388" s="104">
        <v>3065</v>
      </c>
      <c r="M388" s="104">
        <v>10359.741</v>
      </c>
      <c r="N388" s="104" t="s">
        <v>24</v>
      </c>
      <c r="O388" s="104" t="s">
        <v>70</v>
      </c>
      <c r="P388" s="104" t="s">
        <v>26</v>
      </c>
      <c r="Q388" s="104">
        <v>46116.4763888889</v>
      </c>
      <c r="R388" s="104">
        <v>46116.6069444444</v>
      </c>
      <c r="S388" s="104">
        <v>46116.6986111111</v>
      </c>
      <c r="T388" s="104" t="s">
        <v>275</v>
      </c>
    </row>
    <row r="389" s="102" customFormat="1" ht="15" spans="1:20">
      <c r="A389" s="104" t="s">
        <v>22</v>
      </c>
      <c r="B389" s="104" t="s">
        <v>207</v>
      </c>
      <c r="C389" s="104" t="s">
        <v>631</v>
      </c>
      <c r="D389" s="104" t="s">
        <v>203</v>
      </c>
      <c r="E389" s="104" t="s">
        <v>204</v>
      </c>
      <c r="F389" s="104" t="s">
        <v>205</v>
      </c>
      <c r="G389" s="114"/>
      <c r="H389" s="104">
        <v>4040001</v>
      </c>
      <c r="I389" s="104">
        <v>16244</v>
      </c>
      <c r="J389" s="104">
        <v>2674</v>
      </c>
      <c r="K389" s="104">
        <v>0</v>
      </c>
      <c r="L389" s="104">
        <v>2674</v>
      </c>
      <c r="M389" s="104">
        <v>9623.205</v>
      </c>
      <c r="N389" s="104" t="s">
        <v>24</v>
      </c>
      <c r="O389" s="104" t="s">
        <v>70</v>
      </c>
      <c r="P389" s="104" t="s">
        <v>26</v>
      </c>
      <c r="Q389" s="104">
        <v>46116.5555555556</v>
      </c>
      <c r="R389" s="104">
        <v>46116.6069444444</v>
      </c>
      <c r="S389" s="104">
        <v>46116.6986111111</v>
      </c>
      <c r="T389" s="104" t="s">
        <v>275</v>
      </c>
    </row>
    <row r="390" s="102" customFormat="1" ht="30" spans="1:20">
      <c r="A390" s="104" t="s">
        <v>22</v>
      </c>
      <c r="B390" s="104" t="s">
        <v>154</v>
      </c>
      <c r="C390" s="114"/>
      <c r="D390" s="104" t="s">
        <v>29</v>
      </c>
      <c r="E390" s="114"/>
      <c r="F390" s="114"/>
      <c r="G390" s="114"/>
      <c r="H390" s="104">
        <v>4041019</v>
      </c>
      <c r="I390" s="104">
        <v>15</v>
      </c>
      <c r="J390" s="104">
        <v>15</v>
      </c>
      <c r="K390" s="104">
        <v>0</v>
      </c>
      <c r="L390" s="104">
        <v>15</v>
      </c>
      <c r="M390" s="104">
        <v>8.772</v>
      </c>
      <c r="N390" s="104" t="s">
        <v>24</v>
      </c>
      <c r="O390" s="104" t="s">
        <v>25</v>
      </c>
      <c r="P390" s="104" t="s">
        <v>155</v>
      </c>
      <c r="Q390" s="104">
        <v>46116.6090277778</v>
      </c>
      <c r="R390" s="104">
        <v>46116.6090277778</v>
      </c>
      <c r="S390" s="114"/>
      <c r="T390" s="114"/>
    </row>
    <row r="391" s="102" customFormat="1" ht="15" spans="1:20">
      <c r="A391" s="104" t="s">
        <v>22</v>
      </c>
      <c r="B391" s="104" t="s">
        <v>91</v>
      </c>
      <c r="C391" s="104" t="s">
        <v>632</v>
      </c>
      <c r="D391" s="104" t="s">
        <v>93</v>
      </c>
      <c r="E391" s="114"/>
      <c r="F391" s="114"/>
      <c r="G391" s="104">
        <v>12345678911111</v>
      </c>
      <c r="H391" s="104">
        <v>4040002</v>
      </c>
      <c r="I391" s="104">
        <v>704</v>
      </c>
      <c r="J391" s="104">
        <v>704</v>
      </c>
      <c r="K391" s="104">
        <v>2</v>
      </c>
      <c r="L391" s="104">
        <v>702</v>
      </c>
      <c r="M391" s="104">
        <v>1543.192</v>
      </c>
      <c r="N391" s="104" t="s">
        <v>24</v>
      </c>
      <c r="O391" s="104" t="s">
        <v>25</v>
      </c>
      <c r="P391" s="104" t="s">
        <v>26</v>
      </c>
      <c r="Q391" s="104">
        <v>46116.6715277778</v>
      </c>
      <c r="R391" s="104">
        <v>46116.7118055556</v>
      </c>
      <c r="S391" s="104">
        <v>46116.9736111111</v>
      </c>
      <c r="T391" s="104" t="s">
        <v>633</v>
      </c>
    </row>
    <row r="392" s="102" customFormat="1" ht="15" spans="1:20">
      <c r="A392" s="104" t="s">
        <v>22</v>
      </c>
      <c r="B392" s="104" t="s">
        <v>175</v>
      </c>
      <c r="C392" s="104" t="s">
        <v>634</v>
      </c>
      <c r="D392" s="104" t="s">
        <v>177</v>
      </c>
      <c r="E392" s="114"/>
      <c r="F392" s="114"/>
      <c r="G392" s="104">
        <v>11111111111111</v>
      </c>
      <c r="H392" s="104">
        <v>4040003</v>
      </c>
      <c r="I392" s="104">
        <v>1344</v>
      </c>
      <c r="J392" s="104">
        <v>1344</v>
      </c>
      <c r="K392" s="104">
        <v>2</v>
      </c>
      <c r="L392" s="104">
        <v>1342</v>
      </c>
      <c r="M392" s="104">
        <v>2872.14</v>
      </c>
      <c r="N392" s="104" t="s">
        <v>24</v>
      </c>
      <c r="O392" s="104" t="s">
        <v>25</v>
      </c>
      <c r="P392" s="104" t="s">
        <v>26</v>
      </c>
      <c r="Q392" s="104">
        <v>46116.6972222222</v>
      </c>
      <c r="R392" s="104">
        <v>46116.7118055556</v>
      </c>
      <c r="S392" s="104">
        <v>46116.9736111111</v>
      </c>
      <c r="T392" s="104" t="s">
        <v>633</v>
      </c>
    </row>
    <row r="393" s="102" customFormat="1" ht="15" spans="1:20">
      <c r="A393" s="104" t="s">
        <v>22</v>
      </c>
      <c r="B393" s="104" t="s">
        <v>81</v>
      </c>
      <c r="C393" s="114"/>
      <c r="D393" s="114"/>
      <c r="E393" s="114"/>
      <c r="F393" s="114"/>
      <c r="G393" s="114"/>
      <c r="H393" s="104">
        <v>4043798</v>
      </c>
      <c r="I393" s="104">
        <v>19</v>
      </c>
      <c r="J393" s="104">
        <v>2</v>
      </c>
      <c r="K393" s="104">
        <v>2</v>
      </c>
      <c r="L393" s="104">
        <v>0</v>
      </c>
      <c r="M393" s="104">
        <v>0</v>
      </c>
      <c r="N393" s="104" t="s">
        <v>24</v>
      </c>
      <c r="O393" s="104" t="s">
        <v>25</v>
      </c>
      <c r="P393" s="104" t="s">
        <v>26</v>
      </c>
      <c r="Q393" s="104">
        <v>46116.7118055556</v>
      </c>
      <c r="R393" s="104">
        <v>46116.7118055556</v>
      </c>
      <c r="S393" s="104">
        <v>46116.9715277778</v>
      </c>
      <c r="T393" s="104" t="s">
        <v>635</v>
      </c>
    </row>
    <row r="394" s="102" customFormat="1" ht="15" spans="1:20">
      <c r="A394" s="104" t="s">
        <v>22</v>
      </c>
      <c r="B394" s="104" t="s">
        <v>81</v>
      </c>
      <c r="C394" s="114"/>
      <c r="D394" s="114"/>
      <c r="E394" s="114"/>
      <c r="F394" s="114"/>
      <c r="G394" s="114"/>
      <c r="H394" s="104">
        <v>4043649</v>
      </c>
      <c r="I394" s="104">
        <v>19</v>
      </c>
      <c r="J394" s="104">
        <v>8</v>
      </c>
      <c r="K394" s="104">
        <v>0</v>
      </c>
      <c r="L394" s="104">
        <v>8</v>
      </c>
      <c r="M394" s="104">
        <v>8.606</v>
      </c>
      <c r="N394" s="104" t="s">
        <v>24</v>
      </c>
      <c r="O394" s="104" t="s">
        <v>25</v>
      </c>
      <c r="P394" s="104" t="s">
        <v>26</v>
      </c>
      <c r="Q394" s="104">
        <v>46116.7118055556</v>
      </c>
      <c r="R394" s="104">
        <v>46116.7118055556</v>
      </c>
      <c r="S394" s="104">
        <v>46116.9715277778</v>
      </c>
      <c r="T394" s="104" t="s">
        <v>635</v>
      </c>
    </row>
    <row r="395" s="102" customFormat="1" ht="15" spans="1:20">
      <c r="A395" s="104" t="s">
        <v>22</v>
      </c>
      <c r="B395" s="104" t="s">
        <v>81</v>
      </c>
      <c r="C395" s="114"/>
      <c r="D395" s="114"/>
      <c r="E395" s="114"/>
      <c r="F395" s="114"/>
      <c r="G395" s="114"/>
      <c r="H395" s="104">
        <v>40401</v>
      </c>
      <c r="I395" s="104">
        <v>21</v>
      </c>
      <c r="J395" s="104">
        <v>7</v>
      </c>
      <c r="K395" s="104">
        <v>0</v>
      </c>
      <c r="L395" s="104">
        <v>7</v>
      </c>
      <c r="M395" s="104">
        <v>0.859</v>
      </c>
      <c r="N395" s="104" t="s">
        <v>24</v>
      </c>
      <c r="O395" s="104" t="s">
        <v>25</v>
      </c>
      <c r="P395" s="104" t="s">
        <v>26</v>
      </c>
      <c r="Q395" s="104">
        <v>46116.7118055556</v>
      </c>
      <c r="R395" s="104">
        <v>46116.7118055556</v>
      </c>
      <c r="S395" s="104">
        <v>46116.9715277778</v>
      </c>
      <c r="T395" s="104" t="s">
        <v>635</v>
      </c>
    </row>
    <row r="396" s="102" customFormat="1" ht="15" spans="1:20">
      <c r="A396" s="104" t="s">
        <v>22</v>
      </c>
      <c r="B396" s="104" t="s">
        <v>81</v>
      </c>
      <c r="C396" s="114"/>
      <c r="D396" s="114"/>
      <c r="E396" s="114"/>
      <c r="F396" s="114"/>
      <c r="G396" s="114"/>
      <c r="H396" s="104">
        <v>4043797</v>
      </c>
      <c r="I396" s="104">
        <v>82</v>
      </c>
      <c r="J396" s="104">
        <v>5</v>
      </c>
      <c r="K396" s="104">
        <v>0</v>
      </c>
      <c r="L396" s="104">
        <v>5</v>
      </c>
      <c r="M396" s="104">
        <v>28.144</v>
      </c>
      <c r="N396" s="104" t="s">
        <v>24</v>
      </c>
      <c r="O396" s="104" t="s">
        <v>25</v>
      </c>
      <c r="P396" s="104" t="s">
        <v>26</v>
      </c>
      <c r="Q396" s="104">
        <v>46116.7118055556</v>
      </c>
      <c r="R396" s="104">
        <v>46116.7118055556</v>
      </c>
      <c r="S396" s="104">
        <v>46116.9715277778</v>
      </c>
      <c r="T396" s="104" t="s">
        <v>635</v>
      </c>
    </row>
    <row r="397" s="102" customFormat="1" ht="15" spans="1:20">
      <c r="A397" s="104" t="s">
        <v>22</v>
      </c>
      <c r="B397" s="104" t="s">
        <v>83</v>
      </c>
      <c r="C397" s="114"/>
      <c r="D397" s="114"/>
      <c r="E397" s="114"/>
      <c r="F397" s="114"/>
      <c r="G397" s="114"/>
      <c r="H397" s="104">
        <v>4043651</v>
      </c>
      <c r="I397" s="104">
        <v>15</v>
      </c>
      <c r="J397" s="104">
        <v>4</v>
      </c>
      <c r="K397" s="104">
        <v>1</v>
      </c>
      <c r="L397" s="104">
        <v>3</v>
      </c>
      <c r="M397" s="104">
        <v>7.584</v>
      </c>
      <c r="N397" s="104" t="s">
        <v>24</v>
      </c>
      <c r="O397" s="104" t="s">
        <v>25</v>
      </c>
      <c r="P397" s="104" t="s">
        <v>26</v>
      </c>
      <c r="Q397" s="104">
        <v>46116.7118055556</v>
      </c>
      <c r="R397" s="104">
        <v>46116.7118055556</v>
      </c>
      <c r="S397" s="104">
        <v>46116.7909722222</v>
      </c>
      <c r="T397" s="104" t="s">
        <v>603</v>
      </c>
    </row>
    <row r="398" s="102" customFormat="1" ht="15" spans="1:20">
      <c r="A398" s="104" t="s">
        <v>22</v>
      </c>
      <c r="B398" s="104" t="s">
        <v>99</v>
      </c>
      <c r="C398" s="104" t="s">
        <v>99</v>
      </c>
      <c r="D398" s="104" t="s">
        <v>29</v>
      </c>
      <c r="E398" s="114"/>
      <c r="F398" s="114"/>
      <c r="G398" s="114"/>
      <c r="H398" s="104" t="s">
        <v>99</v>
      </c>
      <c r="I398" s="104">
        <v>9862</v>
      </c>
      <c r="J398" s="104">
        <v>9862</v>
      </c>
      <c r="K398" s="104">
        <v>0</v>
      </c>
      <c r="L398" s="104">
        <v>34</v>
      </c>
      <c r="M398" s="104">
        <v>20506.814</v>
      </c>
      <c r="N398" s="104" t="s">
        <v>24</v>
      </c>
      <c r="O398" s="104" t="s">
        <v>25</v>
      </c>
      <c r="P398" s="104" t="s">
        <v>636</v>
      </c>
      <c r="Q398" s="114"/>
      <c r="R398" s="104">
        <v>46116.0173611111</v>
      </c>
      <c r="S398" s="114"/>
      <c r="T398" s="114"/>
    </row>
    <row r="399" s="102" customFormat="1" ht="15" spans="1:20">
      <c r="A399" s="104" t="s">
        <v>22</v>
      </c>
      <c r="B399" s="104" t="s">
        <v>362</v>
      </c>
      <c r="C399" s="114"/>
      <c r="D399" s="114"/>
      <c r="E399" s="114"/>
      <c r="F399" s="114"/>
      <c r="G399" s="114"/>
      <c r="H399" s="104" t="s">
        <v>97</v>
      </c>
      <c r="I399" s="104">
        <v>180713</v>
      </c>
      <c r="J399" s="104">
        <v>5912</v>
      </c>
      <c r="K399" s="104">
        <v>0</v>
      </c>
      <c r="L399" s="104">
        <v>5912</v>
      </c>
      <c r="M399" s="104">
        <v>85481.804</v>
      </c>
      <c r="N399" s="104" t="s">
        <v>24</v>
      </c>
      <c r="O399" s="104" t="s">
        <v>70</v>
      </c>
      <c r="P399" s="104" t="s">
        <v>637</v>
      </c>
      <c r="Q399" s="114"/>
      <c r="R399" s="104">
        <v>46116.01875</v>
      </c>
      <c r="S399" s="114"/>
      <c r="T399" s="114"/>
    </row>
    <row r="400" s="102" customFormat="1" ht="15" spans="1:20">
      <c r="A400" s="104" t="s">
        <v>22</v>
      </c>
      <c r="B400" s="104" t="s">
        <v>101</v>
      </c>
      <c r="C400" s="104" t="s">
        <v>638</v>
      </c>
      <c r="D400" s="104" t="s">
        <v>639</v>
      </c>
      <c r="E400" s="104" t="s">
        <v>640</v>
      </c>
      <c r="F400" s="104" t="s">
        <v>641</v>
      </c>
      <c r="G400" s="114"/>
      <c r="H400" s="104">
        <v>4030001</v>
      </c>
      <c r="I400" s="104">
        <v>17314</v>
      </c>
      <c r="J400" s="104">
        <v>2719</v>
      </c>
      <c r="K400" s="104">
        <v>1204</v>
      </c>
      <c r="L400" s="104">
        <v>1515</v>
      </c>
      <c r="M400" s="104">
        <v>10688.01</v>
      </c>
      <c r="N400" s="104" t="s">
        <v>24</v>
      </c>
      <c r="O400" s="104" t="s">
        <v>70</v>
      </c>
      <c r="P400" s="104" t="s">
        <v>106</v>
      </c>
      <c r="Q400" s="114"/>
      <c r="R400" s="104">
        <v>46116.0590277778</v>
      </c>
      <c r="S400" s="114"/>
      <c r="T400" s="114"/>
    </row>
    <row r="401" s="102" customFormat="1" ht="15" spans="1:20">
      <c r="A401" s="104" t="s">
        <v>22</v>
      </c>
      <c r="B401" s="104" t="s">
        <v>107</v>
      </c>
      <c r="C401" s="104" t="s">
        <v>642</v>
      </c>
      <c r="D401" s="104" t="s">
        <v>643</v>
      </c>
      <c r="E401" s="104" t="s">
        <v>644</v>
      </c>
      <c r="F401" s="104" t="s">
        <v>645</v>
      </c>
      <c r="G401" s="114"/>
      <c r="H401" s="104">
        <v>4030001</v>
      </c>
      <c r="I401" s="104">
        <v>21942</v>
      </c>
      <c r="J401" s="104">
        <v>2820</v>
      </c>
      <c r="K401" s="104">
        <v>639</v>
      </c>
      <c r="L401" s="104">
        <v>2181</v>
      </c>
      <c r="M401" s="104">
        <v>11445.42</v>
      </c>
      <c r="N401" s="104" t="s">
        <v>24</v>
      </c>
      <c r="O401" s="104" t="s">
        <v>70</v>
      </c>
      <c r="P401" s="104" t="s">
        <v>106</v>
      </c>
      <c r="Q401" s="114"/>
      <c r="R401" s="104">
        <v>46116.0590277778</v>
      </c>
      <c r="S401" s="114"/>
      <c r="T401" s="114"/>
    </row>
    <row r="402" s="102" customFormat="1" ht="15" spans="1:20">
      <c r="A402" s="104" t="s">
        <v>22</v>
      </c>
      <c r="B402" s="104" t="s">
        <v>121</v>
      </c>
      <c r="C402" s="104" t="s">
        <v>646</v>
      </c>
      <c r="D402" s="104" t="s">
        <v>374</v>
      </c>
      <c r="E402" s="104" t="s">
        <v>375</v>
      </c>
      <c r="F402" s="104" t="s">
        <v>376</v>
      </c>
      <c r="G402" s="114"/>
      <c r="H402" s="104">
        <v>4040001</v>
      </c>
      <c r="I402" s="104">
        <v>14713</v>
      </c>
      <c r="J402" s="104">
        <v>2882</v>
      </c>
      <c r="K402" s="104">
        <v>1300</v>
      </c>
      <c r="L402" s="104">
        <v>1582</v>
      </c>
      <c r="M402" s="104">
        <v>11010.448</v>
      </c>
      <c r="N402" s="104" t="s">
        <v>24</v>
      </c>
      <c r="O402" s="104" t="s">
        <v>70</v>
      </c>
      <c r="P402" s="104" t="s">
        <v>106</v>
      </c>
      <c r="Q402" s="104">
        <v>46116.0902777778</v>
      </c>
      <c r="R402" s="104">
        <v>46116.1284722222</v>
      </c>
      <c r="S402" s="104">
        <v>46116.1722222222</v>
      </c>
      <c r="T402" s="104" t="s">
        <v>456</v>
      </c>
    </row>
    <row r="403" s="102" customFormat="1" ht="15" spans="1:20">
      <c r="A403" s="104" t="s">
        <v>22</v>
      </c>
      <c r="B403" s="104" t="s">
        <v>113</v>
      </c>
      <c r="C403" s="104" t="s">
        <v>647</v>
      </c>
      <c r="D403" s="104" t="s">
        <v>115</v>
      </c>
      <c r="E403" s="114"/>
      <c r="F403" s="114"/>
      <c r="G403" s="114"/>
      <c r="H403" s="104">
        <v>4030001</v>
      </c>
      <c r="I403" s="104">
        <v>1030</v>
      </c>
      <c r="J403" s="104">
        <v>429</v>
      </c>
      <c r="K403" s="104">
        <v>5</v>
      </c>
      <c r="L403" s="104">
        <v>424</v>
      </c>
      <c r="M403" s="104">
        <v>1586.859</v>
      </c>
      <c r="N403" s="104" t="s">
        <v>24</v>
      </c>
      <c r="O403" s="104" t="s">
        <v>70</v>
      </c>
      <c r="P403" s="104" t="s">
        <v>106</v>
      </c>
      <c r="Q403" s="104">
        <v>46116.1305555556</v>
      </c>
      <c r="R403" s="104">
        <v>46116.1354166667</v>
      </c>
      <c r="S403" s="104">
        <v>46116.1576388889</v>
      </c>
      <c r="T403" s="104" t="s">
        <v>200</v>
      </c>
    </row>
    <row r="404" s="102" customFormat="1" ht="15" spans="1:20">
      <c r="A404" s="104" t="s">
        <v>22</v>
      </c>
      <c r="B404" s="104" t="s">
        <v>117</v>
      </c>
      <c r="C404" s="104" t="s">
        <v>648</v>
      </c>
      <c r="D404" s="104" t="s">
        <v>371</v>
      </c>
      <c r="E404" s="114"/>
      <c r="F404" s="114"/>
      <c r="G404" s="114"/>
      <c r="H404" s="104">
        <v>4040001</v>
      </c>
      <c r="I404" s="104">
        <v>4984</v>
      </c>
      <c r="J404" s="104">
        <v>1844</v>
      </c>
      <c r="K404" s="104">
        <v>98</v>
      </c>
      <c r="L404" s="104">
        <v>1746</v>
      </c>
      <c r="M404" s="104">
        <v>6905.499</v>
      </c>
      <c r="N404" s="104" t="s">
        <v>24</v>
      </c>
      <c r="O404" s="104" t="s">
        <v>70</v>
      </c>
      <c r="P404" s="104" t="s">
        <v>106</v>
      </c>
      <c r="Q404" s="104">
        <v>46116.1458333333</v>
      </c>
      <c r="R404" s="104">
        <v>46116.1583333333</v>
      </c>
      <c r="S404" s="104">
        <v>46116.1902777778</v>
      </c>
      <c r="T404" s="104" t="s">
        <v>389</v>
      </c>
    </row>
    <row r="405" s="102" customFormat="1" ht="15" spans="1:20">
      <c r="A405" s="104" t="s">
        <v>22</v>
      </c>
      <c r="B405" s="104" t="s">
        <v>129</v>
      </c>
      <c r="C405" s="114"/>
      <c r="D405" s="104" t="s">
        <v>29</v>
      </c>
      <c r="E405" s="114"/>
      <c r="F405" s="114"/>
      <c r="G405" s="114"/>
      <c r="H405" s="104">
        <v>4041841</v>
      </c>
      <c r="I405" s="104">
        <v>51</v>
      </c>
      <c r="J405" s="104">
        <v>51</v>
      </c>
      <c r="K405" s="104">
        <v>0</v>
      </c>
      <c r="L405" s="104">
        <v>51</v>
      </c>
      <c r="M405" s="104">
        <v>0</v>
      </c>
      <c r="N405" s="104" t="s">
        <v>24</v>
      </c>
      <c r="O405" s="104" t="s">
        <v>25</v>
      </c>
      <c r="P405" s="104" t="s">
        <v>106</v>
      </c>
      <c r="Q405" s="104">
        <v>46116.2097222222</v>
      </c>
      <c r="R405" s="104">
        <v>46116.2097222222</v>
      </c>
      <c r="S405" s="104">
        <v>46116.2298611111</v>
      </c>
      <c r="T405" s="104" t="s">
        <v>541</v>
      </c>
    </row>
    <row r="406" s="102" customFormat="1" ht="15" spans="1:20">
      <c r="A406" s="104" t="s">
        <v>22</v>
      </c>
      <c r="B406" s="104" t="s">
        <v>28</v>
      </c>
      <c r="C406" s="114"/>
      <c r="D406" s="104" t="s">
        <v>29</v>
      </c>
      <c r="E406" s="114"/>
      <c r="F406" s="114"/>
      <c r="G406" s="114"/>
      <c r="H406" s="104">
        <v>4042102</v>
      </c>
      <c r="I406" s="104">
        <v>0</v>
      </c>
      <c r="J406" s="104">
        <v>87</v>
      </c>
      <c r="K406" s="104">
        <v>0</v>
      </c>
      <c r="L406" s="104">
        <v>87</v>
      </c>
      <c r="M406" s="104">
        <v>0</v>
      </c>
      <c r="N406" s="104" t="s">
        <v>24</v>
      </c>
      <c r="O406" s="104" t="s">
        <v>25</v>
      </c>
      <c r="P406" s="104" t="s">
        <v>106</v>
      </c>
      <c r="Q406" s="104">
        <v>46116.2291666667</v>
      </c>
      <c r="R406" s="104">
        <v>46116.2291666667</v>
      </c>
      <c r="S406" s="104">
        <v>46116.2298611111</v>
      </c>
      <c r="T406" s="104" t="s">
        <v>499</v>
      </c>
    </row>
    <row r="407" s="102" customFormat="1" ht="15" spans="1:20">
      <c r="A407" s="104" t="s">
        <v>22</v>
      </c>
      <c r="B407" s="104" t="s">
        <v>142</v>
      </c>
      <c r="C407" s="104" t="s">
        <v>649</v>
      </c>
      <c r="D407" s="104" t="s">
        <v>385</v>
      </c>
      <c r="E407" s="104" t="s">
        <v>386</v>
      </c>
      <c r="F407" s="104" t="s">
        <v>387</v>
      </c>
      <c r="G407" s="114"/>
      <c r="H407" s="104">
        <v>4040001</v>
      </c>
      <c r="I407" s="104">
        <v>16318</v>
      </c>
      <c r="J407" s="104">
        <v>3746</v>
      </c>
      <c r="K407" s="104">
        <v>4</v>
      </c>
      <c r="L407" s="104">
        <v>3742</v>
      </c>
      <c r="M407" s="104">
        <v>13490.1</v>
      </c>
      <c r="N407" s="104" t="s">
        <v>24</v>
      </c>
      <c r="O407" s="104" t="s">
        <v>70</v>
      </c>
      <c r="P407" s="104" t="s">
        <v>106</v>
      </c>
      <c r="Q407" s="104">
        <v>46116.2326388889</v>
      </c>
      <c r="R407" s="104">
        <v>46116.2388888889</v>
      </c>
      <c r="S407" s="104">
        <v>46116.3145833333</v>
      </c>
      <c r="T407" s="104" t="s">
        <v>75</v>
      </c>
    </row>
    <row r="408" s="102" customFormat="1" ht="15" spans="1:20">
      <c r="A408" s="104" t="s">
        <v>22</v>
      </c>
      <c r="B408" s="104" t="s">
        <v>28</v>
      </c>
      <c r="C408" s="114"/>
      <c r="D408" s="104" t="s">
        <v>29</v>
      </c>
      <c r="E408" s="114"/>
      <c r="F408" s="114"/>
      <c r="G408" s="114"/>
      <c r="H408" s="104">
        <v>4042103</v>
      </c>
      <c r="I408" s="104">
        <v>0</v>
      </c>
      <c r="J408" s="104">
        <v>32</v>
      </c>
      <c r="K408" s="104">
        <v>0</v>
      </c>
      <c r="L408" s="104">
        <v>32</v>
      </c>
      <c r="M408" s="104">
        <v>0</v>
      </c>
      <c r="N408" s="104" t="s">
        <v>24</v>
      </c>
      <c r="O408" s="104" t="s">
        <v>25</v>
      </c>
      <c r="P408" s="104" t="s">
        <v>106</v>
      </c>
      <c r="Q408" s="104">
        <v>46116.2659722222</v>
      </c>
      <c r="R408" s="104">
        <v>46116.2659722222</v>
      </c>
      <c r="S408" s="104">
        <v>46116.5451388889</v>
      </c>
      <c r="T408" s="104" t="s">
        <v>650</v>
      </c>
    </row>
    <row r="409" s="102" customFormat="1" ht="15" spans="1:20">
      <c r="A409" s="104" t="s">
        <v>22</v>
      </c>
      <c r="B409" s="104" t="s">
        <v>132</v>
      </c>
      <c r="C409" s="104" t="s">
        <v>651</v>
      </c>
      <c r="D409" s="104" t="s">
        <v>134</v>
      </c>
      <c r="E409" s="114"/>
      <c r="F409" s="114"/>
      <c r="G409" s="114"/>
      <c r="H409" s="104">
        <v>4030001</v>
      </c>
      <c r="I409" s="104">
        <v>988</v>
      </c>
      <c r="J409" s="104">
        <v>740</v>
      </c>
      <c r="K409" s="104">
        <v>1</v>
      </c>
      <c r="L409" s="104">
        <v>739</v>
      </c>
      <c r="M409" s="104">
        <v>2697.9</v>
      </c>
      <c r="N409" s="104" t="s">
        <v>24</v>
      </c>
      <c r="O409" s="104" t="s">
        <v>70</v>
      </c>
      <c r="P409" s="104" t="s">
        <v>106</v>
      </c>
      <c r="Q409" s="104">
        <v>46116.26875</v>
      </c>
      <c r="R409" s="104">
        <v>46116.2694444444</v>
      </c>
      <c r="S409" s="104">
        <v>46116.3145833333</v>
      </c>
      <c r="T409" s="104" t="s">
        <v>584</v>
      </c>
    </row>
    <row r="410" s="102" customFormat="1" ht="15" spans="1:20">
      <c r="A410" s="104" t="s">
        <v>22</v>
      </c>
      <c r="B410" s="104" t="s">
        <v>148</v>
      </c>
      <c r="C410" s="104" t="s">
        <v>652</v>
      </c>
      <c r="D410" s="104" t="s">
        <v>150</v>
      </c>
      <c r="E410" s="104" t="s">
        <v>151</v>
      </c>
      <c r="F410" s="104" t="s">
        <v>152</v>
      </c>
      <c r="G410" s="114"/>
      <c r="H410" s="104">
        <v>4030001</v>
      </c>
      <c r="I410" s="104">
        <v>7363</v>
      </c>
      <c r="J410" s="104">
        <v>1365</v>
      </c>
      <c r="K410" s="104">
        <v>22</v>
      </c>
      <c r="L410" s="104">
        <v>1343</v>
      </c>
      <c r="M410" s="104">
        <v>5161.978</v>
      </c>
      <c r="N410" s="104" t="s">
        <v>24</v>
      </c>
      <c r="O410" s="104" t="s">
        <v>70</v>
      </c>
      <c r="P410" s="104" t="s">
        <v>26</v>
      </c>
      <c r="Q410" s="104">
        <v>46116.29375</v>
      </c>
      <c r="R410" s="104">
        <v>46116.3</v>
      </c>
      <c r="S410" s="104">
        <v>46116.3319444444</v>
      </c>
      <c r="T410" s="104" t="s">
        <v>510</v>
      </c>
    </row>
    <row r="411" s="102" customFormat="1" ht="15" spans="1:20">
      <c r="A411" s="104" t="s">
        <v>22</v>
      </c>
      <c r="B411" s="104" t="s">
        <v>138</v>
      </c>
      <c r="C411" s="104" t="s">
        <v>653</v>
      </c>
      <c r="D411" s="104" t="s">
        <v>140</v>
      </c>
      <c r="E411" s="114"/>
      <c r="F411" s="114"/>
      <c r="G411" s="114"/>
      <c r="H411" s="104">
        <v>4040001</v>
      </c>
      <c r="I411" s="104">
        <v>3605</v>
      </c>
      <c r="J411" s="104">
        <v>938</v>
      </c>
      <c r="K411" s="104">
        <v>3</v>
      </c>
      <c r="L411" s="104">
        <v>935</v>
      </c>
      <c r="M411" s="104">
        <v>3716.689</v>
      </c>
      <c r="N411" s="104" t="s">
        <v>24</v>
      </c>
      <c r="O411" s="104" t="s">
        <v>70</v>
      </c>
      <c r="P411" s="104" t="s">
        <v>26</v>
      </c>
      <c r="Q411" s="104">
        <v>46116.3041666667</v>
      </c>
      <c r="R411" s="104">
        <v>46116.3145833333</v>
      </c>
      <c r="S411" s="104">
        <v>46116.3319444444</v>
      </c>
      <c r="T411" s="104" t="s">
        <v>464</v>
      </c>
    </row>
    <row r="412" s="102" customFormat="1" ht="30" spans="1:20">
      <c r="A412" s="104" t="s">
        <v>22</v>
      </c>
      <c r="B412" s="104" t="s">
        <v>154</v>
      </c>
      <c r="C412" s="114"/>
      <c r="D412" s="104" t="s">
        <v>29</v>
      </c>
      <c r="E412" s="114"/>
      <c r="F412" s="114"/>
      <c r="G412" s="114"/>
      <c r="H412" s="104">
        <v>4041018</v>
      </c>
      <c r="I412" s="104">
        <v>362</v>
      </c>
      <c r="J412" s="104">
        <v>362</v>
      </c>
      <c r="K412" s="104">
        <v>0</v>
      </c>
      <c r="L412" s="104">
        <v>362</v>
      </c>
      <c r="M412" s="104">
        <v>182.646</v>
      </c>
      <c r="N412" s="104" t="s">
        <v>24</v>
      </c>
      <c r="O412" s="104" t="s">
        <v>25</v>
      </c>
      <c r="P412" s="104" t="s">
        <v>155</v>
      </c>
      <c r="Q412" s="104">
        <v>46116.3576388889</v>
      </c>
      <c r="R412" s="104">
        <v>46116.3576388889</v>
      </c>
      <c r="S412" s="114"/>
      <c r="T412" s="114"/>
    </row>
    <row r="413" s="102" customFormat="1" ht="15" spans="1:20">
      <c r="A413" s="104" t="s">
        <v>22</v>
      </c>
      <c r="B413" s="104" t="s">
        <v>156</v>
      </c>
      <c r="C413" s="104" t="s">
        <v>654</v>
      </c>
      <c r="D413" s="104" t="s">
        <v>655</v>
      </c>
      <c r="E413" s="104" t="s">
        <v>656</v>
      </c>
      <c r="F413" s="104" t="s">
        <v>657</v>
      </c>
      <c r="G413" s="114"/>
      <c r="H413" s="104">
        <v>4040002</v>
      </c>
      <c r="I413" s="104">
        <v>9598</v>
      </c>
      <c r="J413" s="104">
        <v>2325</v>
      </c>
      <c r="K413" s="104">
        <v>16</v>
      </c>
      <c r="L413" s="104">
        <v>2309</v>
      </c>
      <c r="M413" s="104">
        <v>8042.818</v>
      </c>
      <c r="N413" s="104" t="s">
        <v>24</v>
      </c>
      <c r="O413" s="104" t="s">
        <v>70</v>
      </c>
      <c r="P413" s="104" t="s">
        <v>26</v>
      </c>
      <c r="Q413" s="104">
        <v>46116.3604166667</v>
      </c>
      <c r="R413" s="104">
        <v>46116.3645833333</v>
      </c>
      <c r="S413" s="104">
        <v>46116.4125</v>
      </c>
      <c r="T413" s="104" t="s">
        <v>419</v>
      </c>
    </row>
    <row r="414" s="102" customFormat="1" ht="15" spans="1:20">
      <c r="A414" s="104" t="s">
        <v>22</v>
      </c>
      <c r="B414" s="104" t="s">
        <v>159</v>
      </c>
      <c r="C414" s="104" t="s">
        <v>658</v>
      </c>
      <c r="D414" s="104" t="s">
        <v>161</v>
      </c>
      <c r="E414" s="114"/>
      <c r="F414" s="114"/>
      <c r="G414" s="114"/>
      <c r="H414" s="104">
        <v>4040001</v>
      </c>
      <c r="I414" s="104">
        <v>243</v>
      </c>
      <c r="J414" s="104">
        <v>243</v>
      </c>
      <c r="K414" s="104">
        <v>0</v>
      </c>
      <c r="L414" s="104">
        <v>243</v>
      </c>
      <c r="M414" s="104">
        <v>0</v>
      </c>
      <c r="N414" s="104" t="s">
        <v>24</v>
      </c>
      <c r="O414" s="104" t="s">
        <v>70</v>
      </c>
      <c r="P414" s="104" t="s">
        <v>26</v>
      </c>
      <c r="Q414" s="104">
        <v>46116.4104166667</v>
      </c>
      <c r="R414" s="104">
        <v>46116.4125</v>
      </c>
      <c r="S414" s="104">
        <v>46116.4201388889</v>
      </c>
      <c r="T414" s="104" t="s">
        <v>381</v>
      </c>
    </row>
    <row r="415" s="102" customFormat="1" ht="15" spans="1:20">
      <c r="A415" s="104" t="s">
        <v>22</v>
      </c>
      <c r="B415" s="104" t="s">
        <v>28</v>
      </c>
      <c r="C415" s="114"/>
      <c r="D415" s="104" t="s">
        <v>29</v>
      </c>
      <c r="E415" s="114"/>
      <c r="F415" s="114"/>
      <c r="G415" s="114"/>
      <c r="H415" s="104">
        <v>4042104</v>
      </c>
      <c r="I415" s="104">
        <v>0</v>
      </c>
      <c r="J415" s="104">
        <v>108</v>
      </c>
      <c r="K415" s="104">
        <v>0</v>
      </c>
      <c r="L415" s="104">
        <v>108</v>
      </c>
      <c r="M415" s="104">
        <v>0</v>
      </c>
      <c r="N415" s="104" t="s">
        <v>24</v>
      </c>
      <c r="O415" s="104" t="s">
        <v>25</v>
      </c>
      <c r="P415" s="104" t="s">
        <v>26</v>
      </c>
      <c r="Q415" s="104">
        <v>46116.4625</v>
      </c>
      <c r="R415" s="104">
        <v>46116.4625</v>
      </c>
      <c r="S415" s="104">
        <v>46116.5451388889</v>
      </c>
      <c r="T415" s="104" t="s">
        <v>287</v>
      </c>
    </row>
    <row r="416" s="102" customFormat="1" ht="15" spans="1:20">
      <c r="A416" s="104" t="s">
        <v>22</v>
      </c>
      <c r="B416" s="104" t="s">
        <v>175</v>
      </c>
      <c r="C416" s="104" t="s">
        <v>659</v>
      </c>
      <c r="D416" s="104" t="s">
        <v>177</v>
      </c>
      <c r="E416" s="114"/>
      <c r="F416" s="114"/>
      <c r="G416" s="104">
        <v>11111111111111</v>
      </c>
      <c r="H416" s="104">
        <v>4040002</v>
      </c>
      <c r="I416" s="104">
        <v>2590</v>
      </c>
      <c r="J416" s="104">
        <v>2590</v>
      </c>
      <c r="K416" s="104">
        <v>833</v>
      </c>
      <c r="L416" s="104">
        <v>1757</v>
      </c>
      <c r="M416" s="104">
        <v>5259.04</v>
      </c>
      <c r="N416" s="104" t="s">
        <v>24</v>
      </c>
      <c r="O416" s="104" t="s">
        <v>25</v>
      </c>
      <c r="P416" s="104" t="s">
        <v>26</v>
      </c>
      <c r="Q416" s="104">
        <v>46116.45</v>
      </c>
      <c r="R416" s="104">
        <v>46116.4694444444</v>
      </c>
      <c r="S416" s="104">
        <v>46116.5451388889</v>
      </c>
      <c r="T416" s="104" t="s">
        <v>75</v>
      </c>
    </row>
    <row r="417" s="102" customFormat="1" ht="15" spans="1:20">
      <c r="A417" s="104" t="s">
        <v>22</v>
      </c>
      <c r="B417" s="104" t="s">
        <v>142</v>
      </c>
      <c r="C417" s="104" t="s">
        <v>660</v>
      </c>
      <c r="D417" s="104" t="s">
        <v>144</v>
      </c>
      <c r="E417" s="104" t="s">
        <v>145</v>
      </c>
      <c r="F417" s="104" t="s">
        <v>146</v>
      </c>
      <c r="G417" s="114"/>
      <c r="H417" s="104">
        <v>4050001</v>
      </c>
      <c r="I417" s="104">
        <v>15227</v>
      </c>
      <c r="J417" s="104">
        <v>3829</v>
      </c>
      <c r="K417" s="104">
        <v>4</v>
      </c>
      <c r="L417" s="104">
        <v>3825</v>
      </c>
      <c r="M417" s="104">
        <v>12308.562</v>
      </c>
      <c r="N417" s="104" t="s">
        <v>24</v>
      </c>
      <c r="O417" s="104" t="s">
        <v>70</v>
      </c>
      <c r="P417" s="104" t="s">
        <v>271</v>
      </c>
      <c r="Q417" s="104">
        <v>46117.4013888889</v>
      </c>
      <c r="R417" s="104">
        <v>46117.4034722222</v>
      </c>
      <c r="S417" s="104">
        <v>46117.48125</v>
      </c>
      <c r="T417" s="104" t="s">
        <v>605</v>
      </c>
    </row>
    <row r="418" s="102" customFormat="1" ht="15" spans="1:20">
      <c r="A418" s="104" t="s">
        <v>22</v>
      </c>
      <c r="B418" s="104" t="s">
        <v>28</v>
      </c>
      <c r="C418" s="114"/>
      <c r="D418" s="104" t="s">
        <v>29</v>
      </c>
      <c r="E418" s="114"/>
      <c r="F418" s="114"/>
      <c r="G418" s="114"/>
      <c r="H418" s="104">
        <v>4052108</v>
      </c>
      <c r="I418" s="104">
        <v>0</v>
      </c>
      <c r="J418" s="104">
        <v>114</v>
      </c>
      <c r="K418" s="104">
        <v>1</v>
      </c>
      <c r="L418" s="104">
        <v>113</v>
      </c>
      <c r="M418" s="104">
        <v>0</v>
      </c>
      <c r="N418" s="104" t="s">
        <v>24</v>
      </c>
      <c r="O418" s="104" t="s">
        <v>25</v>
      </c>
      <c r="P418" s="104" t="s">
        <v>271</v>
      </c>
      <c r="Q418" s="104">
        <v>46117.4291666667</v>
      </c>
      <c r="R418" s="104">
        <v>46117.4291666667</v>
      </c>
      <c r="S418" s="104">
        <v>46117.48125</v>
      </c>
      <c r="T418" s="104" t="s">
        <v>414</v>
      </c>
    </row>
    <row r="419" s="102" customFormat="1" ht="15" spans="1:20">
      <c r="A419" s="104" t="s">
        <v>22</v>
      </c>
      <c r="B419" s="104" t="s">
        <v>127</v>
      </c>
      <c r="C419" s="114"/>
      <c r="D419" s="104" t="s">
        <v>29</v>
      </c>
      <c r="E419" s="114"/>
      <c r="F419" s="114"/>
      <c r="G419" s="114"/>
      <c r="H419" s="104">
        <v>4051858</v>
      </c>
      <c r="I419" s="104">
        <v>290</v>
      </c>
      <c r="J419" s="104">
        <v>31</v>
      </c>
      <c r="K419" s="104">
        <v>3</v>
      </c>
      <c r="L419" s="104">
        <v>28</v>
      </c>
      <c r="M419" s="104">
        <v>39.216</v>
      </c>
      <c r="N419" s="104" t="s">
        <v>24</v>
      </c>
      <c r="O419" s="104" t="s">
        <v>25</v>
      </c>
      <c r="P419" s="104" t="s">
        <v>271</v>
      </c>
      <c r="Q419" s="104">
        <v>46117.4402777778</v>
      </c>
      <c r="R419" s="104">
        <v>46117.4402777778</v>
      </c>
      <c r="S419" s="104">
        <v>46117.4819444444</v>
      </c>
      <c r="T419" s="104" t="s">
        <v>403</v>
      </c>
    </row>
    <row r="420" s="102" customFormat="1" ht="15" spans="1:20">
      <c r="A420" s="104" t="s">
        <v>22</v>
      </c>
      <c r="B420" s="104" t="s">
        <v>23</v>
      </c>
      <c r="C420" s="114"/>
      <c r="D420" s="114"/>
      <c r="E420" s="114"/>
      <c r="F420" s="114"/>
      <c r="G420" s="114"/>
      <c r="H420" s="104">
        <v>4057323</v>
      </c>
      <c r="I420" s="104">
        <v>52</v>
      </c>
      <c r="J420" s="104">
        <v>1</v>
      </c>
      <c r="K420" s="104">
        <v>0</v>
      </c>
      <c r="L420" s="104">
        <v>1</v>
      </c>
      <c r="M420" s="104">
        <v>2.6</v>
      </c>
      <c r="N420" s="104" t="s">
        <v>24</v>
      </c>
      <c r="O420" s="104" t="s">
        <v>25</v>
      </c>
      <c r="P420" s="104" t="s">
        <v>271</v>
      </c>
      <c r="Q420" s="104">
        <v>46117.4569444444</v>
      </c>
      <c r="R420" s="104">
        <v>46117.4569444444</v>
      </c>
      <c r="S420" s="104">
        <v>46117.5222222222</v>
      </c>
      <c r="T420" s="104" t="s">
        <v>661</v>
      </c>
    </row>
    <row r="421" s="102" customFormat="1" ht="15" spans="1:20">
      <c r="A421" s="104" t="s">
        <v>22</v>
      </c>
      <c r="B421" s="104" t="s">
        <v>39</v>
      </c>
      <c r="C421" s="104" t="s">
        <v>662</v>
      </c>
      <c r="D421" s="104" t="s">
        <v>41</v>
      </c>
      <c r="E421" s="114"/>
      <c r="F421" s="114"/>
      <c r="G421" s="114"/>
      <c r="H421" s="104">
        <v>4050001</v>
      </c>
      <c r="I421" s="104">
        <v>297</v>
      </c>
      <c r="J421" s="104">
        <v>17</v>
      </c>
      <c r="K421" s="104">
        <v>15</v>
      </c>
      <c r="L421" s="104">
        <v>2</v>
      </c>
      <c r="M421" s="104">
        <v>134.008</v>
      </c>
      <c r="N421" s="104" t="s">
        <v>24</v>
      </c>
      <c r="O421" s="104" t="s">
        <v>25</v>
      </c>
      <c r="P421" s="104" t="s">
        <v>271</v>
      </c>
      <c r="Q421" s="104">
        <v>46117.4763888889</v>
      </c>
      <c r="R421" s="104">
        <v>46117.4805555556</v>
      </c>
      <c r="S421" s="104">
        <v>46117.5222222222</v>
      </c>
      <c r="T421" s="104" t="s">
        <v>537</v>
      </c>
    </row>
    <row r="422" s="102" customFormat="1" ht="15" spans="1:20">
      <c r="A422" s="104" t="s">
        <v>22</v>
      </c>
      <c r="B422" s="104" t="s">
        <v>36</v>
      </c>
      <c r="C422" s="104" t="s">
        <v>663</v>
      </c>
      <c r="D422" s="104" t="s">
        <v>38</v>
      </c>
      <c r="E422" s="114"/>
      <c r="F422" s="114"/>
      <c r="G422" s="114"/>
      <c r="H422" s="104">
        <v>4050001</v>
      </c>
      <c r="I422" s="104">
        <v>1649</v>
      </c>
      <c r="J422" s="104">
        <v>1649</v>
      </c>
      <c r="K422" s="104">
        <v>5</v>
      </c>
      <c r="L422" s="104">
        <v>1644</v>
      </c>
      <c r="M422" s="104">
        <v>867.692</v>
      </c>
      <c r="N422" s="104" t="s">
        <v>24</v>
      </c>
      <c r="O422" s="104" t="s">
        <v>25</v>
      </c>
      <c r="P422" s="104" t="s">
        <v>271</v>
      </c>
      <c r="Q422" s="104">
        <v>46117.4770833333</v>
      </c>
      <c r="R422" s="104">
        <v>46117.4805555556</v>
      </c>
      <c r="S422" s="104">
        <v>46117.8930555556</v>
      </c>
      <c r="T422" s="104" t="s">
        <v>664</v>
      </c>
    </row>
    <row r="423" s="102" customFormat="1" ht="15" spans="1:20">
      <c r="A423" s="104" t="s">
        <v>22</v>
      </c>
      <c r="B423" s="104" t="s">
        <v>42</v>
      </c>
      <c r="C423" s="104" t="s">
        <v>665</v>
      </c>
      <c r="D423" s="104" t="s">
        <v>44</v>
      </c>
      <c r="E423" s="114"/>
      <c r="F423" s="114"/>
      <c r="G423" s="114"/>
      <c r="H423" s="104">
        <v>4050001</v>
      </c>
      <c r="I423" s="104">
        <v>317</v>
      </c>
      <c r="J423" s="104">
        <v>309</v>
      </c>
      <c r="K423" s="104">
        <v>1</v>
      </c>
      <c r="L423" s="104">
        <v>308</v>
      </c>
      <c r="M423" s="104">
        <v>262.373</v>
      </c>
      <c r="N423" s="104" t="s">
        <v>24</v>
      </c>
      <c r="O423" s="104" t="s">
        <v>25</v>
      </c>
      <c r="P423" s="104" t="s">
        <v>271</v>
      </c>
      <c r="Q423" s="104">
        <v>46117.4791666667</v>
      </c>
      <c r="R423" s="104">
        <v>46117.4805555556</v>
      </c>
      <c r="S423" s="104">
        <v>46117.5229166667</v>
      </c>
      <c r="T423" s="104" t="s">
        <v>537</v>
      </c>
    </row>
    <row r="424" s="102" customFormat="1" ht="15" spans="1:20">
      <c r="A424" s="104" t="s">
        <v>22</v>
      </c>
      <c r="B424" s="104" t="s">
        <v>49</v>
      </c>
      <c r="C424" s="104" t="s">
        <v>666</v>
      </c>
      <c r="D424" s="104" t="s">
        <v>51</v>
      </c>
      <c r="E424" s="114"/>
      <c r="F424" s="114"/>
      <c r="G424" s="114"/>
      <c r="H424" s="104">
        <v>4050001</v>
      </c>
      <c r="I424" s="104">
        <v>14</v>
      </c>
      <c r="J424" s="104">
        <v>9</v>
      </c>
      <c r="K424" s="104">
        <v>3</v>
      </c>
      <c r="L424" s="104">
        <v>6</v>
      </c>
      <c r="M424" s="104">
        <v>6.65</v>
      </c>
      <c r="N424" s="104" t="s">
        <v>24</v>
      </c>
      <c r="O424" s="104" t="s">
        <v>25</v>
      </c>
      <c r="P424" s="104" t="s">
        <v>271</v>
      </c>
      <c r="Q424" s="104">
        <v>46117.4826388889</v>
      </c>
      <c r="R424" s="104">
        <v>46117.4868055556</v>
      </c>
      <c r="S424" s="104">
        <v>46117.5229166667</v>
      </c>
      <c r="T424" s="104" t="s">
        <v>196</v>
      </c>
    </row>
    <row r="425" s="102" customFormat="1" ht="15" spans="1:20">
      <c r="A425" s="104" t="s">
        <v>22</v>
      </c>
      <c r="B425" s="104" t="s">
        <v>175</v>
      </c>
      <c r="C425" s="104" t="s">
        <v>667</v>
      </c>
      <c r="D425" s="104" t="s">
        <v>177</v>
      </c>
      <c r="E425" s="114"/>
      <c r="F425" s="114"/>
      <c r="G425" s="104">
        <v>11111111111111</v>
      </c>
      <c r="H425" s="104">
        <v>4050002</v>
      </c>
      <c r="I425" s="104">
        <v>2451</v>
      </c>
      <c r="J425" s="104">
        <v>2451</v>
      </c>
      <c r="K425" s="104">
        <v>53</v>
      </c>
      <c r="L425" s="104">
        <v>2398</v>
      </c>
      <c r="M425" s="104">
        <v>5203.36</v>
      </c>
      <c r="N425" s="104" t="s">
        <v>24</v>
      </c>
      <c r="O425" s="104" t="s">
        <v>25</v>
      </c>
      <c r="P425" s="104" t="s">
        <v>271</v>
      </c>
      <c r="Q425" s="104">
        <v>46117.4493055556</v>
      </c>
      <c r="R425" s="104">
        <v>46117.4875</v>
      </c>
      <c r="S425" s="104">
        <v>46117.5236111111</v>
      </c>
      <c r="T425" s="104" t="s">
        <v>131</v>
      </c>
    </row>
    <row r="426" s="102" customFormat="1" ht="15" spans="1:20">
      <c r="A426" s="104" t="s">
        <v>22</v>
      </c>
      <c r="B426" s="104" t="s">
        <v>67</v>
      </c>
      <c r="C426" s="104" t="s">
        <v>668</v>
      </c>
      <c r="D426" s="104" t="s">
        <v>69</v>
      </c>
      <c r="E426" s="114"/>
      <c r="F426" s="114"/>
      <c r="G426" s="114"/>
      <c r="H426" s="104">
        <v>4050001</v>
      </c>
      <c r="I426" s="104">
        <v>1404</v>
      </c>
      <c r="J426" s="104">
        <v>266</v>
      </c>
      <c r="K426" s="104">
        <v>1</v>
      </c>
      <c r="L426" s="104">
        <v>265</v>
      </c>
      <c r="M426" s="104">
        <v>679.659</v>
      </c>
      <c r="N426" s="104" t="s">
        <v>24</v>
      </c>
      <c r="O426" s="104" t="s">
        <v>70</v>
      </c>
      <c r="P426" s="104" t="s">
        <v>271</v>
      </c>
      <c r="Q426" s="104">
        <v>46117.4875</v>
      </c>
      <c r="R426" s="104">
        <v>46117.4902777778</v>
      </c>
      <c r="S426" s="104">
        <v>46117.5243055556</v>
      </c>
      <c r="T426" s="104" t="s">
        <v>538</v>
      </c>
    </row>
    <row r="427" s="102" customFormat="1" ht="15" spans="1:20">
      <c r="A427" s="104" t="s">
        <v>22</v>
      </c>
      <c r="B427" s="104" t="s">
        <v>53</v>
      </c>
      <c r="C427" s="104" t="s">
        <v>669</v>
      </c>
      <c r="D427" s="104" t="s">
        <v>55</v>
      </c>
      <c r="E427" s="114"/>
      <c r="F427" s="114"/>
      <c r="G427" s="114"/>
      <c r="H427" s="104">
        <v>4050001</v>
      </c>
      <c r="I427" s="104">
        <v>64</v>
      </c>
      <c r="J427" s="104">
        <v>50</v>
      </c>
      <c r="K427" s="104">
        <v>2</v>
      </c>
      <c r="L427" s="104">
        <v>48</v>
      </c>
      <c r="M427" s="104">
        <v>223.027</v>
      </c>
      <c r="N427" s="104" t="s">
        <v>24</v>
      </c>
      <c r="O427" s="104" t="s">
        <v>25</v>
      </c>
      <c r="P427" s="104" t="s">
        <v>271</v>
      </c>
      <c r="Q427" s="104">
        <v>46117.4875</v>
      </c>
      <c r="R427" s="104">
        <v>46117.4902777778</v>
      </c>
      <c r="S427" s="104">
        <v>46117.5243055556</v>
      </c>
      <c r="T427" s="104" t="s">
        <v>538</v>
      </c>
    </row>
    <row r="428" s="102" customFormat="1" ht="15" spans="1:20">
      <c r="A428" s="104" t="s">
        <v>22</v>
      </c>
      <c r="B428" s="104" t="s">
        <v>76</v>
      </c>
      <c r="C428" s="104" t="s">
        <v>670</v>
      </c>
      <c r="D428" s="104" t="s">
        <v>627</v>
      </c>
      <c r="E428" s="104" t="s">
        <v>413</v>
      </c>
      <c r="F428" s="104" t="s">
        <v>79</v>
      </c>
      <c r="G428" s="114"/>
      <c r="H428" s="104">
        <v>4050001</v>
      </c>
      <c r="I428" s="104">
        <v>1603</v>
      </c>
      <c r="J428" s="104">
        <v>1400</v>
      </c>
      <c r="K428" s="104">
        <v>8</v>
      </c>
      <c r="L428" s="104">
        <v>1392</v>
      </c>
      <c r="M428" s="104">
        <v>3080.341</v>
      </c>
      <c r="N428" s="104" t="s">
        <v>24</v>
      </c>
      <c r="O428" s="104" t="s">
        <v>25</v>
      </c>
      <c r="P428" s="104" t="s">
        <v>271</v>
      </c>
      <c r="Q428" s="104">
        <v>46117.4916666667</v>
      </c>
      <c r="R428" s="104">
        <v>46117.49375</v>
      </c>
      <c r="S428" s="104">
        <v>46117.5243055556</v>
      </c>
      <c r="T428" s="104" t="s">
        <v>471</v>
      </c>
    </row>
    <row r="429" s="102" customFormat="1" ht="15" spans="1:20">
      <c r="A429" s="104" t="s">
        <v>22</v>
      </c>
      <c r="B429" s="104" t="s">
        <v>31</v>
      </c>
      <c r="C429" s="114"/>
      <c r="D429" s="114"/>
      <c r="E429" s="114"/>
      <c r="F429" s="114"/>
      <c r="G429" s="114"/>
      <c r="H429" s="104">
        <v>40501</v>
      </c>
      <c r="I429" s="104">
        <v>1</v>
      </c>
      <c r="J429" s="104">
        <v>1</v>
      </c>
      <c r="K429" s="104">
        <v>0</v>
      </c>
      <c r="L429" s="104">
        <v>1</v>
      </c>
      <c r="M429" s="104">
        <v>2.098</v>
      </c>
      <c r="N429" s="104" t="s">
        <v>24</v>
      </c>
      <c r="O429" s="104" t="s">
        <v>25</v>
      </c>
      <c r="P429" s="104" t="s">
        <v>271</v>
      </c>
      <c r="Q429" s="104">
        <v>46117.49375</v>
      </c>
      <c r="R429" s="104">
        <v>46117.49375</v>
      </c>
      <c r="S429" s="104">
        <v>46117.5263888889</v>
      </c>
      <c r="T429" s="104" t="s">
        <v>389</v>
      </c>
    </row>
    <row r="430" s="102" customFormat="1" ht="15" spans="1:20">
      <c r="A430" s="104" t="s">
        <v>22</v>
      </c>
      <c r="B430" s="104" t="s">
        <v>172</v>
      </c>
      <c r="C430" s="104" t="s">
        <v>671</v>
      </c>
      <c r="D430" s="104" t="s">
        <v>174</v>
      </c>
      <c r="E430" s="114"/>
      <c r="F430" s="114"/>
      <c r="G430" s="114"/>
      <c r="H430" s="104">
        <v>4050001</v>
      </c>
      <c r="I430" s="104">
        <v>84</v>
      </c>
      <c r="J430" s="104">
        <v>31</v>
      </c>
      <c r="K430" s="104">
        <v>6</v>
      </c>
      <c r="L430" s="104">
        <v>25</v>
      </c>
      <c r="M430" s="104">
        <v>74.319</v>
      </c>
      <c r="N430" s="104" t="s">
        <v>24</v>
      </c>
      <c r="O430" s="104" t="s">
        <v>25</v>
      </c>
      <c r="P430" s="104" t="s">
        <v>271</v>
      </c>
      <c r="Q430" s="104">
        <v>46117.4923611111</v>
      </c>
      <c r="R430" s="104">
        <v>46117.4944444444</v>
      </c>
      <c r="S430" s="104">
        <v>46117.5263888889</v>
      </c>
      <c r="T430" s="104" t="s">
        <v>389</v>
      </c>
    </row>
    <row r="431" s="102" customFormat="1" ht="15" spans="1:20">
      <c r="A431" s="104" t="s">
        <v>22</v>
      </c>
      <c r="B431" s="104" t="s">
        <v>63</v>
      </c>
      <c r="C431" s="104" t="s">
        <v>672</v>
      </c>
      <c r="D431" s="104" t="s">
        <v>65</v>
      </c>
      <c r="E431" s="114"/>
      <c r="F431" s="114"/>
      <c r="G431" s="114"/>
      <c r="H431" s="104">
        <v>4050001</v>
      </c>
      <c r="I431" s="104">
        <v>990</v>
      </c>
      <c r="J431" s="104">
        <v>990</v>
      </c>
      <c r="K431" s="104">
        <v>0</v>
      </c>
      <c r="L431" s="104">
        <v>990</v>
      </c>
      <c r="M431" s="104">
        <v>1510.15</v>
      </c>
      <c r="N431" s="104" t="s">
        <v>24</v>
      </c>
      <c r="O431" s="104" t="s">
        <v>25</v>
      </c>
      <c r="P431" s="104" t="s">
        <v>271</v>
      </c>
      <c r="Q431" s="104">
        <v>46117.4909722222</v>
      </c>
      <c r="R431" s="104">
        <v>46117.4944444444</v>
      </c>
      <c r="S431" s="104">
        <v>46117.5326388889</v>
      </c>
      <c r="T431" s="104" t="s">
        <v>404</v>
      </c>
    </row>
    <row r="432" s="102" customFormat="1" ht="15" spans="1:20">
      <c r="A432" s="104" t="s">
        <v>22</v>
      </c>
      <c r="B432" s="104" t="s">
        <v>168</v>
      </c>
      <c r="C432" s="104" t="s">
        <v>673</v>
      </c>
      <c r="D432" s="104" t="s">
        <v>293</v>
      </c>
      <c r="E432" s="114"/>
      <c r="F432" s="114"/>
      <c r="G432" s="114"/>
      <c r="H432" s="104">
        <v>4050001</v>
      </c>
      <c r="I432" s="104">
        <v>382</v>
      </c>
      <c r="J432" s="104">
        <v>246</v>
      </c>
      <c r="K432" s="104">
        <v>13</v>
      </c>
      <c r="L432" s="104">
        <v>233</v>
      </c>
      <c r="M432" s="104">
        <v>405.254</v>
      </c>
      <c r="N432" s="104" t="s">
        <v>24</v>
      </c>
      <c r="O432" s="104" t="s">
        <v>25</v>
      </c>
      <c r="P432" s="104" t="s">
        <v>271</v>
      </c>
      <c r="Q432" s="104">
        <v>46117.4979166667</v>
      </c>
      <c r="R432" s="104">
        <v>46117.5</v>
      </c>
      <c r="S432" s="104">
        <v>46117.5326388889</v>
      </c>
      <c r="T432" s="104" t="s">
        <v>153</v>
      </c>
    </row>
    <row r="433" s="102" customFormat="1" ht="15" spans="1:20">
      <c r="A433" s="104" t="s">
        <v>22</v>
      </c>
      <c r="B433" s="104" t="s">
        <v>57</v>
      </c>
      <c r="C433" s="104" t="s">
        <v>674</v>
      </c>
      <c r="D433" s="104" t="s">
        <v>214</v>
      </c>
      <c r="E433" s="114"/>
      <c r="F433" s="114"/>
      <c r="G433" s="114"/>
      <c r="H433" s="104">
        <v>4050001</v>
      </c>
      <c r="I433" s="104">
        <v>29</v>
      </c>
      <c r="J433" s="104">
        <v>23</v>
      </c>
      <c r="K433" s="104">
        <v>1</v>
      </c>
      <c r="L433" s="104">
        <v>22</v>
      </c>
      <c r="M433" s="104">
        <v>21.015</v>
      </c>
      <c r="N433" s="104" t="s">
        <v>24</v>
      </c>
      <c r="O433" s="104" t="s">
        <v>25</v>
      </c>
      <c r="P433" s="104" t="s">
        <v>271</v>
      </c>
      <c r="Q433" s="104">
        <v>46117.4972222222</v>
      </c>
      <c r="R433" s="104">
        <v>46117.5</v>
      </c>
      <c r="S433" s="104">
        <v>46117.5326388889</v>
      </c>
      <c r="T433" s="104" t="s">
        <v>153</v>
      </c>
    </row>
    <row r="434" s="102" customFormat="1" ht="15" spans="1:20">
      <c r="A434" s="104" t="s">
        <v>22</v>
      </c>
      <c r="B434" s="104" t="s">
        <v>164</v>
      </c>
      <c r="C434" s="104" t="s">
        <v>675</v>
      </c>
      <c r="D434" s="104" t="s">
        <v>166</v>
      </c>
      <c r="E434" s="114"/>
      <c r="F434" s="114"/>
      <c r="G434" s="114"/>
      <c r="H434" s="104">
        <v>4050001</v>
      </c>
      <c r="I434" s="104">
        <v>4729</v>
      </c>
      <c r="J434" s="104">
        <v>4729</v>
      </c>
      <c r="K434" s="104">
        <v>6</v>
      </c>
      <c r="L434" s="104">
        <v>4723</v>
      </c>
      <c r="M434" s="104">
        <v>7731.118</v>
      </c>
      <c r="N434" s="104" t="s">
        <v>24</v>
      </c>
      <c r="O434" s="104" t="s">
        <v>25</v>
      </c>
      <c r="P434" s="104" t="s">
        <v>271</v>
      </c>
      <c r="Q434" s="104">
        <v>46117.4979166667</v>
      </c>
      <c r="R434" s="104">
        <v>46117.50625</v>
      </c>
      <c r="S434" s="104">
        <v>46117.5333333333</v>
      </c>
      <c r="T434" s="104" t="s">
        <v>391</v>
      </c>
    </row>
    <row r="435" s="102" customFormat="1" ht="15" spans="1:20">
      <c r="A435" s="104" t="s">
        <v>22</v>
      </c>
      <c r="B435" s="104" t="s">
        <v>188</v>
      </c>
      <c r="C435" s="104" t="s">
        <v>676</v>
      </c>
      <c r="D435" s="104" t="s">
        <v>190</v>
      </c>
      <c r="E435" s="114"/>
      <c r="F435" s="114"/>
      <c r="G435" s="114"/>
      <c r="H435" s="104">
        <v>4050001</v>
      </c>
      <c r="I435" s="104">
        <v>1989</v>
      </c>
      <c r="J435" s="104">
        <v>1987</v>
      </c>
      <c r="K435" s="104">
        <v>13</v>
      </c>
      <c r="L435" s="104">
        <v>1974</v>
      </c>
      <c r="M435" s="104">
        <v>3800.201</v>
      </c>
      <c r="N435" s="104" t="s">
        <v>24</v>
      </c>
      <c r="O435" s="104" t="s">
        <v>25</v>
      </c>
      <c r="P435" s="104" t="s">
        <v>271</v>
      </c>
      <c r="Q435" s="104">
        <v>46117.5118055556</v>
      </c>
      <c r="R435" s="104">
        <v>46117.5131944444</v>
      </c>
      <c r="S435" s="104">
        <v>46117.5368055556</v>
      </c>
      <c r="T435" s="104" t="s">
        <v>425</v>
      </c>
    </row>
    <row r="436" s="102" customFormat="1" ht="15" spans="1:20">
      <c r="A436" s="104" t="s">
        <v>22</v>
      </c>
      <c r="B436" s="104" t="s">
        <v>184</v>
      </c>
      <c r="C436" s="104" t="s">
        <v>677</v>
      </c>
      <c r="D436" s="104" t="s">
        <v>186</v>
      </c>
      <c r="E436" s="114"/>
      <c r="F436" s="114"/>
      <c r="G436" s="114"/>
      <c r="H436" s="104">
        <v>4050001</v>
      </c>
      <c r="I436" s="104">
        <v>2041</v>
      </c>
      <c r="J436" s="104">
        <v>1961</v>
      </c>
      <c r="K436" s="104">
        <v>62</v>
      </c>
      <c r="L436" s="104">
        <v>1899</v>
      </c>
      <c r="M436" s="104">
        <v>1509.615</v>
      </c>
      <c r="N436" s="104" t="s">
        <v>24</v>
      </c>
      <c r="O436" s="104" t="s">
        <v>25</v>
      </c>
      <c r="P436" s="104" t="s">
        <v>271</v>
      </c>
      <c r="Q436" s="104">
        <v>46117.5145833333</v>
      </c>
      <c r="R436" s="104">
        <v>46117.5215277778</v>
      </c>
      <c r="S436" s="104">
        <v>46117.5368055556</v>
      </c>
      <c r="T436" s="104" t="s">
        <v>128</v>
      </c>
    </row>
    <row r="437" s="102" customFormat="1" ht="15" spans="1:20">
      <c r="A437" s="104" t="s">
        <v>22</v>
      </c>
      <c r="B437" s="104" t="s">
        <v>142</v>
      </c>
      <c r="C437" s="104" t="s">
        <v>678</v>
      </c>
      <c r="D437" s="104" t="s">
        <v>203</v>
      </c>
      <c r="E437" s="104" t="s">
        <v>204</v>
      </c>
      <c r="F437" s="104" t="s">
        <v>205</v>
      </c>
      <c r="G437" s="114"/>
      <c r="H437" s="104">
        <v>4060001</v>
      </c>
      <c r="I437" s="104">
        <v>10116</v>
      </c>
      <c r="J437" s="104">
        <v>2527</v>
      </c>
      <c r="K437" s="104">
        <v>1</v>
      </c>
      <c r="L437" s="104">
        <v>2526</v>
      </c>
      <c r="M437" s="104">
        <v>7961.268</v>
      </c>
      <c r="N437" s="104" t="s">
        <v>24</v>
      </c>
      <c r="O437" s="104" t="s">
        <v>70</v>
      </c>
      <c r="P437" s="104" t="s">
        <v>106</v>
      </c>
      <c r="Q437" s="104">
        <v>46118.3652777778</v>
      </c>
      <c r="R437" s="104">
        <v>46118.3701388889</v>
      </c>
      <c r="S437" s="104">
        <v>46118.4055555556</v>
      </c>
      <c r="T437" s="104" t="s">
        <v>196</v>
      </c>
    </row>
    <row r="438" s="102" customFormat="1" ht="15" spans="1:20">
      <c r="A438" s="104" t="s">
        <v>22</v>
      </c>
      <c r="B438" s="104" t="s">
        <v>159</v>
      </c>
      <c r="C438" s="104" t="s">
        <v>679</v>
      </c>
      <c r="D438" s="104" t="s">
        <v>161</v>
      </c>
      <c r="E438" s="114"/>
      <c r="F438" s="114"/>
      <c r="G438" s="114"/>
      <c r="H438" s="104">
        <v>4060001</v>
      </c>
      <c r="I438" s="104">
        <v>199</v>
      </c>
      <c r="J438" s="104">
        <v>199</v>
      </c>
      <c r="K438" s="104">
        <v>0</v>
      </c>
      <c r="L438" s="104">
        <v>199</v>
      </c>
      <c r="M438" s="104">
        <v>0</v>
      </c>
      <c r="N438" s="104" t="s">
        <v>24</v>
      </c>
      <c r="O438" s="104" t="s">
        <v>70</v>
      </c>
      <c r="P438" s="104" t="s">
        <v>106</v>
      </c>
      <c r="Q438" s="104">
        <v>46118.40625</v>
      </c>
      <c r="R438" s="104">
        <v>46118.40625</v>
      </c>
      <c r="S438" s="104">
        <v>46118.4180555556</v>
      </c>
      <c r="T438" s="104" t="s">
        <v>369</v>
      </c>
    </row>
    <row r="439" s="102" customFormat="1" ht="15" spans="1:20">
      <c r="A439" s="104" t="s">
        <v>22</v>
      </c>
      <c r="B439" s="104" t="s">
        <v>127</v>
      </c>
      <c r="C439" s="114"/>
      <c r="D439" s="104" t="s">
        <v>29</v>
      </c>
      <c r="E439" s="114"/>
      <c r="F439" s="114"/>
      <c r="G439" s="114"/>
      <c r="H439" s="104">
        <v>4061862</v>
      </c>
      <c r="I439" s="104">
        <v>1</v>
      </c>
      <c r="J439" s="104">
        <v>2</v>
      </c>
      <c r="K439" s="104">
        <v>0</v>
      </c>
      <c r="L439" s="104">
        <v>2</v>
      </c>
      <c r="M439" s="104">
        <v>0.02</v>
      </c>
      <c r="N439" s="104" t="s">
        <v>24</v>
      </c>
      <c r="O439" s="104" t="s">
        <v>25</v>
      </c>
      <c r="P439" s="104" t="s">
        <v>106</v>
      </c>
      <c r="Q439" s="104">
        <v>46118.41875</v>
      </c>
      <c r="R439" s="104">
        <v>46118.41875</v>
      </c>
      <c r="S439" s="104">
        <v>46118.4201388889</v>
      </c>
      <c r="T439" s="104" t="s">
        <v>499</v>
      </c>
    </row>
    <row r="440" s="102" customFormat="1" ht="15" spans="1:20">
      <c r="A440" s="104" t="s">
        <v>22</v>
      </c>
      <c r="B440" s="104" t="s">
        <v>28</v>
      </c>
      <c r="C440" s="114"/>
      <c r="D440" s="104" t="s">
        <v>29</v>
      </c>
      <c r="E440" s="114"/>
      <c r="F440" s="114"/>
      <c r="G440" s="114"/>
      <c r="H440" s="104">
        <v>4062111</v>
      </c>
      <c r="I440" s="104">
        <v>0</v>
      </c>
      <c r="J440" s="104">
        <v>97</v>
      </c>
      <c r="K440" s="104">
        <v>0</v>
      </c>
      <c r="L440" s="104">
        <v>97</v>
      </c>
      <c r="M440" s="104">
        <v>0</v>
      </c>
      <c r="N440" s="104" t="s">
        <v>24</v>
      </c>
      <c r="O440" s="104" t="s">
        <v>25</v>
      </c>
      <c r="P440" s="104" t="s">
        <v>106</v>
      </c>
      <c r="Q440" s="104">
        <v>46118.4423611111</v>
      </c>
      <c r="R440" s="104">
        <v>46118.4423611111</v>
      </c>
      <c r="S440" s="104">
        <v>46118.4930555556</v>
      </c>
      <c r="T440" s="104" t="s">
        <v>147</v>
      </c>
    </row>
    <row r="441" s="102" customFormat="1" ht="15" spans="1:20">
      <c r="A441" s="104" t="s">
        <v>22</v>
      </c>
      <c r="B441" s="104" t="s">
        <v>39</v>
      </c>
      <c r="C441" s="104" t="s">
        <v>680</v>
      </c>
      <c r="D441" s="104" t="s">
        <v>41</v>
      </c>
      <c r="E441" s="114"/>
      <c r="F441" s="114"/>
      <c r="G441" s="114"/>
      <c r="H441" s="104">
        <v>4060001</v>
      </c>
      <c r="I441" s="104">
        <v>300</v>
      </c>
      <c r="J441" s="104">
        <v>23</v>
      </c>
      <c r="K441" s="104">
        <v>3</v>
      </c>
      <c r="L441" s="104">
        <v>20</v>
      </c>
      <c r="M441" s="104">
        <v>170.061</v>
      </c>
      <c r="N441" s="104" t="s">
        <v>24</v>
      </c>
      <c r="O441" s="104" t="s">
        <v>25</v>
      </c>
      <c r="P441" s="104" t="s">
        <v>106</v>
      </c>
      <c r="Q441" s="104">
        <v>46118.4701388889</v>
      </c>
      <c r="R441" s="104">
        <v>46118.475</v>
      </c>
      <c r="S441" s="104">
        <v>46118.49375</v>
      </c>
      <c r="T441" s="104" t="s">
        <v>568</v>
      </c>
    </row>
    <row r="442" s="102" customFormat="1" ht="15" spans="1:20">
      <c r="A442" s="104" t="s">
        <v>22</v>
      </c>
      <c r="B442" s="104" t="s">
        <v>175</v>
      </c>
      <c r="C442" s="104" t="s">
        <v>681</v>
      </c>
      <c r="D442" s="104" t="s">
        <v>177</v>
      </c>
      <c r="E442" s="114"/>
      <c r="F442" s="114"/>
      <c r="G442" s="104">
        <v>11111111111111</v>
      </c>
      <c r="H442" s="104">
        <v>4060003</v>
      </c>
      <c r="I442" s="104">
        <v>2790</v>
      </c>
      <c r="J442" s="104">
        <v>2790</v>
      </c>
      <c r="K442" s="104">
        <v>173</v>
      </c>
      <c r="L442" s="104">
        <v>2617</v>
      </c>
      <c r="M442" s="104">
        <v>6123.26</v>
      </c>
      <c r="N442" s="104" t="s">
        <v>24</v>
      </c>
      <c r="O442" s="104" t="s">
        <v>25</v>
      </c>
      <c r="P442" s="104" t="s">
        <v>106</v>
      </c>
      <c r="Q442" s="104">
        <v>46118.4611111111</v>
      </c>
      <c r="R442" s="104">
        <v>46118.475</v>
      </c>
      <c r="S442" s="104">
        <v>46118.49375</v>
      </c>
      <c r="T442" s="104" t="s">
        <v>568</v>
      </c>
    </row>
    <row r="443" s="102" customFormat="1" ht="15" spans="1:20">
      <c r="A443" s="104" t="s">
        <v>22</v>
      </c>
      <c r="B443" s="104" t="s">
        <v>36</v>
      </c>
      <c r="C443" s="104" t="s">
        <v>682</v>
      </c>
      <c r="D443" s="104" t="s">
        <v>38</v>
      </c>
      <c r="E443" s="114"/>
      <c r="F443" s="114"/>
      <c r="G443" s="114"/>
      <c r="H443" s="104">
        <v>4060001</v>
      </c>
      <c r="I443" s="104">
        <v>594</v>
      </c>
      <c r="J443" s="104">
        <v>593</v>
      </c>
      <c r="K443" s="104">
        <v>21</v>
      </c>
      <c r="L443" s="104">
        <v>572</v>
      </c>
      <c r="M443" s="104">
        <v>456.453</v>
      </c>
      <c r="N443" s="104" t="s">
        <v>24</v>
      </c>
      <c r="O443" s="104" t="s">
        <v>25</v>
      </c>
      <c r="P443" s="104" t="s">
        <v>106</v>
      </c>
      <c r="Q443" s="104">
        <v>46118.4805555556</v>
      </c>
      <c r="R443" s="104">
        <v>46118.4840277778</v>
      </c>
      <c r="S443" s="104">
        <v>46118.49375</v>
      </c>
      <c r="T443" s="104" t="s">
        <v>431</v>
      </c>
    </row>
    <row r="444" s="102" customFormat="1" ht="15" spans="1:20">
      <c r="A444" s="104" t="s">
        <v>22</v>
      </c>
      <c r="B444" s="104" t="s">
        <v>67</v>
      </c>
      <c r="C444" s="104" t="s">
        <v>683</v>
      </c>
      <c r="D444" s="104" t="s">
        <v>69</v>
      </c>
      <c r="E444" s="114"/>
      <c r="F444" s="114"/>
      <c r="G444" s="114"/>
      <c r="H444" s="104">
        <v>4060001</v>
      </c>
      <c r="I444" s="104">
        <v>799</v>
      </c>
      <c r="J444" s="104">
        <v>179</v>
      </c>
      <c r="K444" s="104">
        <v>0</v>
      </c>
      <c r="L444" s="104">
        <v>179</v>
      </c>
      <c r="M444" s="104">
        <v>458.13</v>
      </c>
      <c r="N444" s="104" t="s">
        <v>24</v>
      </c>
      <c r="O444" s="104" t="s">
        <v>70</v>
      </c>
      <c r="P444" s="104" t="s">
        <v>106</v>
      </c>
      <c r="Q444" s="104">
        <v>46118.4868055556</v>
      </c>
      <c r="R444" s="104">
        <v>46118.4888888889</v>
      </c>
      <c r="S444" s="104">
        <v>46118.4930555556</v>
      </c>
      <c r="T444" s="104" t="s">
        <v>684</v>
      </c>
    </row>
    <row r="445" s="102" customFormat="1" ht="15" spans="1:20">
      <c r="A445" s="104" t="s">
        <v>22</v>
      </c>
      <c r="B445" s="104" t="s">
        <v>53</v>
      </c>
      <c r="C445" s="104" t="s">
        <v>685</v>
      </c>
      <c r="D445" s="104" t="s">
        <v>55</v>
      </c>
      <c r="E445" s="114"/>
      <c r="F445" s="114"/>
      <c r="G445" s="114"/>
      <c r="H445" s="104">
        <v>4060001</v>
      </c>
      <c r="I445" s="104">
        <v>48</v>
      </c>
      <c r="J445" s="104">
        <v>36</v>
      </c>
      <c r="K445" s="104">
        <v>2</v>
      </c>
      <c r="L445" s="104">
        <v>34</v>
      </c>
      <c r="M445" s="104">
        <v>50.433</v>
      </c>
      <c r="N445" s="104" t="s">
        <v>24</v>
      </c>
      <c r="O445" s="104" t="s">
        <v>25</v>
      </c>
      <c r="P445" s="104" t="s">
        <v>106</v>
      </c>
      <c r="Q445" s="104">
        <v>46118.4881944444</v>
      </c>
      <c r="R445" s="104">
        <v>46118.4895833333</v>
      </c>
      <c r="S445" s="104">
        <v>46118.5055555556</v>
      </c>
      <c r="T445" s="104" t="s">
        <v>478</v>
      </c>
    </row>
    <row r="446" s="102" customFormat="1" ht="15" spans="1:20">
      <c r="A446" s="104" t="s">
        <v>22</v>
      </c>
      <c r="B446" s="104" t="s">
        <v>49</v>
      </c>
      <c r="C446" s="104" t="s">
        <v>686</v>
      </c>
      <c r="D446" s="104" t="s">
        <v>51</v>
      </c>
      <c r="E446" s="114"/>
      <c r="F446" s="114"/>
      <c r="G446" s="114"/>
      <c r="H446" s="104">
        <v>4060001</v>
      </c>
      <c r="I446" s="104">
        <v>24</v>
      </c>
      <c r="J446" s="104">
        <v>11</v>
      </c>
      <c r="K446" s="104">
        <v>5</v>
      </c>
      <c r="L446" s="104">
        <v>6</v>
      </c>
      <c r="M446" s="104">
        <v>31.48</v>
      </c>
      <c r="N446" s="104" t="s">
        <v>24</v>
      </c>
      <c r="O446" s="104" t="s">
        <v>25</v>
      </c>
      <c r="P446" s="104" t="s">
        <v>106</v>
      </c>
      <c r="Q446" s="104">
        <v>46118.4909722222</v>
      </c>
      <c r="R446" s="104">
        <v>46118.4916666667</v>
      </c>
      <c r="S446" s="104">
        <v>46118.50625</v>
      </c>
      <c r="T446" s="104" t="s">
        <v>372</v>
      </c>
    </row>
    <row r="447" s="102" customFormat="1" ht="15" spans="1:20">
      <c r="A447" s="104" t="s">
        <v>22</v>
      </c>
      <c r="B447" s="104" t="s">
        <v>168</v>
      </c>
      <c r="C447" s="104" t="s">
        <v>687</v>
      </c>
      <c r="D447" s="104" t="s">
        <v>293</v>
      </c>
      <c r="E447" s="114"/>
      <c r="F447" s="114"/>
      <c r="G447" s="114"/>
      <c r="H447" s="104">
        <v>4060001</v>
      </c>
      <c r="I447" s="104">
        <v>283</v>
      </c>
      <c r="J447" s="104">
        <v>220</v>
      </c>
      <c r="K447" s="104">
        <v>8</v>
      </c>
      <c r="L447" s="104">
        <v>212</v>
      </c>
      <c r="M447" s="104">
        <v>303.035</v>
      </c>
      <c r="N447" s="104" t="s">
        <v>24</v>
      </c>
      <c r="O447" s="104" t="s">
        <v>25</v>
      </c>
      <c r="P447" s="104" t="s">
        <v>106</v>
      </c>
      <c r="Q447" s="104">
        <v>46118.4923611111</v>
      </c>
      <c r="R447" s="104">
        <v>46118.4923611111</v>
      </c>
      <c r="S447" s="104">
        <v>46118.5138888889</v>
      </c>
      <c r="T447" s="104" t="s">
        <v>141</v>
      </c>
    </row>
    <row r="448" s="102" customFormat="1" ht="15" spans="1:20">
      <c r="A448" s="104" t="s">
        <v>22</v>
      </c>
      <c r="B448" s="104" t="s">
        <v>31</v>
      </c>
      <c r="C448" s="114"/>
      <c r="D448" s="114"/>
      <c r="E448" s="114"/>
      <c r="F448" s="114"/>
      <c r="G448" s="114"/>
      <c r="H448" s="104">
        <v>40601</v>
      </c>
      <c r="I448" s="104">
        <v>4</v>
      </c>
      <c r="J448" s="104">
        <v>4</v>
      </c>
      <c r="K448" s="104">
        <v>0</v>
      </c>
      <c r="L448" s="104">
        <v>4</v>
      </c>
      <c r="M448" s="104">
        <v>2.929</v>
      </c>
      <c r="N448" s="104" t="s">
        <v>24</v>
      </c>
      <c r="O448" s="104" t="s">
        <v>25</v>
      </c>
      <c r="P448" s="104" t="s">
        <v>106</v>
      </c>
      <c r="Q448" s="104">
        <v>46118.4986111111</v>
      </c>
      <c r="R448" s="104">
        <v>46118.4986111111</v>
      </c>
      <c r="S448" s="104">
        <v>46118.5138888889</v>
      </c>
      <c r="T448" s="104" t="s">
        <v>120</v>
      </c>
    </row>
    <row r="449" s="102" customFormat="1" ht="15" spans="1:20">
      <c r="A449" s="104" t="s">
        <v>22</v>
      </c>
      <c r="B449" s="104" t="s">
        <v>47</v>
      </c>
      <c r="C449" s="114"/>
      <c r="D449" s="114"/>
      <c r="E449" s="114"/>
      <c r="F449" s="114"/>
      <c r="G449" s="114"/>
      <c r="H449" s="104">
        <v>40601</v>
      </c>
      <c r="I449" s="104">
        <v>8</v>
      </c>
      <c r="J449" s="104">
        <v>1</v>
      </c>
      <c r="K449" s="104">
        <v>0</v>
      </c>
      <c r="L449" s="104">
        <v>1</v>
      </c>
      <c r="M449" s="104">
        <v>1.347</v>
      </c>
      <c r="N449" s="104" t="s">
        <v>24</v>
      </c>
      <c r="O449" s="104" t="s">
        <v>25</v>
      </c>
      <c r="P449" s="104" t="s">
        <v>106</v>
      </c>
      <c r="Q449" s="104">
        <v>46118.4986111111</v>
      </c>
      <c r="R449" s="104">
        <v>46118.4986111111</v>
      </c>
      <c r="S449" s="104">
        <v>46118.5145833333</v>
      </c>
      <c r="T449" s="104" t="s">
        <v>128</v>
      </c>
    </row>
    <row r="450" s="102" customFormat="1" ht="15" spans="1:20">
      <c r="A450" s="104" t="s">
        <v>22</v>
      </c>
      <c r="B450" s="104" t="s">
        <v>33</v>
      </c>
      <c r="C450" s="114"/>
      <c r="D450" s="114"/>
      <c r="E450" s="114"/>
      <c r="F450" s="114"/>
      <c r="G450" s="114"/>
      <c r="H450" s="104">
        <v>40601</v>
      </c>
      <c r="I450" s="104">
        <v>4</v>
      </c>
      <c r="J450" s="104">
        <v>4</v>
      </c>
      <c r="K450" s="104">
        <v>1</v>
      </c>
      <c r="L450" s="104">
        <v>3</v>
      </c>
      <c r="M450" s="104">
        <v>9.978</v>
      </c>
      <c r="N450" s="104" t="s">
        <v>24</v>
      </c>
      <c r="O450" s="104" t="s">
        <v>25</v>
      </c>
      <c r="P450" s="104" t="s">
        <v>106</v>
      </c>
      <c r="Q450" s="104">
        <v>46118.4993055556</v>
      </c>
      <c r="R450" s="104">
        <v>46118.4993055556</v>
      </c>
      <c r="S450" s="104">
        <v>46118.5145833333</v>
      </c>
      <c r="T450" s="104" t="s">
        <v>128</v>
      </c>
    </row>
    <row r="451" s="102" customFormat="1" ht="15" spans="1:20">
      <c r="A451" s="104" t="s">
        <v>22</v>
      </c>
      <c r="B451" s="104" t="s">
        <v>72</v>
      </c>
      <c r="C451" s="104" t="s">
        <v>688</v>
      </c>
      <c r="D451" s="104" t="s">
        <v>74</v>
      </c>
      <c r="E451" s="114"/>
      <c r="F451" s="114"/>
      <c r="G451" s="114"/>
      <c r="H451" s="104">
        <v>4060001</v>
      </c>
      <c r="I451" s="104">
        <v>145</v>
      </c>
      <c r="J451" s="104">
        <v>50</v>
      </c>
      <c r="K451" s="104">
        <v>7</v>
      </c>
      <c r="L451" s="104">
        <v>43</v>
      </c>
      <c r="M451" s="104">
        <v>46.592</v>
      </c>
      <c r="N451" s="104" t="s">
        <v>24</v>
      </c>
      <c r="O451" s="104" t="s">
        <v>25</v>
      </c>
      <c r="P451" s="104" t="s">
        <v>106</v>
      </c>
      <c r="Q451" s="104">
        <v>46118.5034722222</v>
      </c>
      <c r="R451" s="104">
        <v>46118.5041666667</v>
      </c>
      <c r="S451" s="104">
        <v>46118.5145833333</v>
      </c>
      <c r="T451" s="104" t="s">
        <v>431</v>
      </c>
    </row>
    <row r="452" s="102" customFormat="1" ht="15" spans="1:20">
      <c r="A452" s="104" t="s">
        <v>22</v>
      </c>
      <c r="B452" s="104" t="s">
        <v>42</v>
      </c>
      <c r="C452" s="104" t="s">
        <v>689</v>
      </c>
      <c r="D452" s="104" t="s">
        <v>44</v>
      </c>
      <c r="E452" s="114"/>
      <c r="F452" s="114"/>
      <c r="G452" s="114"/>
      <c r="H452" s="104">
        <v>4060001</v>
      </c>
      <c r="I452" s="104">
        <v>394</v>
      </c>
      <c r="J452" s="104">
        <v>363</v>
      </c>
      <c r="K452" s="104">
        <v>22</v>
      </c>
      <c r="L452" s="104">
        <v>341</v>
      </c>
      <c r="M452" s="104">
        <v>391.696</v>
      </c>
      <c r="N452" s="104" t="s">
        <v>24</v>
      </c>
      <c r="O452" s="104" t="s">
        <v>25</v>
      </c>
      <c r="P452" s="104" t="s">
        <v>106</v>
      </c>
      <c r="Q452" s="104">
        <v>46118.4854166667</v>
      </c>
      <c r="R452" s="104">
        <v>46118.5076388889</v>
      </c>
      <c r="S452" s="104">
        <v>46118.5270833333</v>
      </c>
      <c r="T452" s="104" t="s">
        <v>406</v>
      </c>
    </row>
    <row r="453" s="102" customFormat="1" ht="15" spans="1:20">
      <c r="A453" s="104" t="s">
        <v>22</v>
      </c>
      <c r="B453" s="104" t="s">
        <v>63</v>
      </c>
      <c r="C453" s="104" t="s">
        <v>690</v>
      </c>
      <c r="D453" s="104" t="s">
        <v>65</v>
      </c>
      <c r="E453" s="114"/>
      <c r="F453" s="114"/>
      <c r="G453" s="114"/>
      <c r="H453" s="104">
        <v>4060001</v>
      </c>
      <c r="I453" s="104">
        <v>626</v>
      </c>
      <c r="J453" s="104">
        <v>626</v>
      </c>
      <c r="K453" s="104">
        <v>102</v>
      </c>
      <c r="L453" s="104">
        <v>524</v>
      </c>
      <c r="M453" s="104">
        <v>771.738</v>
      </c>
      <c r="N453" s="104" t="s">
        <v>24</v>
      </c>
      <c r="O453" s="104" t="s">
        <v>25</v>
      </c>
      <c r="P453" s="104" t="s">
        <v>106</v>
      </c>
      <c r="Q453" s="104">
        <v>46118.4868055556</v>
      </c>
      <c r="R453" s="104">
        <v>46118.5076388889</v>
      </c>
      <c r="S453" s="104">
        <v>46118.5270833333</v>
      </c>
      <c r="T453" s="104" t="s">
        <v>406</v>
      </c>
    </row>
    <row r="454" s="102" customFormat="1" ht="15" spans="1:20">
      <c r="A454" s="104" t="s">
        <v>22</v>
      </c>
      <c r="B454" s="104" t="s">
        <v>76</v>
      </c>
      <c r="C454" s="104" t="s">
        <v>691</v>
      </c>
      <c r="D454" s="104" t="s">
        <v>627</v>
      </c>
      <c r="E454" s="114"/>
      <c r="F454" s="104" t="s">
        <v>79</v>
      </c>
      <c r="G454" s="114"/>
      <c r="H454" s="104">
        <v>4060001</v>
      </c>
      <c r="I454" s="104">
        <v>1462</v>
      </c>
      <c r="J454" s="104">
        <v>1216</v>
      </c>
      <c r="K454" s="104">
        <v>576</v>
      </c>
      <c r="L454" s="104">
        <v>640</v>
      </c>
      <c r="M454" s="104">
        <v>2883.507</v>
      </c>
      <c r="N454" s="104" t="s">
        <v>24</v>
      </c>
      <c r="O454" s="104" t="s">
        <v>25</v>
      </c>
      <c r="P454" s="104" t="s">
        <v>106</v>
      </c>
      <c r="Q454" s="104">
        <v>46118.4875</v>
      </c>
      <c r="R454" s="104">
        <v>46118.5076388889</v>
      </c>
      <c r="S454" s="104">
        <v>46118.5284722222</v>
      </c>
      <c r="T454" s="104" t="s">
        <v>541</v>
      </c>
    </row>
    <row r="455" s="102" customFormat="1" ht="15" spans="1:20">
      <c r="A455" s="104" t="s">
        <v>22</v>
      </c>
      <c r="B455" s="104" t="s">
        <v>57</v>
      </c>
      <c r="C455" s="104" t="s">
        <v>692</v>
      </c>
      <c r="D455" s="104" t="s">
        <v>214</v>
      </c>
      <c r="E455" s="114"/>
      <c r="F455" s="114"/>
      <c r="G455" s="114"/>
      <c r="H455" s="104">
        <v>4060001</v>
      </c>
      <c r="I455" s="104">
        <v>55</v>
      </c>
      <c r="J455" s="104">
        <v>45</v>
      </c>
      <c r="K455" s="104">
        <v>11</v>
      </c>
      <c r="L455" s="104">
        <v>34</v>
      </c>
      <c r="M455" s="104">
        <v>46.1</v>
      </c>
      <c r="N455" s="104" t="s">
        <v>24</v>
      </c>
      <c r="O455" s="104" t="s">
        <v>25</v>
      </c>
      <c r="P455" s="104" t="s">
        <v>106</v>
      </c>
      <c r="Q455" s="104">
        <v>46118.4930555556</v>
      </c>
      <c r="R455" s="104">
        <v>46118.5083333333</v>
      </c>
      <c r="S455" s="104">
        <v>46118.5277777778</v>
      </c>
      <c r="T455" s="104" t="s">
        <v>406</v>
      </c>
    </row>
    <row r="456" s="102" customFormat="1" ht="15" spans="1:20">
      <c r="A456" s="104" t="s">
        <v>22</v>
      </c>
      <c r="B456" s="104" t="s">
        <v>164</v>
      </c>
      <c r="C456" s="104" t="s">
        <v>693</v>
      </c>
      <c r="D456" s="104" t="s">
        <v>166</v>
      </c>
      <c r="E456" s="114"/>
      <c r="F456" s="114"/>
      <c r="G456" s="114"/>
      <c r="H456" s="104">
        <v>4060001</v>
      </c>
      <c r="I456" s="104">
        <v>5275</v>
      </c>
      <c r="J456" s="104">
        <v>5275</v>
      </c>
      <c r="K456" s="104">
        <v>88</v>
      </c>
      <c r="L456" s="104">
        <v>5187</v>
      </c>
      <c r="M456" s="104">
        <v>8634.865</v>
      </c>
      <c r="N456" s="104" t="s">
        <v>24</v>
      </c>
      <c r="O456" s="104" t="s">
        <v>25</v>
      </c>
      <c r="P456" s="104" t="s">
        <v>106</v>
      </c>
      <c r="Q456" s="104">
        <v>46118.5034722222</v>
      </c>
      <c r="R456" s="104">
        <v>46118.5083333333</v>
      </c>
      <c r="S456" s="104">
        <v>46118.5291666667</v>
      </c>
      <c r="T456" s="104" t="s">
        <v>541</v>
      </c>
    </row>
    <row r="457" s="102" customFormat="1" ht="15" spans="1:20">
      <c r="A457" s="104" t="s">
        <v>22</v>
      </c>
      <c r="B457" s="104" t="s">
        <v>236</v>
      </c>
      <c r="C457" s="114"/>
      <c r="D457" s="114"/>
      <c r="E457" s="114"/>
      <c r="F457" s="114"/>
      <c r="G457" s="114"/>
      <c r="H457" s="104">
        <v>4054810</v>
      </c>
      <c r="I457" s="104">
        <v>722</v>
      </c>
      <c r="J457" s="104">
        <v>722</v>
      </c>
      <c r="K457" s="104">
        <v>30</v>
      </c>
      <c r="L457" s="104">
        <v>692</v>
      </c>
      <c r="M457" s="104">
        <v>530.744</v>
      </c>
      <c r="N457" s="104" t="s">
        <v>24</v>
      </c>
      <c r="O457" s="104" t="s">
        <v>25</v>
      </c>
      <c r="P457" s="104" t="s">
        <v>271</v>
      </c>
      <c r="Q457" s="104">
        <v>46117.7826388889</v>
      </c>
      <c r="R457" s="104">
        <v>46117.7826388889</v>
      </c>
      <c r="S457" s="104">
        <v>46117.8916666667</v>
      </c>
      <c r="T457" s="104" t="s">
        <v>694</v>
      </c>
    </row>
    <row r="458" s="102" customFormat="1" ht="15" spans="1:20">
      <c r="A458" s="104" t="s">
        <v>22</v>
      </c>
      <c r="B458" s="104" t="s">
        <v>302</v>
      </c>
      <c r="C458" s="104" t="s">
        <v>695</v>
      </c>
      <c r="D458" s="104" t="s">
        <v>74</v>
      </c>
      <c r="E458" s="114"/>
      <c r="F458" s="114"/>
      <c r="G458" s="114"/>
      <c r="H458" s="104">
        <v>4050001</v>
      </c>
      <c r="I458" s="104">
        <v>905</v>
      </c>
      <c r="J458" s="104">
        <v>844</v>
      </c>
      <c r="K458" s="104">
        <v>7</v>
      </c>
      <c r="L458" s="104">
        <v>837</v>
      </c>
      <c r="M458" s="104">
        <v>921.327</v>
      </c>
      <c r="N458" s="104" t="s">
        <v>24</v>
      </c>
      <c r="O458" s="104" t="s">
        <v>25</v>
      </c>
      <c r="P458" s="104" t="s">
        <v>271</v>
      </c>
      <c r="Q458" s="104">
        <v>46117.7826388889</v>
      </c>
      <c r="R458" s="104">
        <v>46117.7826388889</v>
      </c>
      <c r="S458" s="104">
        <v>46117.89375</v>
      </c>
      <c r="T458" s="104" t="s">
        <v>696</v>
      </c>
    </row>
    <row r="459" s="102" customFormat="1" ht="15" spans="1:20">
      <c r="A459" s="104" t="s">
        <v>22</v>
      </c>
      <c r="B459" s="104" t="s">
        <v>249</v>
      </c>
      <c r="C459" s="104" t="s">
        <v>697</v>
      </c>
      <c r="D459" s="104" t="s">
        <v>55</v>
      </c>
      <c r="E459" s="114"/>
      <c r="F459" s="114"/>
      <c r="G459" s="114"/>
      <c r="H459" s="104">
        <v>4050001</v>
      </c>
      <c r="I459" s="104">
        <v>78</v>
      </c>
      <c r="J459" s="104">
        <v>78</v>
      </c>
      <c r="K459" s="104">
        <v>0</v>
      </c>
      <c r="L459" s="104">
        <v>78</v>
      </c>
      <c r="M459" s="104">
        <v>87.475</v>
      </c>
      <c r="N459" s="104" t="s">
        <v>24</v>
      </c>
      <c r="O459" s="104" t="s">
        <v>25</v>
      </c>
      <c r="P459" s="104" t="s">
        <v>271</v>
      </c>
      <c r="Q459" s="104">
        <v>46117.7826388889</v>
      </c>
      <c r="R459" s="104">
        <v>46117.7833333333</v>
      </c>
      <c r="S459" s="104">
        <v>46117.89375</v>
      </c>
      <c r="T459" s="104" t="s">
        <v>696</v>
      </c>
    </row>
    <row r="460" s="102" customFormat="1" ht="15" spans="1:20">
      <c r="A460" s="104" t="s">
        <v>22</v>
      </c>
      <c r="B460" s="104" t="s">
        <v>229</v>
      </c>
      <c r="C460" s="104" t="s">
        <v>698</v>
      </c>
      <c r="D460" s="104" t="s">
        <v>231</v>
      </c>
      <c r="E460" s="114"/>
      <c r="F460" s="114"/>
      <c r="G460" s="114"/>
      <c r="H460" s="104">
        <v>4050002</v>
      </c>
      <c r="I460" s="104">
        <v>2904</v>
      </c>
      <c r="J460" s="104">
        <v>2904</v>
      </c>
      <c r="K460" s="104">
        <v>3</v>
      </c>
      <c r="L460" s="104">
        <v>2901</v>
      </c>
      <c r="M460" s="104">
        <v>4174.16</v>
      </c>
      <c r="N460" s="104" t="s">
        <v>24</v>
      </c>
      <c r="O460" s="104" t="s">
        <v>25</v>
      </c>
      <c r="P460" s="104" t="s">
        <v>271</v>
      </c>
      <c r="Q460" s="104">
        <v>46117.7819444444</v>
      </c>
      <c r="R460" s="104">
        <v>46117.7868055556</v>
      </c>
      <c r="S460" s="104">
        <v>46117.8944444444</v>
      </c>
      <c r="T460" s="104" t="s">
        <v>699</v>
      </c>
    </row>
    <row r="461" s="102" customFormat="1" ht="15" spans="1:20">
      <c r="A461" s="104" t="s">
        <v>22</v>
      </c>
      <c r="B461" s="104" t="s">
        <v>244</v>
      </c>
      <c r="C461" s="104" t="s">
        <v>700</v>
      </c>
      <c r="D461" s="104" t="s">
        <v>41</v>
      </c>
      <c r="E461" s="114"/>
      <c r="F461" s="114"/>
      <c r="G461" s="114"/>
      <c r="H461" s="104">
        <v>4050001</v>
      </c>
      <c r="I461" s="104">
        <v>295</v>
      </c>
      <c r="J461" s="104">
        <v>19</v>
      </c>
      <c r="K461" s="104">
        <v>4</v>
      </c>
      <c r="L461" s="104">
        <v>15</v>
      </c>
      <c r="M461" s="104">
        <v>192.859</v>
      </c>
      <c r="N461" s="104" t="s">
        <v>24</v>
      </c>
      <c r="O461" s="104" t="s">
        <v>25</v>
      </c>
      <c r="P461" s="104" t="s">
        <v>271</v>
      </c>
      <c r="Q461" s="104">
        <v>46117.7833333333</v>
      </c>
      <c r="R461" s="104">
        <v>46117.7868055556</v>
      </c>
      <c r="S461" s="104">
        <v>46117.8944444444</v>
      </c>
      <c r="T461" s="104" t="s">
        <v>699</v>
      </c>
    </row>
    <row r="462" s="102" customFormat="1" ht="15" spans="1:20">
      <c r="A462" s="104" t="s">
        <v>22</v>
      </c>
      <c r="B462" s="104" t="s">
        <v>263</v>
      </c>
      <c r="C462" s="104" t="s">
        <v>701</v>
      </c>
      <c r="D462" s="104" t="s">
        <v>265</v>
      </c>
      <c r="E462" s="114"/>
      <c r="F462" s="114"/>
      <c r="G462" s="114"/>
      <c r="H462" s="104">
        <v>4050001</v>
      </c>
      <c r="I462" s="104">
        <v>1377</v>
      </c>
      <c r="J462" s="104">
        <v>1301</v>
      </c>
      <c r="K462" s="104">
        <v>160</v>
      </c>
      <c r="L462" s="104">
        <v>1141</v>
      </c>
      <c r="M462" s="104">
        <v>2138.286</v>
      </c>
      <c r="N462" s="104" t="s">
        <v>24</v>
      </c>
      <c r="O462" s="104" t="s">
        <v>25</v>
      </c>
      <c r="P462" s="104" t="s">
        <v>271</v>
      </c>
      <c r="Q462" s="104">
        <v>46117.7881944444</v>
      </c>
      <c r="R462" s="104">
        <v>46117.7902777778</v>
      </c>
      <c r="S462" s="104">
        <v>46117.8951388889</v>
      </c>
      <c r="T462" s="104" t="s">
        <v>702</v>
      </c>
    </row>
    <row r="463" s="102" customFormat="1" ht="15" spans="1:20">
      <c r="A463" s="104" t="s">
        <v>22</v>
      </c>
      <c r="B463" s="104" t="s">
        <v>254</v>
      </c>
      <c r="C463" s="104" t="s">
        <v>703</v>
      </c>
      <c r="D463" s="104" t="s">
        <v>182</v>
      </c>
      <c r="E463" s="114"/>
      <c r="F463" s="114"/>
      <c r="G463" s="114"/>
      <c r="H463" s="104">
        <v>4050001</v>
      </c>
      <c r="I463" s="104">
        <v>3173</v>
      </c>
      <c r="J463" s="104">
        <v>3061</v>
      </c>
      <c r="K463" s="104">
        <v>356</v>
      </c>
      <c r="L463" s="104">
        <v>2705</v>
      </c>
      <c r="M463" s="104">
        <v>2539.176</v>
      </c>
      <c r="N463" s="104" t="s">
        <v>24</v>
      </c>
      <c r="O463" s="104" t="s">
        <v>25</v>
      </c>
      <c r="P463" s="104" t="s">
        <v>271</v>
      </c>
      <c r="Q463" s="104">
        <v>46117.7888888889</v>
      </c>
      <c r="R463" s="104">
        <v>46117.7909722222</v>
      </c>
      <c r="S463" s="104">
        <v>46117.8944444444</v>
      </c>
      <c r="T463" s="104" t="s">
        <v>704</v>
      </c>
    </row>
    <row r="464" s="102" customFormat="1" ht="15" spans="1:20">
      <c r="A464" s="104" t="s">
        <v>22</v>
      </c>
      <c r="B464" s="104" t="s">
        <v>261</v>
      </c>
      <c r="C464" s="104" t="s">
        <v>705</v>
      </c>
      <c r="D464" s="104" t="s">
        <v>44</v>
      </c>
      <c r="E464" s="114"/>
      <c r="F464" s="114"/>
      <c r="G464" s="104">
        <v>25646625500071</v>
      </c>
      <c r="H464" s="104">
        <v>4050001</v>
      </c>
      <c r="I464" s="104">
        <v>2366</v>
      </c>
      <c r="J464" s="104">
        <v>2237</v>
      </c>
      <c r="K464" s="104">
        <v>3</v>
      </c>
      <c r="L464" s="104">
        <v>2234</v>
      </c>
      <c r="M464" s="104">
        <v>3231.844</v>
      </c>
      <c r="N464" s="104" t="s">
        <v>24</v>
      </c>
      <c r="O464" s="104" t="s">
        <v>25</v>
      </c>
      <c r="P464" s="104" t="s">
        <v>271</v>
      </c>
      <c r="Q464" s="104">
        <v>46117.7875</v>
      </c>
      <c r="R464" s="104">
        <v>46117.7909722222</v>
      </c>
      <c r="S464" s="104">
        <v>46117.8951388889</v>
      </c>
      <c r="T464" s="104" t="s">
        <v>704</v>
      </c>
    </row>
    <row r="465" s="102" customFormat="1" ht="15" spans="1:20">
      <c r="A465" s="104" t="s">
        <v>22</v>
      </c>
      <c r="B465" s="104" t="s">
        <v>305</v>
      </c>
      <c r="C465" s="104" t="s">
        <v>706</v>
      </c>
      <c r="D465" s="104" t="s">
        <v>307</v>
      </c>
      <c r="E465" s="114"/>
      <c r="F465" s="114"/>
      <c r="G465" s="114"/>
      <c r="H465" s="104">
        <v>4050001</v>
      </c>
      <c r="I465" s="104">
        <v>688</v>
      </c>
      <c r="J465" s="104">
        <v>664</v>
      </c>
      <c r="K465" s="104">
        <v>1</v>
      </c>
      <c r="L465" s="104">
        <v>663</v>
      </c>
      <c r="M465" s="104">
        <v>593.837</v>
      </c>
      <c r="N465" s="104" t="s">
        <v>24</v>
      </c>
      <c r="O465" s="104" t="s">
        <v>25</v>
      </c>
      <c r="P465" s="104" t="s">
        <v>271</v>
      </c>
      <c r="Q465" s="104">
        <v>46117.7972222222</v>
      </c>
      <c r="R465" s="104">
        <v>46117.7979166667</v>
      </c>
      <c r="S465" s="104">
        <v>46117.8944444444</v>
      </c>
      <c r="T465" s="104" t="s">
        <v>707</v>
      </c>
    </row>
    <row r="466" s="102" customFormat="1" ht="15" spans="1:20">
      <c r="A466" s="104" t="s">
        <v>22</v>
      </c>
      <c r="B466" s="104" t="s">
        <v>219</v>
      </c>
      <c r="C466" s="104" t="s">
        <v>708</v>
      </c>
      <c r="D466" s="104" t="s">
        <v>252</v>
      </c>
      <c r="E466" s="114"/>
      <c r="F466" s="114"/>
      <c r="G466" s="104">
        <v>11111111111111</v>
      </c>
      <c r="H466" s="104">
        <v>4050001</v>
      </c>
      <c r="I466" s="104">
        <v>9361</v>
      </c>
      <c r="J466" s="104">
        <v>9336</v>
      </c>
      <c r="K466" s="104">
        <v>47</v>
      </c>
      <c r="L466" s="104">
        <v>9289</v>
      </c>
      <c r="M466" s="104">
        <v>4254.999</v>
      </c>
      <c r="N466" s="104" t="s">
        <v>24</v>
      </c>
      <c r="O466" s="104" t="s">
        <v>25</v>
      </c>
      <c r="P466" s="104" t="s">
        <v>271</v>
      </c>
      <c r="Q466" s="104">
        <v>46117.7979166667</v>
      </c>
      <c r="R466" s="104">
        <v>46117.8006944444</v>
      </c>
      <c r="S466" s="104">
        <v>46117.8930555556</v>
      </c>
      <c r="T466" s="104" t="s">
        <v>46</v>
      </c>
    </row>
    <row r="467" s="102" customFormat="1" ht="15" spans="1:20">
      <c r="A467" s="104" t="s">
        <v>22</v>
      </c>
      <c r="B467" s="104" t="s">
        <v>314</v>
      </c>
      <c r="C467" s="104" t="s">
        <v>709</v>
      </c>
      <c r="D467" s="104" t="s">
        <v>293</v>
      </c>
      <c r="E467" s="114"/>
      <c r="F467" s="114"/>
      <c r="G467" s="114"/>
      <c r="H467" s="104">
        <v>4050001</v>
      </c>
      <c r="I467" s="104">
        <v>56</v>
      </c>
      <c r="J467" s="104">
        <v>17</v>
      </c>
      <c r="K467" s="104">
        <v>7</v>
      </c>
      <c r="L467" s="104">
        <v>10</v>
      </c>
      <c r="M467" s="104">
        <v>62.221</v>
      </c>
      <c r="N467" s="104" t="s">
        <v>24</v>
      </c>
      <c r="O467" s="104" t="s">
        <v>25</v>
      </c>
      <c r="P467" s="104" t="s">
        <v>271</v>
      </c>
      <c r="Q467" s="104">
        <v>46117.8034722222</v>
      </c>
      <c r="R467" s="104">
        <v>46117.8041666667</v>
      </c>
      <c r="S467" s="104">
        <v>46117.8951388889</v>
      </c>
      <c r="T467" s="104" t="s">
        <v>710</v>
      </c>
    </row>
    <row r="468" s="102" customFormat="1" ht="15" spans="1:20">
      <c r="A468" s="104" t="s">
        <v>22</v>
      </c>
      <c r="B468" s="104" t="s">
        <v>164</v>
      </c>
      <c r="C468" s="104" t="s">
        <v>711</v>
      </c>
      <c r="D468" s="104" t="s">
        <v>494</v>
      </c>
      <c r="E468" s="114"/>
      <c r="F468" s="114"/>
      <c r="G468" s="114"/>
      <c r="H468" s="104">
        <v>4050002</v>
      </c>
      <c r="I468" s="104">
        <v>3885</v>
      </c>
      <c r="J468" s="104">
        <v>3885</v>
      </c>
      <c r="K468" s="104">
        <v>4</v>
      </c>
      <c r="L468" s="104">
        <v>3881</v>
      </c>
      <c r="M468" s="104">
        <v>6837.841</v>
      </c>
      <c r="N468" s="104" t="s">
        <v>24</v>
      </c>
      <c r="O468" s="104" t="s">
        <v>25</v>
      </c>
      <c r="P468" s="104" t="s">
        <v>271</v>
      </c>
      <c r="Q468" s="104">
        <v>46117.8055555556</v>
      </c>
      <c r="R468" s="104">
        <v>46117.8055555556</v>
      </c>
      <c r="S468" s="104">
        <v>46117.8951388889</v>
      </c>
      <c r="T468" s="104" t="s">
        <v>712</v>
      </c>
    </row>
    <row r="469" s="102" customFormat="1" ht="15" spans="1:20">
      <c r="A469" s="104" t="s">
        <v>22</v>
      </c>
      <c r="B469" s="104" t="s">
        <v>324</v>
      </c>
      <c r="C469" s="104" t="s">
        <v>713</v>
      </c>
      <c r="D469" s="104" t="s">
        <v>714</v>
      </c>
      <c r="E469" s="114"/>
      <c r="F469" s="114"/>
      <c r="G469" s="114"/>
      <c r="H469" s="104">
        <v>4050001</v>
      </c>
      <c r="I469" s="104">
        <v>2245</v>
      </c>
      <c r="J469" s="104">
        <v>1931</v>
      </c>
      <c r="K469" s="104">
        <v>138</v>
      </c>
      <c r="L469" s="104">
        <v>1793</v>
      </c>
      <c r="M469" s="104">
        <v>2160.504</v>
      </c>
      <c r="N469" s="104" t="s">
        <v>24</v>
      </c>
      <c r="O469" s="104" t="s">
        <v>25</v>
      </c>
      <c r="P469" s="104" t="s">
        <v>271</v>
      </c>
      <c r="Q469" s="104">
        <v>46117.8055555556</v>
      </c>
      <c r="R469" s="104">
        <v>46117.8069444444</v>
      </c>
      <c r="S469" s="104">
        <v>46117.89375</v>
      </c>
      <c r="T469" s="104" t="s">
        <v>62</v>
      </c>
    </row>
    <row r="470" s="102" customFormat="1" ht="15" spans="1:20">
      <c r="A470" s="104" t="s">
        <v>22</v>
      </c>
      <c r="B470" s="104" t="s">
        <v>257</v>
      </c>
      <c r="C470" s="104" t="s">
        <v>715</v>
      </c>
      <c r="D470" s="104" t="s">
        <v>259</v>
      </c>
      <c r="E470" s="114"/>
      <c r="F470" s="114"/>
      <c r="G470" s="114"/>
      <c r="H470" s="104">
        <v>4050001</v>
      </c>
      <c r="I470" s="104">
        <v>1277</v>
      </c>
      <c r="J470" s="104">
        <v>1235</v>
      </c>
      <c r="K470" s="104">
        <v>6</v>
      </c>
      <c r="L470" s="104">
        <v>1229</v>
      </c>
      <c r="M470" s="104">
        <v>2285.87</v>
      </c>
      <c r="N470" s="104" t="s">
        <v>24</v>
      </c>
      <c r="O470" s="104" t="s">
        <v>25</v>
      </c>
      <c r="P470" s="104" t="s">
        <v>271</v>
      </c>
      <c r="Q470" s="104">
        <v>46117.8048611111</v>
      </c>
      <c r="R470" s="104">
        <v>46117.8076388889</v>
      </c>
      <c r="S470" s="104">
        <v>46117.8951388889</v>
      </c>
      <c r="T470" s="104" t="s">
        <v>716</v>
      </c>
    </row>
    <row r="471" s="102" customFormat="1" ht="15" spans="1:20">
      <c r="A471" s="104" t="s">
        <v>22</v>
      </c>
      <c r="B471" s="104" t="s">
        <v>319</v>
      </c>
      <c r="C471" s="104" t="s">
        <v>717</v>
      </c>
      <c r="D471" s="104" t="s">
        <v>718</v>
      </c>
      <c r="E471" s="114"/>
      <c r="F471" s="114"/>
      <c r="G471" s="114"/>
      <c r="H471" s="104">
        <v>4050001</v>
      </c>
      <c r="I471" s="104">
        <v>666</v>
      </c>
      <c r="J471" s="104">
        <v>363</v>
      </c>
      <c r="K471" s="104">
        <v>31</v>
      </c>
      <c r="L471" s="104">
        <v>332</v>
      </c>
      <c r="M471" s="104">
        <v>248.449</v>
      </c>
      <c r="N471" s="104" t="s">
        <v>24</v>
      </c>
      <c r="O471" s="104" t="s">
        <v>25</v>
      </c>
      <c r="P471" s="104" t="s">
        <v>271</v>
      </c>
      <c r="Q471" s="104">
        <v>46117.8083333333</v>
      </c>
      <c r="R471" s="104">
        <v>46117.8090277778</v>
      </c>
      <c r="S471" s="104">
        <v>46117.89375</v>
      </c>
      <c r="T471" s="104" t="s">
        <v>279</v>
      </c>
    </row>
    <row r="472" s="102" customFormat="1" ht="15" spans="1:20">
      <c r="A472" s="104" t="s">
        <v>22</v>
      </c>
      <c r="B472" s="104" t="s">
        <v>332</v>
      </c>
      <c r="C472" s="104" t="s">
        <v>719</v>
      </c>
      <c r="D472" s="104" t="s">
        <v>334</v>
      </c>
      <c r="E472" s="114"/>
      <c r="F472" s="114"/>
      <c r="G472" s="114"/>
      <c r="H472" s="104">
        <v>4050001</v>
      </c>
      <c r="I472" s="104">
        <v>2307</v>
      </c>
      <c r="J472" s="104">
        <v>2037</v>
      </c>
      <c r="K472" s="104">
        <v>15</v>
      </c>
      <c r="L472" s="104">
        <v>2017</v>
      </c>
      <c r="M472" s="104">
        <v>1263.137</v>
      </c>
      <c r="N472" s="104" t="s">
        <v>24</v>
      </c>
      <c r="O472" s="104" t="s">
        <v>25</v>
      </c>
      <c r="P472" s="104" t="s">
        <v>271</v>
      </c>
      <c r="Q472" s="104">
        <v>46117.8131944444</v>
      </c>
      <c r="R472" s="104">
        <v>46117.8131944444</v>
      </c>
      <c r="S472" s="104">
        <v>46117.8958333333</v>
      </c>
      <c r="T472" s="104" t="s">
        <v>285</v>
      </c>
    </row>
    <row r="473" s="102" customFormat="1" ht="15" spans="1:20">
      <c r="A473" s="104" t="s">
        <v>22</v>
      </c>
      <c r="B473" s="104" t="s">
        <v>232</v>
      </c>
      <c r="C473" s="104" t="s">
        <v>720</v>
      </c>
      <c r="D473" s="104" t="s">
        <v>65</v>
      </c>
      <c r="E473" s="114"/>
      <c r="F473" s="114"/>
      <c r="G473" s="114"/>
      <c r="H473" s="104">
        <v>4050001</v>
      </c>
      <c r="I473" s="104">
        <v>2892</v>
      </c>
      <c r="J473" s="104">
        <v>2413</v>
      </c>
      <c r="K473" s="104">
        <v>109</v>
      </c>
      <c r="L473" s="104">
        <v>2304</v>
      </c>
      <c r="M473" s="104">
        <v>2861.944</v>
      </c>
      <c r="N473" s="104" t="s">
        <v>24</v>
      </c>
      <c r="O473" s="104" t="s">
        <v>25</v>
      </c>
      <c r="P473" s="104" t="s">
        <v>271</v>
      </c>
      <c r="Q473" s="104">
        <v>46117.8194444444</v>
      </c>
      <c r="R473" s="104">
        <v>46117.825</v>
      </c>
      <c r="S473" s="104">
        <v>46117.8958333333</v>
      </c>
      <c r="T473" s="104" t="s">
        <v>721</v>
      </c>
    </row>
    <row r="474" s="102" customFormat="1" ht="15" spans="1:20">
      <c r="A474" s="104" t="s">
        <v>22</v>
      </c>
      <c r="B474" s="104" t="s">
        <v>212</v>
      </c>
      <c r="C474" s="104" t="s">
        <v>722</v>
      </c>
      <c r="D474" s="104" t="s">
        <v>214</v>
      </c>
      <c r="E474" s="114"/>
      <c r="F474" s="114"/>
      <c r="G474" s="114"/>
      <c r="H474" s="104">
        <v>4050001</v>
      </c>
      <c r="I474" s="104">
        <v>99</v>
      </c>
      <c r="J474" s="104">
        <v>99</v>
      </c>
      <c r="K474" s="104">
        <v>0</v>
      </c>
      <c r="L474" s="104">
        <v>99</v>
      </c>
      <c r="M474" s="104">
        <v>243.79</v>
      </c>
      <c r="N474" s="104" t="s">
        <v>24</v>
      </c>
      <c r="O474" s="104" t="s">
        <v>25</v>
      </c>
      <c r="P474" s="104" t="s">
        <v>271</v>
      </c>
      <c r="Q474" s="104">
        <v>46117.8201388889</v>
      </c>
      <c r="R474" s="104">
        <v>46117.825</v>
      </c>
      <c r="S474" s="104">
        <v>46117.89375</v>
      </c>
      <c r="T474" s="104" t="s">
        <v>179</v>
      </c>
    </row>
    <row r="475" s="102" customFormat="1" ht="15" spans="1:20">
      <c r="A475" s="104" t="s">
        <v>22</v>
      </c>
      <c r="B475" s="104" t="s">
        <v>229</v>
      </c>
      <c r="C475" s="104" t="s">
        <v>723</v>
      </c>
      <c r="D475" s="104" t="s">
        <v>627</v>
      </c>
      <c r="E475" s="114"/>
      <c r="F475" s="104" t="s">
        <v>79</v>
      </c>
      <c r="G475" s="114"/>
      <c r="H475" s="104">
        <v>4050001</v>
      </c>
      <c r="I475" s="104">
        <v>6402</v>
      </c>
      <c r="J475" s="104">
        <v>6373</v>
      </c>
      <c r="K475" s="104">
        <v>2046</v>
      </c>
      <c r="L475" s="104">
        <v>4327</v>
      </c>
      <c r="M475" s="104">
        <v>7932.645</v>
      </c>
      <c r="N475" s="104" t="s">
        <v>24</v>
      </c>
      <c r="O475" s="104" t="s">
        <v>25</v>
      </c>
      <c r="P475" s="104" t="s">
        <v>271</v>
      </c>
      <c r="Q475" s="104">
        <v>46117.8416666667</v>
      </c>
      <c r="R475" s="104">
        <v>46117.84375</v>
      </c>
      <c r="S475" s="104">
        <v>46117.8944444444</v>
      </c>
      <c r="T475" s="104" t="s">
        <v>724</v>
      </c>
    </row>
    <row r="476" s="102" customFormat="1" ht="15" spans="1:20">
      <c r="A476" s="104" t="s">
        <v>22</v>
      </c>
      <c r="B476" s="104" t="s">
        <v>223</v>
      </c>
      <c r="C476" s="104" t="s">
        <v>725</v>
      </c>
      <c r="D476" s="104" t="s">
        <v>329</v>
      </c>
      <c r="E476" s="114"/>
      <c r="F476" s="114"/>
      <c r="G476" s="104" t="s">
        <v>726</v>
      </c>
      <c r="H476" s="104">
        <v>4050001</v>
      </c>
      <c r="I476" s="104">
        <v>70</v>
      </c>
      <c r="J476" s="104">
        <v>70</v>
      </c>
      <c r="K476" s="104">
        <v>1</v>
      </c>
      <c r="L476" s="104">
        <v>69</v>
      </c>
      <c r="M476" s="104">
        <v>59.678</v>
      </c>
      <c r="N476" s="104" t="s">
        <v>24</v>
      </c>
      <c r="O476" s="104" t="s">
        <v>25</v>
      </c>
      <c r="P476" s="104" t="s">
        <v>271</v>
      </c>
      <c r="Q476" s="104">
        <v>46117.84375</v>
      </c>
      <c r="R476" s="104">
        <v>46117.84375</v>
      </c>
      <c r="S476" s="104">
        <v>46117.8916666667</v>
      </c>
      <c r="T476" s="104" t="s">
        <v>126</v>
      </c>
    </row>
    <row r="477" s="102" customFormat="1" ht="15" spans="1:20">
      <c r="A477" s="104" t="s">
        <v>22</v>
      </c>
      <c r="B477" s="104" t="s">
        <v>336</v>
      </c>
      <c r="C477" s="104" t="s">
        <v>727</v>
      </c>
      <c r="D477" s="104" t="s">
        <v>190</v>
      </c>
      <c r="E477" s="114"/>
      <c r="F477" s="114"/>
      <c r="G477" s="114"/>
      <c r="H477" s="104">
        <v>4050001</v>
      </c>
      <c r="I477" s="104">
        <v>7081</v>
      </c>
      <c r="J477" s="104">
        <v>7081</v>
      </c>
      <c r="K477" s="104">
        <v>435</v>
      </c>
      <c r="L477" s="104">
        <v>6646</v>
      </c>
      <c r="M477" s="104">
        <v>5575.401</v>
      </c>
      <c r="N477" s="104" t="s">
        <v>24</v>
      </c>
      <c r="O477" s="104" t="s">
        <v>25</v>
      </c>
      <c r="P477" s="104" t="s">
        <v>271</v>
      </c>
      <c r="Q477" s="104">
        <v>46117.8423611111</v>
      </c>
      <c r="R477" s="104">
        <v>46117.84375</v>
      </c>
      <c r="S477" s="104">
        <v>46117.8958333333</v>
      </c>
      <c r="T477" s="104" t="s">
        <v>414</v>
      </c>
    </row>
    <row r="478" s="102" customFormat="1" ht="15" spans="1:20">
      <c r="A478" s="104" t="s">
        <v>22</v>
      </c>
      <c r="B478" s="104" t="s">
        <v>127</v>
      </c>
      <c r="C478" s="114"/>
      <c r="D478" s="104" t="s">
        <v>29</v>
      </c>
      <c r="E478" s="114"/>
      <c r="F478" s="114"/>
      <c r="G478" s="114"/>
      <c r="H478" s="104">
        <v>4051860</v>
      </c>
      <c r="I478" s="104">
        <v>0</v>
      </c>
      <c r="J478" s="104">
        <v>1</v>
      </c>
      <c r="K478" s="104">
        <v>0</v>
      </c>
      <c r="L478" s="104">
        <v>1</v>
      </c>
      <c r="M478" s="104">
        <v>0</v>
      </c>
      <c r="N478" s="104" t="s">
        <v>24</v>
      </c>
      <c r="O478" s="104" t="s">
        <v>25</v>
      </c>
      <c r="P478" s="104" t="s">
        <v>271</v>
      </c>
      <c r="Q478" s="104">
        <v>46117.8909722222</v>
      </c>
      <c r="R478" s="104">
        <v>46117.8909722222</v>
      </c>
      <c r="S478" s="104">
        <v>46117.8965277778</v>
      </c>
      <c r="T478" s="104" t="s">
        <v>728</v>
      </c>
    </row>
    <row r="479" s="102" customFormat="1" ht="15" spans="1:20">
      <c r="A479" s="104" t="s">
        <v>22</v>
      </c>
      <c r="B479" s="104" t="s">
        <v>127</v>
      </c>
      <c r="C479" s="114"/>
      <c r="D479" s="104" t="s">
        <v>29</v>
      </c>
      <c r="E479" s="114"/>
      <c r="F479" s="114"/>
      <c r="G479" s="114"/>
      <c r="H479" s="104">
        <v>4051859</v>
      </c>
      <c r="I479" s="104">
        <v>25</v>
      </c>
      <c r="J479" s="104">
        <v>1</v>
      </c>
      <c r="K479" s="104">
        <v>0</v>
      </c>
      <c r="L479" s="104">
        <v>1</v>
      </c>
      <c r="M479" s="104">
        <v>2.28</v>
      </c>
      <c r="N479" s="104" t="s">
        <v>24</v>
      </c>
      <c r="O479" s="104" t="s">
        <v>25</v>
      </c>
      <c r="P479" s="104" t="s">
        <v>271</v>
      </c>
      <c r="Q479" s="104">
        <v>46117.8909722222</v>
      </c>
      <c r="R479" s="104">
        <v>46117.8909722222</v>
      </c>
      <c r="S479" s="104">
        <v>46117.8965277778</v>
      </c>
      <c r="T479" s="104" t="s">
        <v>728</v>
      </c>
    </row>
    <row r="480" s="102" customFormat="1" ht="15" spans="1:20">
      <c r="A480" s="104" t="s">
        <v>22</v>
      </c>
      <c r="B480" s="104" t="s">
        <v>342</v>
      </c>
      <c r="C480" s="104" t="s">
        <v>729</v>
      </c>
      <c r="D480" s="104" t="s">
        <v>504</v>
      </c>
      <c r="E480" s="104" t="s">
        <v>505</v>
      </c>
      <c r="F480" s="104" t="s">
        <v>506</v>
      </c>
      <c r="G480" s="114"/>
      <c r="H480" s="104">
        <v>4050001</v>
      </c>
      <c r="I480" s="104">
        <v>16624</v>
      </c>
      <c r="J480" s="104">
        <v>2886</v>
      </c>
      <c r="K480" s="104">
        <v>3</v>
      </c>
      <c r="L480" s="104">
        <v>2883</v>
      </c>
      <c r="M480" s="104">
        <v>10184.665</v>
      </c>
      <c r="N480" s="104" t="s">
        <v>24</v>
      </c>
      <c r="O480" s="104" t="s">
        <v>70</v>
      </c>
      <c r="P480" s="104" t="s">
        <v>271</v>
      </c>
      <c r="Q480" s="104">
        <v>46117.7388888889</v>
      </c>
      <c r="R480" s="104">
        <v>46117.9215277778</v>
      </c>
      <c r="S480" s="104">
        <v>46117.9659722222</v>
      </c>
      <c r="T480" s="104" t="s">
        <v>730</v>
      </c>
    </row>
    <row r="481" s="102" customFormat="1" ht="15" spans="1:20">
      <c r="A481" s="104" t="s">
        <v>22</v>
      </c>
      <c r="B481" s="104" t="s">
        <v>107</v>
      </c>
      <c r="C481" s="104" t="s">
        <v>731</v>
      </c>
      <c r="D481" s="104" t="s">
        <v>643</v>
      </c>
      <c r="E481" s="104" t="s">
        <v>644</v>
      </c>
      <c r="F481" s="104" t="s">
        <v>645</v>
      </c>
      <c r="G481" s="114"/>
      <c r="H481" s="104">
        <v>4050001</v>
      </c>
      <c r="I481" s="104">
        <v>17550</v>
      </c>
      <c r="J481" s="104">
        <v>2452</v>
      </c>
      <c r="K481" s="104">
        <v>1</v>
      </c>
      <c r="L481" s="104">
        <v>2451</v>
      </c>
      <c r="M481" s="104">
        <v>9554.067</v>
      </c>
      <c r="N481" s="104" t="s">
        <v>24</v>
      </c>
      <c r="O481" s="104" t="s">
        <v>70</v>
      </c>
      <c r="P481" s="104" t="s">
        <v>271</v>
      </c>
      <c r="Q481" s="104">
        <v>46117.8013888889</v>
      </c>
      <c r="R481" s="104">
        <v>46117.9368055556</v>
      </c>
      <c r="S481" s="104">
        <v>46117.9659722222</v>
      </c>
      <c r="T481" s="104" t="s">
        <v>423</v>
      </c>
    </row>
    <row r="482" s="102" customFormat="1" ht="15" spans="1:20">
      <c r="A482" s="104" t="s">
        <v>22</v>
      </c>
      <c r="B482" s="104" t="s">
        <v>127</v>
      </c>
      <c r="C482" s="114"/>
      <c r="D482" s="104" t="s">
        <v>29</v>
      </c>
      <c r="E482" s="114"/>
      <c r="F482" s="114"/>
      <c r="G482" s="114"/>
      <c r="H482" s="104">
        <v>4051861</v>
      </c>
      <c r="I482" s="104">
        <v>233</v>
      </c>
      <c r="J482" s="104">
        <v>34</v>
      </c>
      <c r="K482" s="104">
        <v>0</v>
      </c>
      <c r="L482" s="104">
        <v>34</v>
      </c>
      <c r="M482" s="104">
        <v>6.599</v>
      </c>
      <c r="N482" s="104" t="s">
        <v>24</v>
      </c>
      <c r="O482" s="104" t="s">
        <v>25</v>
      </c>
      <c r="P482" s="104" t="s">
        <v>271</v>
      </c>
      <c r="Q482" s="104">
        <v>46117.9402777778</v>
      </c>
      <c r="R482" s="104">
        <v>46117.9402777778</v>
      </c>
      <c r="S482" s="104">
        <v>46118.1895833333</v>
      </c>
      <c r="T482" s="104" t="s">
        <v>732</v>
      </c>
    </row>
    <row r="483" s="102" customFormat="1" ht="15" spans="1:20">
      <c r="A483" s="104" t="s">
        <v>22</v>
      </c>
      <c r="B483" s="104" t="s">
        <v>527</v>
      </c>
      <c r="C483" s="104" t="s">
        <v>733</v>
      </c>
      <c r="D483" s="104" t="s">
        <v>639</v>
      </c>
      <c r="E483" s="104" t="s">
        <v>640</v>
      </c>
      <c r="F483" s="104" t="s">
        <v>641</v>
      </c>
      <c r="G483" s="114"/>
      <c r="H483" s="104">
        <v>4050001</v>
      </c>
      <c r="I483" s="104">
        <v>14075</v>
      </c>
      <c r="J483" s="104">
        <v>2517</v>
      </c>
      <c r="K483" s="104">
        <v>2</v>
      </c>
      <c r="L483" s="104">
        <v>2515</v>
      </c>
      <c r="M483" s="104">
        <v>9462.659</v>
      </c>
      <c r="N483" s="104" t="s">
        <v>24</v>
      </c>
      <c r="O483" s="104" t="s">
        <v>70</v>
      </c>
      <c r="P483" s="104" t="s">
        <v>271</v>
      </c>
      <c r="Q483" s="104">
        <v>46117.8819444444</v>
      </c>
      <c r="R483" s="104">
        <v>46117.9659722222</v>
      </c>
      <c r="S483" s="104">
        <v>46118.0305555556</v>
      </c>
      <c r="T483" s="104" t="s">
        <v>734</v>
      </c>
    </row>
    <row r="484" s="102" customFormat="1" ht="15" spans="1:20">
      <c r="A484" s="104" t="s">
        <v>22</v>
      </c>
      <c r="B484" s="104" t="s">
        <v>362</v>
      </c>
      <c r="C484" s="114"/>
      <c r="D484" s="114"/>
      <c r="E484" s="114"/>
      <c r="F484" s="114"/>
      <c r="G484" s="114"/>
      <c r="H484" s="104" t="s">
        <v>97</v>
      </c>
      <c r="I484" s="104">
        <v>164614</v>
      </c>
      <c r="J484" s="104">
        <v>5346</v>
      </c>
      <c r="K484" s="104">
        <v>0</v>
      </c>
      <c r="L484" s="104">
        <v>5346</v>
      </c>
      <c r="M484" s="104">
        <v>75526.709</v>
      </c>
      <c r="N484" s="104" t="s">
        <v>24</v>
      </c>
      <c r="O484" s="104" t="s">
        <v>70</v>
      </c>
      <c r="P484" s="104" t="s">
        <v>637</v>
      </c>
      <c r="Q484" s="114"/>
      <c r="R484" s="104">
        <v>46118</v>
      </c>
      <c r="S484" s="114"/>
      <c r="T484" s="114"/>
    </row>
    <row r="485" s="102" customFormat="1" ht="15" spans="1:20">
      <c r="A485" s="104" t="s">
        <v>22</v>
      </c>
      <c r="B485" s="104" t="s">
        <v>99</v>
      </c>
      <c r="C485" s="104" t="s">
        <v>99</v>
      </c>
      <c r="D485" s="104" t="s">
        <v>29</v>
      </c>
      <c r="E485" s="114"/>
      <c r="F485" s="114"/>
      <c r="G485" s="114"/>
      <c r="H485" s="104" t="s">
        <v>99</v>
      </c>
      <c r="I485" s="104">
        <v>6098</v>
      </c>
      <c r="J485" s="104">
        <v>6098</v>
      </c>
      <c r="K485" s="104">
        <v>0</v>
      </c>
      <c r="L485" s="104">
        <v>38</v>
      </c>
      <c r="M485" s="104">
        <v>11596.784</v>
      </c>
      <c r="N485" s="104" t="s">
        <v>24</v>
      </c>
      <c r="O485" s="104" t="s">
        <v>25</v>
      </c>
      <c r="P485" s="104" t="s">
        <v>735</v>
      </c>
      <c r="Q485" s="114"/>
      <c r="R485" s="104">
        <v>46118</v>
      </c>
      <c r="S485" s="114"/>
      <c r="T485" s="114"/>
    </row>
    <row r="486" s="102" customFormat="1" ht="15" spans="1:20">
      <c r="A486" s="104" t="s">
        <v>22</v>
      </c>
      <c r="B486" s="104" t="s">
        <v>357</v>
      </c>
      <c r="C486" s="104" t="s">
        <v>736</v>
      </c>
      <c r="D486" s="104" t="s">
        <v>359</v>
      </c>
      <c r="E486" s="104" t="s">
        <v>737</v>
      </c>
      <c r="F486" s="104" t="s">
        <v>738</v>
      </c>
      <c r="G486" s="114"/>
      <c r="H486" s="104">
        <v>4050001</v>
      </c>
      <c r="I486" s="104">
        <v>17962</v>
      </c>
      <c r="J486" s="104">
        <v>3149</v>
      </c>
      <c r="K486" s="104">
        <v>6</v>
      </c>
      <c r="L486" s="104">
        <v>3143</v>
      </c>
      <c r="M486" s="104">
        <v>11397.766</v>
      </c>
      <c r="N486" s="104" t="s">
        <v>24</v>
      </c>
      <c r="O486" s="104" t="s">
        <v>70</v>
      </c>
      <c r="P486" s="104" t="s">
        <v>271</v>
      </c>
      <c r="Q486" s="104">
        <v>46118.01875</v>
      </c>
      <c r="R486" s="104">
        <v>46118.0298611111</v>
      </c>
      <c r="S486" s="104">
        <v>46118.0604166667</v>
      </c>
      <c r="T486" s="104" t="s">
        <v>459</v>
      </c>
    </row>
    <row r="487" s="102" customFormat="1" ht="15" spans="1:20">
      <c r="A487" s="104" t="s">
        <v>22</v>
      </c>
      <c r="B487" s="104" t="s">
        <v>113</v>
      </c>
      <c r="C487" s="104" t="s">
        <v>739</v>
      </c>
      <c r="D487" s="104" t="s">
        <v>115</v>
      </c>
      <c r="E487" s="114"/>
      <c r="F487" s="114"/>
      <c r="G487" s="114"/>
      <c r="H487" s="104">
        <v>4050001</v>
      </c>
      <c r="I487" s="104">
        <v>775</v>
      </c>
      <c r="J487" s="104">
        <v>407</v>
      </c>
      <c r="K487" s="104">
        <v>0</v>
      </c>
      <c r="L487" s="104">
        <v>407</v>
      </c>
      <c r="M487" s="104">
        <v>1102.617</v>
      </c>
      <c r="N487" s="104" t="s">
        <v>24</v>
      </c>
      <c r="O487" s="104" t="s">
        <v>70</v>
      </c>
      <c r="P487" s="104" t="s">
        <v>271</v>
      </c>
      <c r="Q487" s="104">
        <v>46118.1305555556</v>
      </c>
      <c r="R487" s="104">
        <v>46118.13125</v>
      </c>
      <c r="S487" s="104">
        <v>46118.1597222222</v>
      </c>
      <c r="T487" s="104" t="s">
        <v>395</v>
      </c>
    </row>
    <row r="488" s="102" customFormat="1" ht="15" spans="1:20">
      <c r="A488" s="104" t="s">
        <v>22</v>
      </c>
      <c r="B488" s="104" t="s">
        <v>117</v>
      </c>
      <c r="C488" s="104" t="s">
        <v>740</v>
      </c>
      <c r="D488" s="104" t="s">
        <v>371</v>
      </c>
      <c r="E488" s="114"/>
      <c r="F488" s="114"/>
      <c r="G488" s="114"/>
      <c r="H488" s="104">
        <v>4060001</v>
      </c>
      <c r="I488" s="104">
        <v>2465</v>
      </c>
      <c r="J488" s="104">
        <v>1415</v>
      </c>
      <c r="K488" s="104">
        <v>298</v>
      </c>
      <c r="L488" s="104">
        <v>1117</v>
      </c>
      <c r="M488" s="104">
        <v>4229.801</v>
      </c>
      <c r="N488" s="104" t="s">
        <v>24</v>
      </c>
      <c r="O488" s="104" t="s">
        <v>70</v>
      </c>
      <c r="P488" s="104" t="s">
        <v>271</v>
      </c>
      <c r="Q488" s="104">
        <v>46118.1465277778</v>
      </c>
      <c r="R488" s="104">
        <v>46118.1597222222</v>
      </c>
      <c r="S488" s="104">
        <v>46118.1895833333</v>
      </c>
      <c r="T488" s="104" t="s">
        <v>459</v>
      </c>
    </row>
    <row r="489" s="102" customFormat="1" ht="15" spans="1:20">
      <c r="A489" s="104" t="s">
        <v>22</v>
      </c>
      <c r="B489" s="104" t="s">
        <v>129</v>
      </c>
      <c r="C489" s="114"/>
      <c r="D489" s="104" t="s">
        <v>29</v>
      </c>
      <c r="E489" s="114"/>
      <c r="F489" s="114"/>
      <c r="G489" s="114"/>
      <c r="H489" s="104">
        <v>4061843</v>
      </c>
      <c r="I489" s="104">
        <v>51</v>
      </c>
      <c r="J489" s="104">
        <v>51</v>
      </c>
      <c r="K489" s="104">
        <v>0</v>
      </c>
      <c r="L489" s="104">
        <v>51</v>
      </c>
      <c r="M489" s="104">
        <v>0</v>
      </c>
      <c r="N489" s="104" t="s">
        <v>24</v>
      </c>
      <c r="O489" s="104" t="s">
        <v>25</v>
      </c>
      <c r="P489" s="104" t="s">
        <v>271</v>
      </c>
      <c r="Q489" s="104">
        <v>46118.2090277778</v>
      </c>
      <c r="R489" s="104">
        <v>46118.2090277778</v>
      </c>
      <c r="S489" s="104">
        <v>46118.275</v>
      </c>
      <c r="T489" s="104" t="s">
        <v>741</v>
      </c>
    </row>
    <row r="490" s="102" customFormat="1" ht="15" spans="1:20">
      <c r="A490" s="104" t="s">
        <v>22</v>
      </c>
      <c r="B490" s="104" t="s">
        <v>28</v>
      </c>
      <c r="C490" s="114"/>
      <c r="D490" s="104" t="s">
        <v>29</v>
      </c>
      <c r="E490" s="114"/>
      <c r="F490" s="114"/>
      <c r="G490" s="114"/>
      <c r="H490" s="104">
        <v>4062109</v>
      </c>
      <c r="I490" s="104">
        <v>0</v>
      </c>
      <c r="J490" s="104">
        <v>85</v>
      </c>
      <c r="K490" s="104">
        <v>0</v>
      </c>
      <c r="L490" s="104">
        <v>85</v>
      </c>
      <c r="M490" s="104">
        <v>0</v>
      </c>
      <c r="N490" s="104" t="s">
        <v>24</v>
      </c>
      <c r="O490" s="104" t="s">
        <v>25</v>
      </c>
      <c r="P490" s="104" t="s">
        <v>271</v>
      </c>
      <c r="Q490" s="104">
        <v>46118.2305555556</v>
      </c>
      <c r="R490" s="104">
        <v>46118.2305555556</v>
      </c>
      <c r="S490" s="104">
        <v>46118.275</v>
      </c>
      <c r="T490" s="104" t="s">
        <v>730</v>
      </c>
    </row>
    <row r="491" s="102" customFormat="1" ht="15" spans="1:20">
      <c r="A491" s="104" t="s">
        <v>22</v>
      </c>
      <c r="B491" s="104" t="s">
        <v>121</v>
      </c>
      <c r="C491" s="104" t="s">
        <v>742</v>
      </c>
      <c r="D491" s="104" t="s">
        <v>385</v>
      </c>
      <c r="E491" s="104" t="s">
        <v>386</v>
      </c>
      <c r="F491" s="104" t="s">
        <v>387</v>
      </c>
      <c r="G491" s="114"/>
      <c r="H491" s="104">
        <v>4060001</v>
      </c>
      <c r="I491" s="104">
        <v>17409</v>
      </c>
      <c r="J491" s="104">
        <v>4117</v>
      </c>
      <c r="K491" s="104">
        <v>7</v>
      </c>
      <c r="L491" s="104">
        <v>4110</v>
      </c>
      <c r="M491" s="104">
        <v>13612.618</v>
      </c>
      <c r="N491" s="104" t="s">
        <v>24</v>
      </c>
      <c r="O491" s="104" t="s">
        <v>70</v>
      </c>
      <c r="P491" s="104" t="s">
        <v>271</v>
      </c>
      <c r="Q491" s="104">
        <v>46118.2284722222</v>
      </c>
      <c r="R491" s="104">
        <v>46118.2368055556</v>
      </c>
      <c r="S491" s="104">
        <v>46118.275</v>
      </c>
      <c r="T491" s="104" t="s">
        <v>404</v>
      </c>
    </row>
    <row r="492" s="102" customFormat="1" ht="15" spans="1:20">
      <c r="A492" s="104" t="s">
        <v>22</v>
      </c>
      <c r="B492" s="104" t="s">
        <v>28</v>
      </c>
      <c r="C492" s="114"/>
      <c r="D492" s="104" t="s">
        <v>29</v>
      </c>
      <c r="E492" s="114"/>
      <c r="F492" s="114"/>
      <c r="G492" s="114"/>
      <c r="H492" s="104">
        <v>4062110</v>
      </c>
      <c r="I492" s="104">
        <v>0</v>
      </c>
      <c r="J492" s="104">
        <v>16</v>
      </c>
      <c r="K492" s="104">
        <v>0</v>
      </c>
      <c r="L492" s="104">
        <v>16</v>
      </c>
      <c r="M492" s="104">
        <v>0</v>
      </c>
      <c r="N492" s="104" t="s">
        <v>24</v>
      </c>
      <c r="O492" s="104" t="s">
        <v>25</v>
      </c>
      <c r="P492" s="104" t="s">
        <v>271</v>
      </c>
      <c r="Q492" s="104">
        <v>46118.2423611111</v>
      </c>
      <c r="R492" s="104">
        <v>46118.2423611111</v>
      </c>
      <c r="S492" s="104">
        <v>46118.275</v>
      </c>
      <c r="T492" s="104" t="s">
        <v>153</v>
      </c>
    </row>
    <row r="493" s="102" customFormat="1" ht="15" spans="1:20">
      <c r="A493" s="104" t="s">
        <v>22</v>
      </c>
      <c r="B493" s="104" t="s">
        <v>132</v>
      </c>
      <c r="C493" s="104" t="s">
        <v>743</v>
      </c>
      <c r="D493" s="104" t="s">
        <v>134</v>
      </c>
      <c r="E493" s="114"/>
      <c r="F493" s="114"/>
      <c r="G493" s="114"/>
      <c r="H493" s="104">
        <v>4050001</v>
      </c>
      <c r="I493" s="104">
        <v>568</v>
      </c>
      <c r="J493" s="104">
        <v>498</v>
      </c>
      <c r="K493" s="104">
        <v>0</v>
      </c>
      <c r="L493" s="104">
        <v>498</v>
      </c>
      <c r="M493" s="104">
        <v>1807.624</v>
      </c>
      <c r="N493" s="104" t="s">
        <v>24</v>
      </c>
      <c r="O493" s="104" t="s">
        <v>70</v>
      </c>
      <c r="P493" s="104" t="s">
        <v>271</v>
      </c>
      <c r="Q493" s="104">
        <v>46118.2722222222</v>
      </c>
      <c r="R493" s="104">
        <v>46118.275</v>
      </c>
      <c r="S493" s="104">
        <v>46118.2833333333</v>
      </c>
      <c r="T493" s="104" t="s">
        <v>381</v>
      </c>
    </row>
    <row r="494" s="102" customFormat="1" ht="15" spans="1:20">
      <c r="A494" s="104" t="s">
        <v>22</v>
      </c>
      <c r="B494" s="104" t="s">
        <v>148</v>
      </c>
      <c r="C494" s="104" t="s">
        <v>744</v>
      </c>
      <c r="D494" s="104" t="s">
        <v>150</v>
      </c>
      <c r="E494" s="104" t="s">
        <v>151</v>
      </c>
      <c r="F494" s="104" t="s">
        <v>152</v>
      </c>
      <c r="G494" s="114"/>
      <c r="H494" s="104">
        <v>4050001</v>
      </c>
      <c r="I494" s="104">
        <v>6757</v>
      </c>
      <c r="J494" s="104">
        <v>1333</v>
      </c>
      <c r="K494" s="104">
        <v>2</v>
      </c>
      <c r="L494" s="104">
        <v>1331</v>
      </c>
      <c r="M494" s="104">
        <v>4941.438</v>
      </c>
      <c r="N494" s="104" t="s">
        <v>24</v>
      </c>
      <c r="O494" s="104" t="s">
        <v>70</v>
      </c>
      <c r="P494" s="104" t="s">
        <v>106</v>
      </c>
      <c r="Q494" s="104">
        <v>46118.2888888889</v>
      </c>
      <c r="R494" s="104">
        <v>46118.2965277778</v>
      </c>
      <c r="S494" s="104">
        <v>46118.3229166667</v>
      </c>
      <c r="T494" s="104" t="s">
        <v>745</v>
      </c>
    </row>
    <row r="495" s="102" customFormat="1" ht="15" spans="1:20">
      <c r="A495" s="104" t="s">
        <v>22</v>
      </c>
      <c r="B495" s="104" t="s">
        <v>138</v>
      </c>
      <c r="C495" s="104" t="s">
        <v>746</v>
      </c>
      <c r="D495" s="104" t="s">
        <v>140</v>
      </c>
      <c r="E495" s="114"/>
      <c r="F495" s="114"/>
      <c r="G495" s="114"/>
      <c r="H495" s="104">
        <v>4060001</v>
      </c>
      <c r="I495" s="104">
        <v>3516</v>
      </c>
      <c r="J495" s="104">
        <v>872</v>
      </c>
      <c r="K495" s="104">
        <v>583</v>
      </c>
      <c r="L495" s="104">
        <v>289</v>
      </c>
      <c r="M495" s="104">
        <v>3535.914</v>
      </c>
      <c r="N495" s="104" t="s">
        <v>24</v>
      </c>
      <c r="O495" s="104" t="s">
        <v>70</v>
      </c>
      <c r="P495" s="104" t="s">
        <v>106</v>
      </c>
      <c r="Q495" s="104">
        <v>46118.3041666667</v>
      </c>
      <c r="R495" s="104">
        <v>46118.3215277778</v>
      </c>
      <c r="S495" s="104">
        <v>46118.34375</v>
      </c>
      <c r="T495" s="104" t="s">
        <v>200</v>
      </c>
    </row>
    <row r="496" s="102" customFormat="1" ht="30" spans="1:20">
      <c r="A496" s="104" t="s">
        <v>22</v>
      </c>
      <c r="B496" s="104" t="s">
        <v>154</v>
      </c>
      <c r="C496" s="114"/>
      <c r="D496" s="104" t="s">
        <v>29</v>
      </c>
      <c r="E496" s="114"/>
      <c r="F496" s="114"/>
      <c r="G496" s="114"/>
      <c r="H496" s="104">
        <v>4061021</v>
      </c>
      <c r="I496" s="104">
        <v>165</v>
      </c>
      <c r="J496" s="104">
        <v>165</v>
      </c>
      <c r="K496" s="104">
        <v>0</v>
      </c>
      <c r="L496" s="104">
        <v>165</v>
      </c>
      <c r="M496" s="104">
        <v>140.28</v>
      </c>
      <c r="N496" s="104" t="s">
        <v>24</v>
      </c>
      <c r="O496" s="104" t="s">
        <v>25</v>
      </c>
      <c r="P496" s="104" t="s">
        <v>155</v>
      </c>
      <c r="Q496" s="104">
        <v>46118.3673611111</v>
      </c>
      <c r="R496" s="104">
        <v>46118.3673611111</v>
      </c>
      <c r="S496" s="114"/>
      <c r="T496" s="114"/>
    </row>
    <row r="497" s="102" customFormat="1" ht="15" spans="1:20">
      <c r="A497" s="104" t="s">
        <v>22</v>
      </c>
      <c r="B497" s="104" t="s">
        <v>72</v>
      </c>
      <c r="C497" s="104" t="s">
        <v>747</v>
      </c>
      <c r="D497" s="104" t="s">
        <v>74</v>
      </c>
      <c r="E497" s="114"/>
      <c r="F497" s="114"/>
      <c r="G497" s="114"/>
      <c r="H497" s="104">
        <v>4050001</v>
      </c>
      <c r="I497" s="104">
        <v>208</v>
      </c>
      <c r="J497" s="104">
        <v>106</v>
      </c>
      <c r="K497" s="104">
        <v>21</v>
      </c>
      <c r="L497" s="104">
        <v>85</v>
      </c>
      <c r="M497" s="104">
        <v>111.796</v>
      </c>
      <c r="N497" s="104" t="s">
        <v>24</v>
      </c>
      <c r="O497" s="104" t="s">
        <v>25</v>
      </c>
      <c r="P497" s="104" t="s">
        <v>271</v>
      </c>
      <c r="Q497" s="104">
        <v>46117.53125</v>
      </c>
      <c r="R497" s="104">
        <v>46117.5340277778</v>
      </c>
      <c r="S497" s="104">
        <v>46117.5458333333</v>
      </c>
      <c r="T497" s="104" t="s">
        <v>369</v>
      </c>
    </row>
    <row r="498" s="102" customFormat="1" ht="15" spans="1:20">
      <c r="A498" s="104" t="s">
        <v>22</v>
      </c>
      <c r="B498" s="104" t="s">
        <v>180</v>
      </c>
      <c r="C498" s="104" t="s">
        <v>748</v>
      </c>
      <c r="D498" s="104" t="s">
        <v>182</v>
      </c>
      <c r="E498" s="114"/>
      <c r="F498" s="114"/>
      <c r="G498" s="114"/>
      <c r="H498" s="104">
        <v>4050001</v>
      </c>
      <c r="I498" s="104">
        <v>1081</v>
      </c>
      <c r="J498" s="104">
        <v>809</v>
      </c>
      <c r="K498" s="104">
        <v>510</v>
      </c>
      <c r="L498" s="104">
        <v>299</v>
      </c>
      <c r="M498" s="104">
        <v>1699.089</v>
      </c>
      <c r="N498" s="104" t="s">
        <v>24</v>
      </c>
      <c r="O498" s="104" t="s">
        <v>25</v>
      </c>
      <c r="P498" s="104" t="s">
        <v>271</v>
      </c>
      <c r="Q498" s="104">
        <v>46117.525</v>
      </c>
      <c r="R498" s="104">
        <v>46117.5340277778</v>
      </c>
      <c r="S498" s="104">
        <v>46117.5458333333</v>
      </c>
      <c r="T498" s="104" t="s">
        <v>369</v>
      </c>
    </row>
    <row r="499" s="102" customFormat="1" ht="15" spans="1:20">
      <c r="A499" s="104" t="s">
        <v>22</v>
      </c>
      <c r="B499" s="104" t="s">
        <v>91</v>
      </c>
      <c r="C499" s="104" t="s">
        <v>749</v>
      </c>
      <c r="D499" s="104" t="s">
        <v>93</v>
      </c>
      <c r="E499" s="114"/>
      <c r="F499" s="114"/>
      <c r="G499" s="104">
        <v>12345678900000</v>
      </c>
      <c r="H499" s="104">
        <v>4050003</v>
      </c>
      <c r="I499" s="104">
        <v>1746</v>
      </c>
      <c r="J499" s="104">
        <v>1746</v>
      </c>
      <c r="K499" s="104">
        <v>0</v>
      </c>
      <c r="L499" s="104">
        <v>1746</v>
      </c>
      <c r="M499" s="104">
        <v>3876.368</v>
      </c>
      <c r="N499" s="104" t="s">
        <v>24</v>
      </c>
      <c r="O499" s="104" t="s">
        <v>25</v>
      </c>
      <c r="P499" s="104" t="s">
        <v>271</v>
      </c>
      <c r="Q499" s="104">
        <v>46117.5395833333</v>
      </c>
      <c r="R499" s="104">
        <v>46117.5402777778</v>
      </c>
      <c r="S499" s="104">
        <v>46117.6215277778</v>
      </c>
      <c r="T499" s="104" t="s">
        <v>290</v>
      </c>
    </row>
    <row r="500" s="102" customFormat="1" ht="15" spans="1:20">
      <c r="A500" s="104" t="s">
        <v>22</v>
      </c>
      <c r="B500" s="104" t="s">
        <v>197</v>
      </c>
      <c r="C500" s="104" t="s">
        <v>750</v>
      </c>
      <c r="D500" s="104" t="s">
        <v>199</v>
      </c>
      <c r="E500" s="114"/>
      <c r="F500" s="114"/>
      <c r="G500" s="104">
        <v>11111111111111</v>
      </c>
      <c r="H500" s="104">
        <v>4050001</v>
      </c>
      <c r="I500" s="104">
        <v>6578</v>
      </c>
      <c r="J500" s="104">
        <v>6388</v>
      </c>
      <c r="K500" s="104">
        <v>33</v>
      </c>
      <c r="L500" s="104">
        <v>6355</v>
      </c>
      <c r="M500" s="104">
        <v>5349.36</v>
      </c>
      <c r="N500" s="104" t="s">
        <v>24</v>
      </c>
      <c r="O500" s="104" t="s">
        <v>25</v>
      </c>
      <c r="P500" s="104" t="s">
        <v>271</v>
      </c>
      <c r="Q500" s="104">
        <v>46117.5423611111</v>
      </c>
      <c r="R500" s="104">
        <v>46117.5423611111</v>
      </c>
      <c r="S500" s="104">
        <v>46117.6215277778</v>
      </c>
      <c r="T500" s="104" t="s">
        <v>603</v>
      </c>
    </row>
    <row r="501" s="102" customFormat="1" ht="15" spans="1:20">
      <c r="A501" s="104" t="s">
        <v>22</v>
      </c>
      <c r="B501" s="104" t="s">
        <v>23</v>
      </c>
      <c r="C501" s="104" t="s">
        <v>751</v>
      </c>
      <c r="D501" s="104" t="s">
        <v>193</v>
      </c>
      <c r="E501" s="114"/>
      <c r="F501" s="114"/>
      <c r="G501" s="114"/>
      <c r="H501" s="104">
        <v>4050001</v>
      </c>
      <c r="I501" s="104">
        <v>835</v>
      </c>
      <c r="J501" s="104">
        <v>835</v>
      </c>
      <c r="K501" s="104">
        <v>0</v>
      </c>
      <c r="L501" s="104">
        <v>835</v>
      </c>
      <c r="M501" s="104">
        <v>1210.87</v>
      </c>
      <c r="N501" s="104" t="s">
        <v>24</v>
      </c>
      <c r="O501" s="104" t="s">
        <v>25</v>
      </c>
      <c r="P501" s="104" t="s">
        <v>271</v>
      </c>
      <c r="Q501" s="104">
        <v>46117.5423611111</v>
      </c>
      <c r="R501" s="104">
        <v>46117.5423611111</v>
      </c>
      <c r="S501" s="104">
        <v>46117.6215277778</v>
      </c>
      <c r="T501" s="104" t="s">
        <v>603</v>
      </c>
    </row>
    <row r="502" s="102" customFormat="1" ht="15" spans="1:20">
      <c r="A502" s="104" t="s">
        <v>22</v>
      </c>
      <c r="B502" s="104" t="s">
        <v>201</v>
      </c>
      <c r="C502" s="104" t="s">
        <v>752</v>
      </c>
      <c r="D502" s="104" t="s">
        <v>374</v>
      </c>
      <c r="E502" s="104" t="s">
        <v>375</v>
      </c>
      <c r="F502" s="104" t="s">
        <v>376</v>
      </c>
      <c r="G502" s="114"/>
      <c r="H502" s="104">
        <v>4050001</v>
      </c>
      <c r="I502" s="104">
        <v>14641</v>
      </c>
      <c r="J502" s="104">
        <v>2556</v>
      </c>
      <c r="K502" s="104">
        <v>9</v>
      </c>
      <c r="L502" s="104">
        <v>2547</v>
      </c>
      <c r="M502" s="104">
        <v>9370.546</v>
      </c>
      <c r="N502" s="104" t="s">
        <v>24</v>
      </c>
      <c r="O502" s="104" t="s">
        <v>70</v>
      </c>
      <c r="P502" s="104" t="s">
        <v>271</v>
      </c>
      <c r="Q502" s="104">
        <v>46117.4944444444</v>
      </c>
      <c r="R502" s="104">
        <v>46117.6013888889</v>
      </c>
      <c r="S502" s="104">
        <v>46117.7451388889</v>
      </c>
      <c r="T502" s="104" t="s">
        <v>753</v>
      </c>
    </row>
    <row r="503" s="102" customFormat="1" ht="15" spans="1:20">
      <c r="A503" s="104" t="s">
        <v>22</v>
      </c>
      <c r="B503" s="104" t="s">
        <v>207</v>
      </c>
      <c r="C503" s="104" t="s">
        <v>754</v>
      </c>
      <c r="D503" s="104" t="s">
        <v>123</v>
      </c>
      <c r="E503" s="104" t="s">
        <v>124</v>
      </c>
      <c r="F503" s="104" t="s">
        <v>125</v>
      </c>
      <c r="G503" s="114"/>
      <c r="H503" s="104">
        <v>4050001</v>
      </c>
      <c r="I503" s="104">
        <v>14972</v>
      </c>
      <c r="J503" s="104">
        <v>2888</v>
      </c>
      <c r="K503" s="104">
        <v>1</v>
      </c>
      <c r="L503" s="104">
        <v>2887</v>
      </c>
      <c r="M503" s="104">
        <v>10425.923</v>
      </c>
      <c r="N503" s="104" t="s">
        <v>24</v>
      </c>
      <c r="O503" s="104" t="s">
        <v>70</v>
      </c>
      <c r="P503" s="104" t="s">
        <v>271</v>
      </c>
      <c r="Q503" s="104">
        <v>46117.5708333333</v>
      </c>
      <c r="R503" s="104">
        <v>46117.6020833333</v>
      </c>
      <c r="S503" s="104">
        <v>46117.7451388889</v>
      </c>
      <c r="T503" s="104" t="s">
        <v>379</v>
      </c>
    </row>
    <row r="504" s="102" customFormat="1" ht="15" spans="1:20">
      <c r="A504" s="104" t="s">
        <v>22</v>
      </c>
      <c r="B504" s="104" t="s">
        <v>91</v>
      </c>
      <c r="C504" s="104" t="s">
        <v>755</v>
      </c>
      <c r="D504" s="104" t="s">
        <v>93</v>
      </c>
      <c r="E504" s="114"/>
      <c r="F504" s="114"/>
      <c r="G504" s="104">
        <v>11111111111111</v>
      </c>
      <c r="H504" s="104">
        <v>4050002</v>
      </c>
      <c r="I504" s="104">
        <v>1127</v>
      </c>
      <c r="J504" s="104">
        <v>1127</v>
      </c>
      <c r="K504" s="104">
        <v>1</v>
      </c>
      <c r="L504" s="104">
        <v>1126</v>
      </c>
      <c r="M504" s="104">
        <v>2390.587</v>
      </c>
      <c r="N504" s="104" t="s">
        <v>24</v>
      </c>
      <c r="O504" s="104" t="s">
        <v>25</v>
      </c>
      <c r="P504" s="104" t="s">
        <v>271</v>
      </c>
      <c r="Q504" s="104">
        <v>46117.7069444444</v>
      </c>
      <c r="R504" s="104">
        <v>46117.7104166667</v>
      </c>
      <c r="S504" s="104">
        <v>46117.7451388889</v>
      </c>
      <c r="T504" s="104" t="s">
        <v>112</v>
      </c>
    </row>
    <row r="505" s="102" customFormat="1" ht="15" spans="1:20">
      <c r="A505" s="104" t="s">
        <v>22</v>
      </c>
      <c r="B505" s="104" t="s">
        <v>175</v>
      </c>
      <c r="C505" s="104" t="s">
        <v>756</v>
      </c>
      <c r="D505" s="104" t="s">
        <v>177</v>
      </c>
      <c r="E505" s="114"/>
      <c r="F505" s="114"/>
      <c r="G505" s="104">
        <v>11111111111111</v>
      </c>
      <c r="H505" s="104">
        <v>4050003</v>
      </c>
      <c r="I505" s="104">
        <v>1400</v>
      </c>
      <c r="J505" s="104">
        <v>1400</v>
      </c>
      <c r="K505" s="104">
        <v>2</v>
      </c>
      <c r="L505" s="104">
        <v>1398</v>
      </c>
      <c r="M505" s="104">
        <v>3027.68</v>
      </c>
      <c r="N505" s="104" t="s">
        <v>24</v>
      </c>
      <c r="O505" s="104" t="s">
        <v>25</v>
      </c>
      <c r="P505" s="104" t="s">
        <v>271</v>
      </c>
      <c r="Q505" s="104">
        <v>46117.7180555556</v>
      </c>
      <c r="R505" s="104">
        <v>46117.7180555556</v>
      </c>
      <c r="S505" s="104">
        <v>46117.7458333333</v>
      </c>
      <c r="T505" s="104" t="s">
        <v>391</v>
      </c>
    </row>
    <row r="506" s="102" customFormat="1" ht="15" spans="1:20">
      <c r="A506" s="104" t="s">
        <v>22</v>
      </c>
      <c r="B506" s="104" t="s">
        <v>47</v>
      </c>
      <c r="C506" s="114"/>
      <c r="D506" s="114"/>
      <c r="E506" s="114"/>
      <c r="F506" s="114"/>
      <c r="G506" s="114"/>
      <c r="H506" s="104">
        <v>40501</v>
      </c>
      <c r="I506" s="104">
        <v>1</v>
      </c>
      <c r="J506" s="104">
        <v>1</v>
      </c>
      <c r="K506" s="104">
        <v>1</v>
      </c>
      <c r="L506" s="104">
        <v>0</v>
      </c>
      <c r="M506" s="104">
        <v>1.145</v>
      </c>
      <c r="N506" s="104" t="s">
        <v>24</v>
      </c>
      <c r="O506" s="104" t="s">
        <v>25</v>
      </c>
      <c r="P506" s="104" t="s">
        <v>271</v>
      </c>
      <c r="Q506" s="104">
        <v>46117.7319444444</v>
      </c>
      <c r="R506" s="104">
        <v>46117.7319444444</v>
      </c>
      <c r="S506" s="104">
        <v>46117.7465277778</v>
      </c>
      <c r="T506" s="104" t="s">
        <v>120</v>
      </c>
    </row>
    <row r="507" s="102" customFormat="1" ht="15" spans="1:20">
      <c r="A507" s="104" t="s">
        <v>22</v>
      </c>
      <c r="B507" s="104" t="s">
        <v>86</v>
      </c>
      <c r="C507" s="114"/>
      <c r="D507" s="114"/>
      <c r="E507" s="114"/>
      <c r="F507" s="114"/>
      <c r="G507" s="114"/>
      <c r="H507" s="104">
        <v>40501</v>
      </c>
      <c r="I507" s="104">
        <v>17</v>
      </c>
      <c r="J507" s="104">
        <v>5</v>
      </c>
      <c r="K507" s="104">
        <v>0</v>
      </c>
      <c r="L507" s="104">
        <v>5</v>
      </c>
      <c r="M507" s="104">
        <v>2.335</v>
      </c>
      <c r="N507" s="104" t="s">
        <v>24</v>
      </c>
      <c r="O507" s="104" t="s">
        <v>25</v>
      </c>
      <c r="P507" s="104" t="s">
        <v>271</v>
      </c>
      <c r="Q507" s="104">
        <v>46117.7319444444</v>
      </c>
      <c r="R507" s="104">
        <v>46117.7319444444</v>
      </c>
      <c r="S507" s="104">
        <v>46117.7465277778</v>
      </c>
      <c r="T507" s="104" t="s">
        <v>372</v>
      </c>
    </row>
    <row r="508" s="102" customFormat="1" ht="15" spans="1:20">
      <c r="A508" s="104" t="s">
        <v>22</v>
      </c>
      <c r="B508" s="104" t="s">
        <v>33</v>
      </c>
      <c r="C508" s="114"/>
      <c r="D508" s="114"/>
      <c r="E508" s="114"/>
      <c r="F508" s="114"/>
      <c r="G508" s="114"/>
      <c r="H508" s="104">
        <v>4053281</v>
      </c>
      <c r="I508" s="104">
        <v>13</v>
      </c>
      <c r="J508" s="104">
        <v>3</v>
      </c>
      <c r="K508" s="104">
        <v>0</v>
      </c>
      <c r="L508" s="104">
        <v>3</v>
      </c>
      <c r="M508" s="104">
        <v>3.296</v>
      </c>
      <c r="N508" s="104" t="s">
        <v>24</v>
      </c>
      <c r="O508" s="104" t="s">
        <v>25</v>
      </c>
      <c r="P508" s="104" t="s">
        <v>271</v>
      </c>
      <c r="Q508" s="104">
        <v>46117.7319444444</v>
      </c>
      <c r="R508" s="104">
        <v>46117.7319444444</v>
      </c>
      <c r="S508" s="104">
        <v>46117.7465277778</v>
      </c>
      <c r="T508" s="104" t="s">
        <v>372</v>
      </c>
    </row>
    <row r="509" s="102" customFormat="1" ht="15" spans="1:20">
      <c r="A509" s="104" t="s">
        <v>22</v>
      </c>
      <c r="B509" s="104" t="s">
        <v>223</v>
      </c>
      <c r="C509" s="104" t="s">
        <v>757</v>
      </c>
      <c r="D509" s="104" t="s">
        <v>193</v>
      </c>
      <c r="E509" s="114"/>
      <c r="F509" s="114"/>
      <c r="G509" s="104" t="s">
        <v>758</v>
      </c>
      <c r="H509" s="104">
        <v>4050002</v>
      </c>
      <c r="I509" s="104">
        <v>3157</v>
      </c>
      <c r="J509" s="104">
        <v>3157</v>
      </c>
      <c r="K509" s="104">
        <v>27</v>
      </c>
      <c r="L509" s="104">
        <v>3130</v>
      </c>
      <c r="M509" s="104">
        <v>2960.583</v>
      </c>
      <c r="N509" s="104" t="s">
        <v>24</v>
      </c>
      <c r="O509" s="104" t="s">
        <v>25</v>
      </c>
      <c r="P509" s="104" t="s">
        <v>271</v>
      </c>
      <c r="Q509" s="104">
        <v>46117.7541666667</v>
      </c>
      <c r="R509" s="104">
        <v>46117.75625</v>
      </c>
      <c r="S509" s="104">
        <v>46117.8916666667</v>
      </c>
      <c r="T509" s="104" t="s">
        <v>759</v>
      </c>
    </row>
    <row r="510" s="102" customFormat="1" ht="15" spans="1:20">
      <c r="A510" s="104" t="s">
        <v>22</v>
      </c>
      <c r="B510" s="104" t="s">
        <v>83</v>
      </c>
      <c r="C510" s="114"/>
      <c r="D510" s="114"/>
      <c r="E510" s="114"/>
      <c r="F510" s="114"/>
      <c r="G510" s="114"/>
      <c r="H510" s="104">
        <v>4053734</v>
      </c>
      <c r="I510" s="104">
        <v>3</v>
      </c>
      <c r="J510" s="104">
        <v>2</v>
      </c>
      <c r="K510" s="104">
        <v>2</v>
      </c>
      <c r="L510" s="104">
        <v>0</v>
      </c>
      <c r="M510" s="104">
        <v>7.27</v>
      </c>
      <c r="N510" s="104" t="s">
        <v>24</v>
      </c>
      <c r="O510" s="104" t="s">
        <v>25</v>
      </c>
      <c r="P510" s="104" t="s">
        <v>271</v>
      </c>
      <c r="Q510" s="104">
        <v>46117.7569444444</v>
      </c>
      <c r="R510" s="104">
        <v>46117.7569444444</v>
      </c>
      <c r="S510" s="104">
        <v>46117.8916666667</v>
      </c>
      <c r="T510" s="104" t="s">
        <v>759</v>
      </c>
    </row>
    <row r="511" s="102" customFormat="1" ht="15" spans="1:20">
      <c r="A511" s="104" t="s">
        <v>22</v>
      </c>
      <c r="B511" s="104" t="s">
        <v>83</v>
      </c>
      <c r="C511" s="114"/>
      <c r="D511" s="114"/>
      <c r="E511" s="114"/>
      <c r="F511" s="114"/>
      <c r="G511" s="114"/>
      <c r="H511" s="104">
        <v>40501</v>
      </c>
      <c r="I511" s="104">
        <v>16</v>
      </c>
      <c r="J511" s="104">
        <v>4</v>
      </c>
      <c r="K511" s="104">
        <v>0</v>
      </c>
      <c r="L511" s="104">
        <v>4</v>
      </c>
      <c r="M511" s="104">
        <v>0.916</v>
      </c>
      <c r="N511" s="104" t="s">
        <v>24</v>
      </c>
      <c r="O511" s="104" t="s">
        <v>25</v>
      </c>
      <c r="P511" s="104" t="s">
        <v>271</v>
      </c>
      <c r="Q511" s="104">
        <v>46117.7569444444</v>
      </c>
      <c r="R511" s="104">
        <v>46117.7569444444</v>
      </c>
      <c r="S511" s="104">
        <v>46117.8916666667</v>
      </c>
      <c r="T511" s="104" t="s">
        <v>759</v>
      </c>
    </row>
    <row r="512" s="102" customFormat="1" ht="15" spans="1:20">
      <c r="A512" s="104" t="s">
        <v>22</v>
      </c>
      <c r="B512" s="104" t="s">
        <v>236</v>
      </c>
      <c r="C512" s="114"/>
      <c r="D512" s="114"/>
      <c r="E512" s="114"/>
      <c r="F512" s="114"/>
      <c r="G512" s="114"/>
      <c r="H512" s="104">
        <v>4054809</v>
      </c>
      <c r="I512" s="104">
        <v>1302</v>
      </c>
      <c r="J512" s="104">
        <v>1302</v>
      </c>
      <c r="K512" s="104">
        <v>7</v>
      </c>
      <c r="L512" s="104">
        <v>1295</v>
      </c>
      <c r="M512" s="104">
        <v>3660.932</v>
      </c>
      <c r="N512" s="104" t="s">
        <v>24</v>
      </c>
      <c r="O512" s="104" t="s">
        <v>25</v>
      </c>
      <c r="P512" s="104" t="s">
        <v>271</v>
      </c>
      <c r="Q512" s="104">
        <v>46117.7583333333</v>
      </c>
      <c r="R512" s="104">
        <v>46117.7583333333</v>
      </c>
      <c r="S512" s="104">
        <v>46117.8916666667</v>
      </c>
      <c r="T512" s="104" t="s">
        <v>760</v>
      </c>
    </row>
    <row r="513" s="102" customFormat="1" ht="15" spans="1:20">
      <c r="A513" s="104" t="s">
        <v>22</v>
      </c>
      <c r="B513" s="104" t="s">
        <v>219</v>
      </c>
      <c r="C513" s="104" t="s">
        <v>761</v>
      </c>
      <c r="D513" s="104" t="s">
        <v>248</v>
      </c>
      <c r="E513" s="114"/>
      <c r="F513" s="114"/>
      <c r="G513" s="104">
        <v>11111111111111</v>
      </c>
      <c r="H513" s="104">
        <v>4050002</v>
      </c>
      <c r="I513" s="104">
        <v>3436</v>
      </c>
      <c r="J513" s="104">
        <v>3436</v>
      </c>
      <c r="K513" s="104">
        <v>4</v>
      </c>
      <c r="L513" s="104">
        <v>3432</v>
      </c>
      <c r="M513" s="104">
        <v>3593.43</v>
      </c>
      <c r="N513" s="104" t="s">
        <v>24</v>
      </c>
      <c r="O513" s="104" t="s">
        <v>25</v>
      </c>
      <c r="P513" s="104" t="s">
        <v>271</v>
      </c>
      <c r="Q513" s="104">
        <v>46117.7680555556</v>
      </c>
      <c r="R513" s="104">
        <v>46117.7680555556</v>
      </c>
      <c r="S513" s="104">
        <v>46117.8930555556</v>
      </c>
      <c r="T513" s="104" t="s">
        <v>762</v>
      </c>
    </row>
    <row r="514" s="102" customFormat="1" ht="15" spans="1:20">
      <c r="A514" s="104" t="s">
        <v>22</v>
      </c>
      <c r="B514" s="104" t="s">
        <v>81</v>
      </c>
      <c r="C514" s="104" t="s">
        <v>763</v>
      </c>
      <c r="D514" s="104" t="s">
        <v>38</v>
      </c>
      <c r="E514" s="114"/>
      <c r="F514" s="114"/>
      <c r="G514" s="114"/>
      <c r="H514" s="104">
        <v>4050001</v>
      </c>
      <c r="I514" s="104">
        <v>501</v>
      </c>
      <c r="J514" s="104">
        <v>501</v>
      </c>
      <c r="K514" s="104">
        <v>0</v>
      </c>
      <c r="L514" s="104">
        <v>501</v>
      </c>
      <c r="M514" s="104">
        <v>383.819</v>
      </c>
      <c r="N514" s="104" t="s">
        <v>24</v>
      </c>
      <c r="O514" s="104" t="s">
        <v>25</v>
      </c>
      <c r="P514" s="104" t="s">
        <v>271</v>
      </c>
      <c r="Q514" s="104">
        <v>46117.7694444444</v>
      </c>
      <c r="R514" s="104">
        <v>46117.7694444444</v>
      </c>
      <c r="S514" s="104">
        <v>46117.8930555556</v>
      </c>
      <c r="T514" s="104" t="s">
        <v>764</v>
      </c>
    </row>
    <row r="515" s="102" customFormat="1" ht="15" spans="1:20">
      <c r="A515" s="104" t="s">
        <v>22</v>
      </c>
      <c r="B515" s="104" t="s">
        <v>311</v>
      </c>
      <c r="C515" s="104" t="s">
        <v>765</v>
      </c>
      <c r="D515" s="104" t="s">
        <v>51</v>
      </c>
      <c r="E515" s="114"/>
      <c r="F515" s="114"/>
      <c r="G515" s="104">
        <v>25500099202506</v>
      </c>
      <c r="H515" s="104">
        <v>4050001</v>
      </c>
      <c r="I515" s="104">
        <v>598</v>
      </c>
      <c r="J515" s="104">
        <v>591</v>
      </c>
      <c r="K515" s="104">
        <v>1</v>
      </c>
      <c r="L515" s="104">
        <v>590</v>
      </c>
      <c r="M515" s="104">
        <v>839.798</v>
      </c>
      <c r="N515" s="104" t="s">
        <v>24</v>
      </c>
      <c r="O515" s="104" t="s">
        <v>25</v>
      </c>
      <c r="P515" s="104" t="s">
        <v>271</v>
      </c>
      <c r="Q515" s="104">
        <v>46117.7722222222</v>
      </c>
      <c r="R515" s="104">
        <v>46117.7736111111</v>
      </c>
      <c r="S515" s="104">
        <v>46117.89375</v>
      </c>
      <c r="T515" s="104" t="s">
        <v>766</v>
      </c>
    </row>
    <row r="516" s="102" customFormat="1" ht="15" spans="1:20">
      <c r="A516" s="104" t="s">
        <v>22</v>
      </c>
      <c r="B516" s="104" t="s">
        <v>212</v>
      </c>
      <c r="C516" s="104" t="s">
        <v>767</v>
      </c>
      <c r="D516" s="104" t="s">
        <v>340</v>
      </c>
      <c r="E516" s="114"/>
      <c r="F516" s="114"/>
      <c r="G516" s="114"/>
      <c r="H516" s="104">
        <v>4050002</v>
      </c>
      <c r="I516" s="104">
        <v>601</v>
      </c>
      <c r="J516" s="104">
        <v>601</v>
      </c>
      <c r="K516" s="104">
        <v>1</v>
      </c>
      <c r="L516" s="104">
        <v>600</v>
      </c>
      <c r="M516" s="104">
        <v>1476.136</v>
      </c>
      <c r="N516" s="104" t="s">
        <v>24</v>
      </c>
      <c r="O516" s="104" t="s">
        <v>25</v>
      </c>
      <c r="P516" s="104" t="s">
        <v>271</v>
      </c>
      <c r="Q516" s="104">
        <v>46117.7722222222</v>
      </c>
      <c r="R516" s="104">
        <v>46117.7736111111</v>
      </c>
      <c r="S516" s="104">
        <v>46117.89375</v>
      </c>
      <c r="T516" s="104" t="s">
        <v>766</v>
      </c>
    </row>
    <row r="517" s="102" customFormat="1" ht="15" spans="1:20">
      <c r="A517" s="104" t="s">
        <v>22</v>
      </c>
      <c r="B517" s="104" t="s">
        <v>127</v>
      </c>
      <c r="C517" s="114"/>
      <c r="D517" s="104" t="s">
        <v>29</v>
      </c>
      <c r="E517" s="114"/>
      <c r="F517" s="114"/>
      <c r="G517" s="114"/>
      <c r="H517" s="104">
        <v>4041856</v>
      </c>
      <c r="I517" s="104">
        <v>1</v>
      </c>
      <c r="J517" s="104">
        <v>1</v>
      </c>
      <c r="K517" s="104">
        <v>0</v>
      </c>
      <c r="L517" s="104">
        <v>1</v>
      </c>
      <c r="M517" s="104">
        <v>0.011</v>
      </c>
      <c r="N517" s="104" t="s">
        <v>24</v>
      </c>
      <c r="O517" s="104" t="s">
        <v>25</v>
      </c>
      <c r="P517" s="104" t="s">
        <v>26</v>
      </c>
      <c r="Q517" s="104">
        <v>46116.8777777778</v>
      </c>
      <c r="R517" s="104">
        <v>46116.8777777778</v>
      </c>
      <c r="S517" s="104">
        <v>46116.9743055556</v>
      </c>
      <c r="T517" s="104" t="s">
        <v>274</v>
      </c>
    </row>
    <row r="518" s="102" customFormat="1" ht="15" spans="1:20">
      <c r="A518" s="104" t="s">
        <v>22</v>
      </c>
      <c r="B518" s="104" t="s">
        <v>127</v>
      </c>
      <c r="C518" s="114"/>
      <c r="D518" s="104" t="s">
        <v>29</v>
      </c>
      <c r="E518" s="114"/>
      <c r="F518" s="114"/>
      <c r="G518" s="114"/>
      <c r="H518" s="104">
        <v>4041857</v>
      </c>
      <c r="I518" s="104">
        <v>82</v>
      </c>
      <c r="J518" s="104">
        <v>18</v>
      </c>
      <c r="K518" s="104">
        <v>0</v>
      </c>
      <c r="L518" s="104">
        <v>18</v>
      </c>
      <c r="M518" s="104">
        <v>12.432</v>
      </c>
      <c r="N518" s="104" t="s">
        <v>24</v>
      </c>
      <c r="O518" s="104" t="s">
        <v>25</v>
      </c>
      <c r="P518" s="104" t="s">
        <v>26</v>
      </c>
      <c r="Q518" s="104">
        <v>46116.8784722222</v>
      </c>
      <c r="R518" s="104">
        <v>46116.8784722222</v>
      </c>
      <c r="S518" s="104">
        <v>46116.9743055556</v>
      </c>
      <c r="T518" s="104" t="s">
        <v>707</v>
      </c>
    </row>
    <row r="519" s="102" customFormat="1" ht="15" spans="1:20">
      <c r="A519" s="104" t="s">
        <v>22</v>
      </c>
      <c r="B519" s="104" t="s">
        <v>342</v>
      </c>
      <c r="C519" s="104" t="s">
        <v>768</v>
      </c>
      <c r="D519" s="104" t="s">
        <v>512</v>
      </c>
      <c r="E519" s="104" t="s">
        <v>513</v>
      </c>
      <c r="F519" s="104" t="s">
        <v>514</v>
      </c>
      <c r="G519" s="114"/>
      <c r="H519" s="104">
        <v>4040001</v>
      </c>
      <c r="I519" s="104">
        <v>18308</v>
      </c>
      <c r="J519" s="104">
        <v>3449</v>
      </c>
      <c r="K519" s="104">
        <v>3</v>
      </c>
      <c r="L519" s="104">
        <v>3446</v>
      </c>
      <c r="M519" s="104">
        <v>12217.86</v>
      </c>
      <c r="N519" s="104" t="s">
        <v>24</v>
      </c>
      <c r="O519" s="104" t="s">
        <v>70</v>
      </c>
      <c r="P519" s="104" t="s">
        <v>26</v>
      </c>
      <c r="Q519" s="104">
        <v>46116.6979166667</v>
      </c>
      <c r="R519" s="104">
        <v>46116.9159722222</v>
      </c>
      <c r="S519" s="104">
        <v>46116.9756944444</v>
      </c>
      <c r="T519" s="104" t="s">
        <v>187</v>
      </c>
    </row>
    <row r="520" s="102" customFormat="1" ht="15" spans="1:20">
      <c r="A520" s="104" t="s">
        <v>22</v>
      </c>
      <c r="B520" s="104" t="s">
        <v>101</v>
      </c>
      <c r="C520" s="104" t="s">
        <v>769</v>
      </c>
      <c r="D520" s="104" t="s">
        <v>516</v>
      </c>
      <c r="E520" s="104" t="s">
        <v>517</v>
      </c>
      <c r="F520" s="104" t="s">
        <v>518</v>
      </c>
      <c r="G520" s="114"/>
      <c r="H520" s="104">
        <v>4040001</v>
      </c>
      <c r="I520" s="104">
        <v>20184</v>
      </c>
      <c r="J520" s="104">
        <v>3072</v>
      </c>
      <c r="K520" s="104">
        <v>3</v>
      </c>
      <c r="L520" s="104">
        <v>3069</v>
      </c>
      <c r="M520" s="104">
        <v>12146.387</v>
      </c>
      <c r="N520" s="104" t="s">
        <v>24</v>
      </c>
      <c r="O520" s="104" t="s">
        <v>70</v>
      </c>
      <c r="P520" s="104" t="s">
        <v>26</v>
      </c>
      <c r="Q520" s="104">
        <v>46116.8020833333</v>
      </c>
      <c r="R520" s="104">
        <v>46116.9159722222</v>
      </c>
      <c r="S520" s="104">
        <v>46116.9756944444</v>
      </c>
      <c r="T520" s="104" t="s">
        <v>187</v>
      </c>
    </row>
    <row r="521" s="102" customFormat="1" ht="15" spans="1:20">
      <c r="A521" s="104" t="s">
        <v>22</v>
      </c>
      <c r="B521" s="104" t="s">
        <v>107</v>
      </c>
      <c r="C521" s="104" t="s">
        <v>770</v>
      </c>
      <c r="D521" s="104" t="s">
        <v>353</v>
      </c>
      <c r="E521" s="104" t="s">
        <v>354</v>
      </c>
      <c r="F521" s="104" t="s">
        <v>355</v>
      </c>
      <c r="G521" s="114"/>
      <c r="H521" s="104">
        <v>4040001</v>
      </c>
      <c r="I521" s="104">
        <v>21577</v>
      </c>
      <c r="J521" s="104">
        <v>2685</v>
      </c>
      <c r="K521" s="104">
        <v>3</v>
      </c>
      <c r="L521" s="104">
        <v>2682</v>
      </c>
      <c r="M521" s="104">
        <v>10852.734</v>
      </c>
      <c r="N521" s="104" t="s">
        <v>24</v>
      </c>
      <c r="O521" s="104" t="s">
        <v>70</v>
      </c>
      <c r="P521" s="104" t="s">
        <v>26</v>
      </c>
      <c r="Q521" s="104">
        <v>46116.8722222222</v>
      </c>
      <c r="R521" s="104">
        <v>46116.9756944444</v>
      </c>
      <c r="S521" s="104">
        <v>46117.14375</v>
      </c>
      <c r="T521" s="104" t="s">
        <v>771</v>
      </c>
    </row>
    <row r="522" s="102" customFormat="1" ht="15" spans="1:20">
      <c r="A522" s="104" t="s">
        <v>22</v>
      </c>
      <c r="B522" s="104" t="s">
        <v>357</v>
      </c>
      <c r="C522" s="104" t="s">
        <v>772</v>
      </c>
      <c r="D522" s="104" t="s">
        <v>359</v>
      </c>
      <c r="E522" s="104" t="s">
        <v>773</v>
      </c>
      <c r="F522" s="104" t="s">
        <v>774</v>
      </c>
      <c r="G522" s="114"/>
      <c r="H522" s="104">
        <v>4040001</v>
      </c>
      <c r="I522" s="104">
        <v>16295</v>
      </c>
      <c r="J522" s="104">
        <v>3110</v>
      </c>
      <c r="K522" s="104">
        <v>4</v>
      </c>
      <c r="L522" s="104">
        <v>3106</v>
      </c>
      <c r="M522" s="104">
        <v>11767.703</v>
      </c>
      <c r="N522" s="104" t="s">
        <v>24</v>
      </c>
      <c r="O522" s="104" t="s">
        <v>70</v>
      </c>
      <c r="P522" s="104" t="s">
        <v>26</v>
      </c>
      <c r="Q522" s="104">
        <v>46116.9979166667</v>
      </c>
      <c r="R522" s="104">
        <v>46117.0027777778</v>
      </c>
      <c r="S522" s="104">
        <v>46117.14375</v>
      </c>
      <c r="T522" s="104" t="s">
        <v>775</v>
      </c>
    </row>
    <row r="523" s="102" customFormat="1" ht="15" spans="1:20">
      <c r="A523" s="104" t="s">
        <v>22</v>
      </c>
      <c r="B523" s="104" t="s">
        <v>362</v>
      </c>
      <c r="C523" s="114"/>
      <c r="D523" s="114"/>
      <c r="E523" s="114"/>
      <c r="F523" s="114"/>
      <c r="G523" s="114"/>
      <c r="H523" s="104" t="s">
        <v>97</v>
      </c>
      <c r="I523" s="104">
        <v>165158</v>
      </c>
      <c r="J523" s="104">
        <v>5686</v>
      </c>
      <c r="K523" s="104">
        <v>0</v>
      </c>
      <c r="L523" s="104">
        <v>5686</v>
      </c>
      <c r="M523" s="104">
        <v>78236.212</v>
      </c>
      <c r="N523" s="104" t="s">
        <v>24</v>
      </c>
      <c r="O523" s="104" t="s">
        <v>70</v>
      </c>
      <c r="P523" s="104" t="s">
        <v>776</v>
      </c>
      <c r="Q523" s="114"/>
      <c r="R523" s="104">
        <v>46117.01875</v>
      </c>
      <c r="S523" s="114"/>
      <c r="T523" s="114"/>
    </row>
    <row r="524" s="102" customFormat="1" ht="15" spans="1:20">
      <c r="A524" s="104" t="s">
        <v>22</v>
      </c>
      <c r="B524" s="104" t="s">
        <v>99</v>
      </c>
      <c r="C524" s="104" t="s">
        <v>99</v>
      </c>
      <c r="D524" s="104" t="s">
        <v>29</v>
      </c>
      <c r="E524" s="114"/>
      <c r="F524" s="114"/>
      <c r="G524" s="114"/>
      <c r="H524" s="104" t="s">
        <v>99</v>
      </c>
      <c r="I524" s="104">
        <v>6445</v>
      </c>
      <c r="J524" s="104">
        <v>6445</v>
      </c>
      <c r="K524" s="104">
        <v>0</v>
      </c>
      <c r="L524" s="104">
        <v>61</v>
      </c>
      <c r="M524" s="104">
        <v>10216.728</v>
      </c>
      <c r="N524" s="104" t="s">
        <v>24</v>
      </c>
      <c r="O524" s="104" t="s">
        <v>25</v>
      </c>
      <c r="P524" s="104" t="s">
        <v>777</v>
      </c>
      <c r="Q524" s="114"/>
      <c r="R524" s="104">
        <v>46117.0222222222</v>
      </c>
      <c r="S524" s="114"/>
      <c r="T524" s="114"/>
    </row>
    <row r="525" s="102" customFormat="1" ht="15" spans="1:20">
      <c r="A525" s="104" t="s">
        <v>22</v>
      </c>
      <c r="B525" s="104" t="s">
        <v>113</v>
      </c>
      <c r="C525" s="104" t="s">
        <v>778</v>
      </c>
      <c r="D525" s="104" t="s">
        <v>115</v>
      </c>
      <c r="E525" s="114"/>
      <c r="F525" s="114"/>
      <c r="G525" s="114"/>
      <c r="H525" s="104">
        <v>4040001</v>
      </c>
      <c r="I525" s="104">
        <v>786</v>
      </c>
      <c r="J525" s="104">
        <v>445</v>
      </c>
      <c r="K525" s="104">
        <v>0</v>
      </c>
      <c r="L525" s="104">
        <v>445</v>
      </c>
      <c r="M525" s="104">
        <v>1404.924</v>
      </c>
      <c r="N525" s="104" t="s">
        <v>24</v>
      </c>
      <c r="O525" s="104" t="s">
        <v>70</v>
      </c>
      <c r="P525" s="104" t="s">
        <v>26</v>
      </c>
      <c r="Q525" s="104">
        <v>46117.13125</v>
      </c>
      <c r="R525" s="104">
        <v>46117.1333333333</v>
      </c>
      <c r="S525" s="104">
        <v>46117.1430555556</v>
      </c>
      <c r="T525" s="104" t="s">
        <v>431</v>
      </c>
    </row>
    <row r="526" s="102" customFormat="1" ht="15" spans="1:20">
      <c r="A526" s="104" t="s">
        <v>22</v>
      </c>
      <c r="B526" s="104" t="s">
        <v>117</v>
      </c>
      <c r="C526" s="104" t="s">
        <v>779</v>
      </c>
      <c r="D526" s="104" t="s">
        <v>119</v>
      </c>
      <c r="E526" s="114"/>
      <c r="F526" s="114"/>
      <c r="G526" s="114"/>
      <c r="H526" s="104">
        <v>4050001</v>
      </c>
      <c r="I526" s="104">
        <v>3960</v>
      </c>
      <c r="J526" s="104">
        <v>1695</v>
      </c>
      <c r="K526" s="104">
        <v>1</v>
      </c>
      <c r="L526" s="104">
        <v>1694</v>
      </c>
      <c r="M526" s="104">
        <v>5562.167</v>
      </c>
      <c r="N526" s="104" t="s">
        <v>24</v>
      </c>
      <c r="O526" s="104" t="s">
        <v>70</v>
      </c>
      <c r="P526" s="104" t="s">
        <v>26</v>
      </c>
      <c r="Q526" s="104">
        <v>46117.1444444444</v>
      </c>
      <c r="R526" s="104">
        <v>46117.1465277778</v>
      </c>
      <c r="S526" s="104">
        <v>46117.2611111111</v>
      </c>
      <c r="T526" s="104" t="s">
        <v>780</v>
      </c>
    </row>
    <row r="527" s="102" customFormat="1" ht="15" spans="1:20">
      <c r="A527" s="104" t="s">
        <v>22</v>
      </c>
      <c r="B527" s="104" t="s">
        <v>121</v>
      </c>
      <c r="C527" s="104" t="s">
        <v>781</v>
      </c>
      <c r="D527" s="104" t="s">
        <v>782</v>
      </c>
      <c r="E527" s="104" t="s">
        <v>783</v>
      </c>
      <c r="F527" s="104" t="s">
        <v>784</v>
      </c>
      <c r="G527" s="114"/>
      <c r="H527" s="104">
        <v>4050001</v>
      </c>
      <c r="I527" s="104">
        <v>17411</v>
      </c>
      <c r="J527" s="104">
        <v>4026</v>
      </c>
      <c r="K527" s="104">
        <v>12</v>
      </c>
      <c r="L527" s="104">
        <v>4014</v>
      </c>
      <c r="M527" s="104">
        <v>12523.709</v>
      </c>
      <c r="N527" s="104" t="s">
        <v>24</v>
      </c>
      <c r="O527" s="104" t="s">
        <v>70</v>
      </c>
      <c r="P527" s="104" t="s">
        <v>26</v>
      </c>
      <c r="Q527" s="104">
        <v>46117.1965277778</v>
      </c>
      <c r="R527" s="104">
        <v>46117.2055555556</v>
      </c>
      <c r="S527" s="104">
        <v>46117.2506944444</v>
      </c>
      <c r="T527" s="104" t="s">
        <v>584</v>
      </c>
    </row>
    <row r="528" s="102" customFormat="1" ht="15" spans="1:20">
      <c r="A528" s="104" t="s">
        <v>22</v>
      </c>
      <c r="B528" s="104" t="s">
        <v>129</v>
      </c>
      <c r="C528" s="114"/>
      <c r="D528" s="104" t="s">
        <v>29</v>
      </c>
      <c r="E528" s="114"/>
      <c r="F528" s="114"/>
      <c r="G528" s="114"/>
      <c r="H528" s="104">
        <v>4051842</v>
      </c>
      <c r="I528" s="104">
        <v>37</v>
      </c>
      <c r="J528" s="104">
        <v>37</v>
      </c>
      <c r="K528" s="104">
        <v>0</v>
      </c>
      <c r="L528" s="104">
        <v>37</v>
      </c>
      <c r="M528" s="104">
        <v>0</v>
      </c>
      <c r="N528" s="104" t="s">
        <v>24</v>
      </c>
      <c r="O528" s="104" t="s">
        <v>25</v>
      </c>
      <c r="P528" s="104" t="s">
        <v>26</v>
      </c>
      <c r="Q528" s="104">
        <v>46117.2125</v>
      </c>
      <c r="R528" s="104">
        <v>46117.2125</v>
      </c>
      <c r="S528" s="104">
        <v>46117.2736111111</v>
      </c>
      <c r="T528" s="104" t="s">
        <v>427</v>
      </c>
    </row>
    <row r="529" s="102" customFormat="1" ht="15" spans="1:20">
      <c r="A529" s="104" t="s">
        <v>22</v>
      </c>
      <c r="B529" s="104" t="s">
        <v>28</v>
      </c>
      <c r="C529" s="114"/>
      <c r="D529" s="104" t="s">
        <v>29</v>
      </c>
      <c r="E529" s="114"/>
      <c r="F529" s="114"/>
      <c r="G529" s="114"/>
      <c r="H529" s="104">
        <v>4052105</v>
      </c>
      <c r="I529" s="104">
        <v>0</v>
      </c>
      <c r="J529" s="104">
        <v>85</v>
      </c>
      <c r="K529" s="104">
        <v>0</v>
      </c>
      <c r="L529" s="104">
        <v>85</v>
      </c>
      <c r="M529" s="104">
        <v>0</v>
      </c>
      <c r="N529" s="104" t="s">
        <v>24</v>
      </c>
      <c r="O529" s="104" t="s">
        <v>25</v>
      </c>
      <c r="P529" s="104" t="s">
        <v>26</v>
      </c>
      <c r="Q529" s="104">
        <v>46117.2284722222</v>
      </c>
      <c r="R529" s="104">
        <v>46117.2284722222</v>
      </c>
      <c r="S529" s="104">
        <v>46117.2729166667</v>
      </c>
      <c r="T529" s="104" t="s">
        <v>785</v>
      </c>
    </row>
    <row r="530" s="102" customFormat="1" ht="15" spans="1:20">
      <c r="A530" s="104" t="s">
        <v>22</v>
      </c>
      <c r="B530" s="104" t="s">
        <v>132</v>
      </c>
      <c r="C530" s="104" t="s">
        <v>786</v>
      </c>
      <c r="D530" s="104" t="s">
        <v>134</v>
      </c>
      <c r="E530" s="114"/>
      <c r="F530" s="114"/>
      <c r="G530" s="114"/>
      <c r="H530" s="104">
        <v>4040001</v>
      </c>
      <c r="I530" s="104">
        <v>578</v>
      </c>
      <c r="J530" s="104">
        <v>497</v>
      </c>
      <c r="K530" s="104">
        <v>0</v>
      </c>
      <c r="L530" s="104">
        <v>497</v>
      </c>
      <c r="M530" s="104">
        <v>1773.517</v>
      </c>
      <c r="N530" s="104" t="s">
        <v>24</v>
      </c>
      <c r="O530" s="104" t="s">
        <v>70</v>
      </c>
      <c r="P530" s="104" t="s">
        <v>26</v>
      </c>
      <c r="Q530" s="104">
        <v>46117.2715277778</v>
      </c>
      <c r="R530" s="104">
        <v>46117.2722222222</v>
      </c>
      <c r="S530" s="104">
        <v>46117.2805555556</v>
      </c>
      <c r="T530" s="104" t="s">
        <v>787</v>
      </c>
    </row>
    <row r="531" s="102" customFormat="1" ht="15" spans="1:20">
      <c r="A531" s="104" t="s">
        <v>22</v>
      </c>
      <c r="B531" s="104" t="s">
        <v>28</v>
      </c>
      <c r="C531" s="114"/>
      <c r="D531" s="104" t="s">
        <v>29</v>
      </c>
      <c r="E531" s="114"/>
      <c r="F531" s="114"/>
      <c r="G531" s="114"/>
      <c r="H531" s="104">
        <v>4052106</v>
      </c>
      <c r="I531" s="104">
        <v>0</v>
      </c>
      <c r="J531" s="104">
        <v>5</v>
      </c>
      <c r="K531" s="104">
        <v>0</v>
      </c>
      <c r="L531" s="104">
        <v>5</v>
      </c>
      <c r="M531" s="104">
        <v>0</v>
      </c>
      <c r="N531" s="104" t="s">
        <v>24</v>
      </c>
      <c r="O531" s="104" t="s">
        <v>25</v>
      </c>
      <c r="P531" s="104" t="s">
        <v>26</v>
      </c>
      <c r="Q531" s="104">
        <v>46117.2729166667</v>
      </c>
      <c r="R531" s="104">
        <v>46117.2729166667</v>
      </c>
      <c r="S531" s="104">
        <v>46117.2729166667</v>
      </c>
      <c r="T531" s="104" t="s">
        <v>629</v>
      </c>
    </row>
    <row r="532" s="102" customFormat="1" ht="15" spans="1:20">
      <c r="A532" s="104" t="s">
        <v>22</v>
      </c>
      <c r="B532" s="104" t="s">
        <v>28</v>
      </c>
      <c r="C532" s="114"/>
      <c r="D532" s="104" t="s">
        <v>29</v>
      </c>
      <c r="E532" s="114"/>
      <c r="F532" s="114"/>
      <c r="G532" s="114"/>
      <c r="H532" s="104">
        <v>4052107</v>
      </c>
      <c r="I532" s="104">
        <v>0</v>
      </c>
      <c r="J532" s="104">
        <v>73</v>
      </c>
      <c r="K532" s="104">
        <v>0</v>
      </c>
      <c r="L532" s="104">
        <v>73</v>
      </c>
      <c r="M532" s="104">
        <v>0</v>
      </c>
      <c r="N532" s="104" t="s">
        <v>24</v>
      </c>
      <c r="O532" s="104" t="s">
        <v>25</v>
      </c>
      <c r="P532" s="104" t="s">
        <v>271</v>
      </c>
      <c r="Q532" s="104">
        <v>46117.2958333333</v>
      </c>
      <c r="R532" s="104">
        <v>46117.2958333333</v>
      </c>
      <c r="S532" s="104">
        <v>46117.3277777778</v>
      </c>
      <c r="T532" s="104" t="s">
        <v>389</v>
      </c>
    </row>
    <row r="533" s="102" customFormat="1" ht="15" spans="1:20">
      <c r="A533" s="104" t="s">
        <v>22</v>
      </c>
      <c r="B533" s="104" t="s">
        <v>148</v>
      </c>
      <c r="C533" s="104" t="s">
        <v>788</v>
      </c>
      <c r="D533" s="104" t="s">
        <v>150</v>
      </c>
      <c r="E533" s="104" t="s">
        <v>789</v>
      </c>
      <c r="F533" s="104" t="s">
        <v>790</v>
      </c>
      <c r="G533" s="114"/>
      <c r="H533" s="104">
        <v>4040001</v>
      </c>
      <c r="I533" s="104">
        <v>8757</v>
      </c>
      <c r="J533" s="104">
        <v>1750</v>
      </c>
      <c r="K533" s="104">
        <v>1</v>
      </c>
      <c r="L533" s="104">
        <v>1749</v>
      </c>
      <c r="M533" s="104">
        <v>6676.485</v>
      </c>
      <c r="N533" s="104" t="s">
        <v>24</v>
      </c>
      <c r="O533" s="104" t="s">
        <v>70</v>
      </c>
      <c r="P533" s="104" t="s">
        <v>271</v>
      </c>
      <c r="Q533" s="104">
        <v>46117.2958333333</v>
      </c>
      <c r="R533" s="104">
        <v>46117.3006944444</v>
      </c>
      <c r="S533" s="104">
        <v>46117.3277777778</v>
      </c>
      <c r="T533" s="104" t="s">
        <v>745</v>
      </c>
    </row>
    <row r="534" s="102" customFormat="1" ht="15" spans="1:20">
      <c r="A534" s="104" t="s">
        <v>22</v>
      </c>
      <c r="B534" s="104" t="s">
        <v>138</v>
      </c>
      <c r="C534" s="104" t="s">
        <v>791</v>
      </c>
      <c r="D534" s="104" t="s">
        <v>140</v>
      </c>
      <c r="E534" s="114"/>
      <c r="F534" s="114"/>
      <c r="G534" s="114"/>
      <c r="H534" s="104">
        <v>4050001</v>
      </c>
      <c r="I534" s="104">
        <v>3399</v>
      </c>
      <c r="J534" s="104">
        <v>915</v>
      </c>
      <c r="K534" s="104">
        <v>3</v>
      </c>
      <c r="L534" s="104">
        <v>912</v>
      </c>
      <c r="M534" s="104">
        <v>3501.665</v>
      </c>
      <c r="N534" s="104" t="s">
        <v>24</v>
      </c>
      <c r="O534" s="104" t="s">
        <v>70</v>
      </c>
      <c r="P534" s="104" t="s">
        <v>271</v>
      </c>
      <c r="Q534" s="104">
        <v>46117.3041666667</v>
      </c>
      <c r="R534" s="104">
        <v>46117.3041666667</v>
      </c>
      <c r="S534" s="104">
        <v>46117.3215277778</v>
      </c>
      <c r="T534" s="104" t="s">
        <v>464</v>
      </c>
    </row>
    <row r="535" s="102" customFormat="1" ht="30" spans="1:20">
      <c r="A535" s="104" t="s">
        <v>22</v>
      </c>
      <c r="B535" s="104" t="s">
        <v>154</v>
      </c>
      <c r="C535" s="114"/>
      <c r="D535" s="104" t="s">
        <v>29</v>
      </c>
      <c r="E535" s="114"/>
      <c r="F535" s="114"/>
      <c r="G535" s="114"/>
      <c r="H535" s="104">
        <v>4051020</v>
      </c>
      <c r="I535" s="104">
        <v>339</v>
      </c>
      <c r="J535" s="104">
        <v>339</v>
      </c>
      <c r="K535" s="104">
        <v>0</v>
      </c>
      <c r="L535" s="104">
        <v>339</v>
      </c>
      <c r="M535" s="104">
        <v>170.748</v>
      </c>
      <c r="N535" s="104" t="s">
        <v>24</v>
      </c>
      <c r="O535" s="104" t="s">
        <v>25</v>
      </c>
      <c r="P535" s="104" t="s">
        <v>155</v>
      </c>
      <c r="Q535" s="104">
        <v>46117.3611111111</v>
      </c>
      <c r="R535" s="104">
        <v>46117.3611111111</v>
      </c>
      <c r="S535" s="114"/>
      <c r="T535" s="114"/>
    </row>
    <row r="536" s="102" customFormat="1" ht="15" spans="1:20">
      <c r="A536" s="104" t="s">
        <v>22</v>
      </c>
      <c r="B536" s="104" t="s">
        <v>159</v>
      </c>
      <c r="C536" s="104" t="s">
        <v>792</v>
      </c>
      <c r="D536" s="104" t="s">
        <v>161</v>
      </c>
      <c r="E536" s="114"/>
      <c r="F536" s="114"/>
      <c r="G536" s="114"/>
      <c r="H536" s="104">
        <v>4050001</v>
      </c>
      <c r="I536" s="104">
        <v>148</v>
      </c>
      <c r="J536" s="104">
        <v>148</v>
      </c>
      <c r="K536" s="104">
        <v>0</v>
      </c>
      <c r="L536" s="104">
        <v>148</v>
      </c>
      <c r="M536" s="104">
        <v>0</v>
      </c>
      <c r="N536" s="104" t="s">
        <v>24</v>
      </c>
      <c r="O536" s="104" t="s">
        <v>70</v>
      </c>
      <c r="P536" s="104" t="s">
        <v>271</v>
      </c>
      <c r="Q536" s="104">
        <v>46117.3909722222</v>
      </c>
      <c r="R536" s="104">
        <v>46117.39375</v>
      </c>
      <c r="S536" s="104">
        <v>46117.4069444444</v>
      </c>
      <c r="T536" s="104" t="s">
        <v>393</v>
      </c>
    </row>
    <row r="537" s="102" customFormat="1" ht="15" spans="1:20">
      <c r="A537" s="104" t="s">
        <v>22</v>
      </c>
      <c r="B537" s="104" t="s">
        <v>86</v>
      </c>
      <c r="C537" s="114"/>
      <c r="D537" s="114"/>
      <c r="E537" s="114"/>
      <c r="F537" s="114"/>
      <c r="G537" s="114"/>
      <c r="H537" s="104">
        <v>40601</v>
      </c>
      <c r="I537" s="104">
        <v>22</v>
      </c>
      <c r="J537" s="104">
        <v>4</v>
      </c>
      <c r="K537" s="104">
        <v>0</v>
      </c>
      <c r="L537" s="104">
        <v>4</v>
      </c>
      <c r="M537" s="104">
        <v>9.017</v>
      </c>
      <c r="N537" s="104" t="s">
        <v>24</v>
      </c>
      <c r="O537" s="104" t="s">
        <v>25</v>
      </c>
      <c r="P537" s="104" t="s">
        <v>106</v>
      </c>
      <c r="Q537" s="104">
        <v>46118.7534722222</v>
      </c>
      <c r="R537" s="104">
        <v>46118.7534722222</v>
      </c>
      <c r="S537" s="104">
        <v>46118.7673611111</v>
      </c>
      <c r="T537" s="104" t="s">
        <v>372</v>
      </c>
    </row>
    <row r="538" s="102" customFormat="1" ht="15" spans="1:20">
      <c r="A538" s="104" t="s">
        <v>22</v>
      </c>
      <c r="B538" s="104" t="s">
        <v>33</v>
      </c>
      <c r="C538" s="114"/>
      <c r="D538" s="114"/>
      <c r="E538" s="114"/>
      <c r="F538" s="114"/>
      <c r="G538" s="114"/>
      <c r="H538" s="104">
        <v>4063282</v>
      </c>
      <c r="I538" s="104">
        <v>23</v>
      </c>
      <c r="J538" s="104">
        <v>3</v>
      </c>
      <c r="K538" s="104">
        <v>0</v>
      </c>
      <c r="L538" s="104">
        <v>3</v>
      </c>
      <c r="M538" s="104">
        <v>9.769</v>
      </c>
      <c r="N538" s="104" t="s">
        <v>24</v>
      </c>
      <c r="O538" s="104" t="s">
        <v>25</v>
      </c>
      <c r="P538" s="104" t="s">
        <v>106</v>
      </c>
      <c r="Q538" s="104">
        <v>46118.7534722222</v>
      </c>
      <c r="R538" s="104">
        <v>46118.7534722222</v>
      </c>
      <c r="S538" s="104">
        <v>46118.7673611111</v>
      </c>
      <c r="T538" s="104" t="s">
        <v>533</v>
      </c>
    </row>
    <row r="539" s="102" customFormat="1" ht="15" spans="1:20">
      <c r="A539" s="104" t="s">
        <v>22</v>
      </c>
      <c r="B539" s="104" t="s">
        <v>87</v>
      </c>
      <c r="C539" s="114"/>
      <c r="D539" s="114"/>
      <c r="E539" s="114"/>
      <c r="F539" s="114"/>
      <c r="G539" s="114"/>
      <c r="H539" s="104">
        <v>40601</v>
      </c>
      <c r="I539" s="104">
        <v>27</v>
      </c>
      <c r="J539" s="104">
        <v>11</v>
      </c>
      <c r="K539" s="104">
        <v>0</v>
      </c>
      <c r="L539" s="104">
        <v>11</v>
      </c>
      <c r="M539" s="104">
        <v>31.796</v>
      </c>
      <c r="N539" s="104" t="s">
        <v>24</v>
      </c>
      <c r="O539" s="104" t="s">
        <v>25</v>
      </c>
      <c r="P539" s="104" t="s">
        <v>106</v>
      </c>
      <c r="Q539" s="104">
        <v>46118.7541666667</v>
      </c>
      <c r="R539" s="104">
        <v>46118.7541666667</v>
      </c>
      <c r="S539" s="104">
        <v>46118.7680555556</v>
      </c>
      <c r="T539" s="104" t="s">
        <v>372</v>
      </c>
    </row>
    <row r="540" s="102" customFormat="1" ht="15" spans="1:20">
      <c r="A540" s="104" t="s">
        <v>22</v>
      </c>
      <c r="B540" s="104" t="s">
        <v>81</v>
      </c>
      <c r="C540" s="114"/>
      <c r="D540" s="114"/>
      <c r="E540" s="114"/>
      <c r="F540" s="114"/>
      <c r="G540" s="114"/>
      <c r="H540" s="104">
        <v>4063564</v>
      </c>
      <c r="I540" s="104">
        <v>6</v>
      </c>
      <c r="J540" s="104">
        <v>5</v>
      </c>
      <c r="K540" s="104">
        <v>0</v>
      </c>
      <c r="L540" s="104">
        <v>5</v>
      </c>
      <c r="M540" s="104">
        <v>6.45</v>
      </c>
      <c r="N540" s="104" t="s">
        <v>24</v>
      </c>
      <c r="O540" s="104" t="s">
        <v>25</v>
      </c>
      <c r="P540" s="104" t="s">
        <v>106</v>
      </c>
      <c r="Q540" s="104">
        <v>46118.7638888889</v>
      </c>
      <c r="R540" s="104">
        <v>46118.7638888889</v>
      </c>
      <c r="S540" s="104">
        <v>46118.7729166667</v>
      </c>
      <c r="T540" s="104" t="s">
        <v>135</v>
      </c>
    </row>
    <row r="541" s="102" customFormat="1" ht="15" spans="1:20">
      <c r="A541" s="104" t="s">
        <v>22</v>
      </c>
      <c r="B541" s="104" t="s">
        <v>81</v>
      </c>
      <c r="C541" s="114"/>
      <c r="D541" s="114"/>
      <c r="E541" s="114"/>
      <c r="F541" s="114"/>
      <c r="G541" s="114"/>
      <c r="H541" s="104">
        <v>4063812</v>
      </c>
      <c r="I541" s="104">
        <v>16</v>
      </c>
      <c r="J541" s="104">
        <v>4</v>
      </c>
      <c r="K541" s="104">
        <v>0</v>
      </c>
      <c r="L541" s="104">
        <v>4</v>
      </c>
      <c r="M541" s="104">
        <v>14.429</v>
      </c>
      <c r="N541" s="104" t="s">
        <v>24</v>
      </c>
      <c r="O541" s="104" t="s">
        <v>25</v>
      </c>
      <c r="P541" s="104" t="s">
        <v>106</v>
      </c>
      <c r="Q541" s="104">
        <v>46118.7638888889</v>
      </c>
      <c r="R541" s="104">
        <v>46118.7638888889</v>
      </c>
      <c r="S541" s="104">
        <v>46118.7729166667</v>
      </c>
      <c r="T541" s="104" t="s">
        <v>135</v>
      </c>
    </row>
    <row r="542" s="102" customFormat="1" ht="15" spans="1:20">
      <c r="A542" s="104" t="s">
        <v>22</v>
      </c>
      <c r="B542" s="104" t="s">
        <v>81</v>
      </c>
      <c r="C542" s="114"/>
      <c r="D542" s="114"/>
      <c r="E542" s="114"/>
      <c r="F542" s="114"/>
      <c r="G542" s="114"/>
      <c r="H542" s="104">
        <v>4063697</v>
      </c>
      <c r="I542" s="104">
        <v>26</v>
      </c>
      <c r="J542" s="104">
        <v>26</v>
      </c>
      <c r="K542" s="104">
        <v>1</v>
      </c>
      <c r="L542" s="104">
        <v>25</v>
      </c>
      <c r="M542" s="104">
        <v>17.04</v>
      </c>
      <c r="N542" s="104" t="s">
        <v>24</v>
      </c>
      <c r="O542" s="104" t="s">
        <v>25</v>
      </c>
      <c r="P542" s="104" t="s">
        <v>106</v>
      </c>
      <c r="Q542" s="104">
        <v>46118.7638888889</v>
      </c>
      <c r="R542" s="104">
        <v>46118.7638888889</v>
      </c>
      <c r="S542" s="104">
        <v>46118.7729166667</v>
      </c>
      <c r="T542" s="104" t="s">
        <v>135</v>
      </c>
    </row>
    <row r="543" s="102" customFormat="1" ht="15" spans="1:20">
      <c r="A543" s="104" t="s">
        <v>22</v>
      </c>
      <c r="B543" s="104" t="s">
        <v>81</v>
      </c>
      <c r="C543" s="114"/>
      <c r="D543" s="114"/>
      <c r="E543" s="114"/>
      <c r="F543" s="114"/>
      <c r="G543" s="114"/>
      <c r="H543" s="104">
        <v>4063799</v>
      </c>
      <c r="I543" s="104">
        <v>166</v>
      </c>
      <c r="J543" s="104">
        <v>15</v>
      </c>
      <c r="K543" s="104">
        <v>6</v>
      </c>
      <c r="L543" s="104">
        <v>9</v>
      </c>
      <c r="M543" s="104">
        <v>48.622</v>
      </c>
      <c r="N543" s="104" t="s">
        <v>24</v>
      </c>
      <c r="O543" s="104" t="s">
        <v>25</v>
      </c>
      <c r="P543" s="104" t="s">
        <v>106</v>
      </c>
      <c r="Q543" s="104">
        <v>46118.7638888889</v>
      </c>
      <c r="R543" s="104">
        <v>46118.7638888889</v>
      </c>
      <c r="S543" s="104">
        <v>46118.7729166667</v>
      </c>
      <c r="T543" s="104" t="s">
        <v>135</v>
      </c>
    </row>
    <row r="544" s="102" customFormat="1" ht="15" spans="1:20">
      <c r="A544" s="104" t="s">
        <v>22</v>
      </c>
      <c r="B544" s="104" t="s">
        <v>81</v>
      </c>
      <c r="C544" s="114"/>
      <c r="D544" s="114"/>
      <c r="E544" s="114"/>
      <c r="F544" s="114"/>
      <c r="G544" s="114"/>
      <c r="H544" s="104">
        <v>40601</v>
      </c>
      <c r="I544" s="104">
        <v>75</v>
      </c>
      <c r="J544" s="104">
        <v>6</v>
      </c>
      <c r="K544" s="104">
        <v>0</v>
      </c>
      <c r="L544" s="104">
        <v>6</v>
      </c>
      <c r="M544" s="104">
        <v>2.049</v>
      </c>
      <c r="N544" s="104" t="s">
        <v>24</v>
      </c>
      <c r="O544" s="104" t="s">
        <v>25</v>
      </c>
      <c r="P544" s="104" t="s">
        <v>106</v>
      </c>
      <c r="Q544" s="104">
        <v>46118.7638888889</v>
      </c>
      <c r="R544" s="104">
        <v>46118.7638888889</v>
      </c>
      <c r="S544" s="104">
        <v>46118.7729166667</v>
      </c>
      <c r="T544" s="104" t="s">
        <v>135</v>
      </c>
    </row>
    <row r="545" s="102" customFormat="1" ht="15" spans="1:20">
      <c r="A545" s="104" t="s">
        <v>22</v>
      </c>
      <c r="B545" s="104" t="s">
        <v>81</v>
      </c>
      <c r="C545" s="104" t="s">
        <v>793</v>
      </c>
      <c r="D545" s="104" t="s">
        <v>38</v>
      </c>
      <c r="E545" s="114"/>
      <c r="F545" s="114"/>
      <c r="G545" s="114"/>
      <c r="H545" s="104">
        <v>4060001</v>
      </c>
      <c r="I545" s="104">
        <v>339</v>
      </c>
      <c r="J545" s="104">
        <v>339</v>
      </c>
      <c r="K545" s="104">
        <v>0</v>
      </c>
      <c r="L545" s="104">
        <v>339</v>
      </c>
      <c r="M545" s="104">
        <v>231.722</v>
      </c>
      <c r="N545" s="104" t="s">
        <v>24</v>
      </c>
      <c r="O545" s="104" t="s">
        <v>25</v>
      </c>
      <c r="P545" s="104" t="s">
        <v>106</v>
      </c>
      <c r="Q545" s="104">
        <v>46118.7659722222</v>
      </c>
      <c r="R545" s="104">
        <v>46118.7659722222</v>
      </c>
      <c r="S545" s="104">
        <v>46118.7729166667</v>
      </c>
      <c r="T545" s="104" t="s">
        <v>136</v>
      </c>
    </row>
    <row r="546" s="102" customFormat="1" ht="15" spans="1:20">
      <c r="A546" s="104" t="s">
        <v>22</v>
      </c>
      <c r="B546" s="104" t="s">
        <v>212</v>
      </c>
      <c r="C546" s="104" t="s">
        <v>794</v>
      </c>
      <c r="D546" s="104" t="s">
        <v>340</v>
      </c>
      <c r="E546" s="114"/>
      <c r="F546" s="114"/>
      <c r="G546" s="114"/>
      <c r="H546" s="104">
        <v>4060002</v>
      </c>
      <c r="I546" s="104">
        <v>707</v>
      </c>
      <c r="J546" s="104">
        <v>707</v>
      </c>
      <c r="K546" s="104">
        <v>14</v>
      </c>
      <c r="L546" s="104">
        <v>693</v>
      </c>
      <c r="M546" s="104">
        <v>1342.798</v>
      </c>
      <c r="N546" s="104" t="s">
        <v>24</v>
      </c>
      <c r="O546" s="104" t="s">
        <v>25</v>
      </c>
      <c r="P546" s="104" t="s">
        <v>106</v>
      </c>
      <c r="Q546" s="104">
        <v>46118.7729166667</v>
      </c>
      <c r="R546" s="104">
        <v>46118.7729166667</v>
      </c>
      <c r="S546" s="104">
        <v>46118.7909722222</v>
      </c>
      <c r="T546" s="104" t="s">
        <v>568</v>
      </c>
    </row>
    <row r="547" s="102" customFormat="1" ht="15" spans="1:20">
      <c r="A547" s="104" t="s">
        <v>22</v>
      </c>
      <c r="B547" s="104" t="s">
        <v>236</v>
      </c>
      <c r="C547" s="114"/>
      <c r="D547" s="114"/>
      <c r="E547" s="114"/>
      <c r="F547" s="114"/>
      <c r="G547" s="114"/>
      <c r="H547" s="104">
        <v>4064813</v>
      </c>
      <c r="I547" s="104">
        <v>2687</v>
      </c>
      <c r="J547" s="104">
        <v>2687</v>
      </c>
      <c r="K547" s="104">
        <v>8</v>
      </c>
      <c r="L547" s="104">
        <v>2679</v>
      </c>
      <c r="M547" s="104">
        <v>1231.602</v>
      </c>
      <c r="N547" s="104" t="s">
        <v>24</v>
      </c>
      <c r="O547" s="104" t="s">
        <v>25</v>
      </c>
      <c r="P547" s="104" t="s">
        <v>106</v>
      </c>
      <c r="Q547" s="104">
        <v>46118.7763888889</v>
      </c>
      <c r="R547" s="104">
        <v>46118.7763888889</v>
      </c>
      <c r="S547" s="104">
        <v>46118.7902777778</v>
      </c>
      <c r="T547" s="104" t="s">
        <v>533</v>
      </c>
    </row>
    <row r="548" s="102" customFormat="1" ht="15" spans="1:20">
      <c r="A548" s="104" t="s">
        <v>22</v>
      </c>
      <c r="B548" s="104" t="s">
        <v>263</v>
      </c>
      <c r="C548" s="104" t="s">
        <v>795</v>
      </c>
      <c r="D548" s="104" t="s">
        <v>265</v>
      </c>
      <c r="E548" s="114"/>
      <c r="F548" s="114"/>
      <c r="G548" s="114"/>
      <c r="H548" s="104">
        <v>4060001</v>
      </c>
      <c r="I548" s="104">
        <v>1356</v>
      </c>
      <c r="J548" s="104">
        <v>1221</v>
      </c>
      <c r="K548" s="104">
        <v>19</v>
      </c>
      <c r="L548" s="104">
        <v>1202</v>
      </c>
      <c r="M548" s="104">
        <v>1324.741</v>
      </c>
      <c r="N548" s="104" t="s">
        <v>24</v>
      </c>
      <c r="O548" s="104" t="s">
        <v>25</v>
      </c>
      <c r="P548" s="104" t="s">
        <v>106</v>
      </c>
      <c r="Q548" s="104">
        <v>46118.7798611111</v>
      </c>
      <c r="R548" s="104">
        <v>46118.7826388889</v>
      </c>
      <c r="S548" s="104">
        <v>46118.7951388889</v>
      </c>
      <c r="T548" s="104" t="s">
        <v>393</v>
      </c>
    </row>
    <row r="549" s="102" customFormat="1" ht="15" spans="1:20">
      <c r="A549" s="104" t="s">
        <v>22</v>
      </c>
      <c r="B549" s="104" t="s">
        <v>249</v>
      </c>
      <c r="C549" s="104" t="s">
        <v>796</v>
      </c>
      <c r="D549" s="104" t="s">
        <v>55</v>
      </c>
      <c r="E549" s="114"/>
      <c r="F549" s="114"/>
      <c r="G549" s="114"/>
      <c r="H549" s="104">
        <v>4060001</v>
      </c>
      <c r="I549" s="104">
        <v>113</v>
      </c>
      <c r="J549" s="104">
        <v>113</v>
      </c>
      <c r="K549" s="104">
        <v>2</v>
      </c>
      <c r="L549" s="104">
        <v>111</v>
      </c>
      <c r="M549" s="104">
        <v>148.37</v>
      </c>
      <c r="N549" s="104" t="s">
        <v>24</v>
      </c>
      <c r="O549" s="104" t="s">
        <v>25</v>
      </c>
      <c r="P549" s="104" t="s">
        <v>106</v>
      </c>
      <c r="Q549" s="104">
        <v>46118.7833333333</v>
      </c>
      <c r="R549" s="104">
        <v>46118.7854166667</v>
      </c>
      <c r="S549" s="104">
        <v>46118.7986111111</v>
      </c>
      <c r="T549" s="104" t="s">
        <v>393</v>
      </c>
    </row>
    <row r="550" s="102" customFormat="1" ht="15" spans="1:20">
      <c r="A550" s="104" t="s">
        <v>22</v>
      </c>
      <c r="B550" s="104" t="s">
        <v>232</v>
      </c>
      <c r="C550" s="104" t="s">
        <v>797</v>
      </c>
      <c r="D550" s="104" t="s">
        <v>65</v>
      </c>
      <c r="E550" s="114"/>
      <c r="F550" s="114"/>
      <c r="G550" s="114"/>
      <c r="H550" s="104">
        <v>4060001</v>
      </c>
      <c r="I550" s="104">
        <v>2434</v>
      </c>
      <c r="J550" s="104">
        <v>1929</v>
      </c>
      <c r="K550" s="104">
        <v>132</v>
      </c>
      <c r="L550" s="104">
        <v>1797</v>
      </c>
      <c r="M550" s="104">
        <v>2257.739</v>
      </c>
      <c r="N550" s="104" t="s">
        <v>24</v>
      </c>
      <c r="O550" s="104" t="s">
        <v>25</v>
      </c>
      <c r="P550" s="104" t="s">
        <v>106</v>
      </c>
      <c r="Q550" s="104">
        <v>46118.7923611111</v>
      </c>
      <c r="R550" s="104">
        <v>46118.7930555556</v>
      </c>
      <c r="S550" s="104">
        <v>46118.8090277778</v>
      </c>
      <c r="T550" s="104" t="s">
        <v>478</v>
      </c>
    </row>
    <row r="551" s="102" customFormat="1" ht="15" spans="1:20">
      <c r="A551" s="104" t="s">
        <v>22</v>
      </c>
      <c r="B551" s="104" t="s">
        <v>236</v>
      </c>
      <c r="C551" s="114"/>
      <c r="D551" s="114"/>
      <c r="E551" s="114"/>
      <c r="F551" s="114"/>
      <c r="G551" s="114"/>
      <c r="H551" s="104">
        <v>4064814</v>
      </c>
      <c r="I551" s="104">
        <v>667</v>
      </c>
      <c r="J551" s="104">
        <v>667</v>
      </c>
      <c r="K551" s="104">
        <v>13</v>
      </c>
      <c r="L551" s="104">
        <v>654</v>
      </c>
      <c r="M551" s="104">
        <v>406.91</v>
      </c>
      <c r="N551" s="104" t="s">
        <v>24</v>
      </c>
      <c r="O551" s="104" t="s">
        <v>25</v>
      </c>
      <c r="P551" s="104" t="s">
        <v>106</v>
      </c>
      <c r="Q551" s="104">
        <v>46118.7944444444</v>
      </c>
      <c r="R551" s="104">
        <v>46118.7944444444</v>
      </c>
      <c r="S551" s="104">
        <v>46118.8013888889</v>
      </c>
      <c r="T551" s="104" t="s">
        <v>798</v>
      </c>
    </row>
    <row r="552" s="102" customFormat="1" ht="15" spans="1:20">
      <c r="A552" s="104" t="s">
        <v>22</v>
      </c>
      <c r="B552" s="104" t="s">
        <v>305</v>
      </c>
      <c r="C552" s="104" t="s">
        <v>799</v>
      </c>
      <c r="D552" s="104" t="s">
        <v>307</v>
      </c>
      <c r="E552" s="114"/>
      <c r="F552" s="114"/>
      <c r="G552" s="114"/>
      <c r="H552" s="104">
        <v>4060001</v>
      </c>
      <c r="I552" s="104">
        <v>1429</v>
      </c>
      <c r="J552" s="104">
        <v>1316</v>
      </c>
      <c r="K552" s="104">
        <v>2</v>
      </c>
      <c r="L552" s="104">
        <v>1314</v>
      </c>
      <c r="M552" s="104">
        <v>1202.539</v>
      </c>
      <c r="N552" s="104" t="s">
        <v>24</v>
      </c>
      <c r="O552" s="104" t="s">
        <v>25</v>
      </c>
      <c r="P552" s="104" t="s">
        <v>106</v>
      </c>
      <c r="Q552" s="104">
        <v>46118.7958333333</v>
      </c>
      <c r="R552" s="104">
        <v>46118.7972222222</v>
      </c>
      <c r="S552" s="104">
        <v>46118.8090277778</v>
      </c>
      <c r="T552" s="104" t="s">
        <v>369</v>
      </c>
    </row>
    <row r="553" s="102" customFormat="1" ht="15" spans="1:20">
      <c r="A553" s="104" t="s">
        <v>22</v>
      </c>
      <c r="B553" s="104" t="s">
        <v>314</v>
      </c>
      <c r="C553" s="104" t="s">
        <v>800</v>
      </c>
      <c r="D553" s="104" t="s">
        <v>293</v>
      </c>
      <c r="E553" s="114"/>
      <c r="F553" s="114"/>
      <c r="G553" s="114"/>
      <c r="H553" s="104">
        <v>4060001</v>
      </c>
      <c r="I553" s="104">
        <v>29</v>
      </c>
      <c r="J553" s="104">
        <v>8</v>
      </c>
      <c r="K553" s="104">
        <v>7</v>
      </c>
      <c r="L553" s="104">
        <v>1</v>
      </c>
      <c r="M553" s="104">
        <v>11.378</v>
      </c>
      <c r="N553" s="104" t="s">
        <v>24</v>
      </c>
      <c r="O553" s="104" t="s">
        <v>25</v>
      </c>
      <c r="P553" s="104" t="s">
        <v>106</v>
      </c>
      <c r="Q553" s="104">
        <v>46118.7972222222</v>
      </c>
      <c r="R553" s="104">
        <v>46118.7972222222</v>
      </c>
      <c r="S553" s="104">
        <v>46118.8097222222</v>
      </c>
      <c r="T553" s="104" t="s">
        <v>369</v>
      </c>
    </row>
    <row r="554" s="102" customFormat="1" ht="15" spans="1:20">
      <c r="A554" s="104" t="s">
        <v>22</v>
      </c>
      <c r="B554" s="104" t="s">
        <v>254</v>
      </c>
      <c r="C554" s="104" t="s">
        <v>801</v>
      </c>
      <c r="D554" s="104" t="s">
        <v>182</v>
      </c>
      <c r="E554" s="114"/>
      <c r="F554" s="114"/>
      <c r="G554" s="114"/>
      <c r="H554" s="104">
        <v>4060001</v>
      </c>
      <c r="I554" s="104">
        <v>2814</v>
      </c>
      <c r="J554" s="104">
        <v>2680</v>
      </c>
      <c r="K554" s="104">
        <v>603</v>
      </c>
      <c r="L554" s="104">
        <v>2077</v>
      </c>
      <c r="M554" s="104">
        <v>4343.03</v>
      </c>
      <c r="N554" s="104" t="s">
        <v>24</v>
      </c>
      <c r="O554" s="104" t="s">
        <v>25</v>
      </c>
      <c r="P554" s="104" t="s">
        <v>106</v>
      </c>
      <c r="Q554" s="104">
        <v>46118.7972222222</v>
      </c>
      <c r="R554" s="104">
        <v>46118.7979166667</v>
      </c>
      <c r="S554" s="104">
        <v>46118.8104166667</v>
      </c>
      <c r="T554" s="104" t="s">
        <v>369</v>
      </c>
    </row>
    <row r="555" s="102" customFormat="1" ht="15" spans="1:20">
      <c r="A555" s="104" t="s">
        <v>22</v>
      </c>
      <c r="B555" s="104" t="s">
        <v>302</v>
      </c>
      <c r="C555" s="104" t="s">
        <v>802</v>
      </c>
      <c r="D555" s="104" t="s">
        <v>74</v>
      </c>
      <c r="E555" s="114"/>
      <c r="F555" s="114"/>
      <c r="G555" s="114"/>
      <c r="H555" s="104">
        <v>4060001</v>
      </c>
      <c r="I555" s="104">
        <v>1137</v>
      </c>
      <c r="J555" s="104">
        <v>1026</v>
      </c>
      <c r="K555" s="104">
        <v>11</v>
      </c>
      <c r="L555" s="104">
        <v>1015</v>
      </c>
      <c r="M555" s="104">
        <v>1016.42</v>
      </c>
      <c r="N555" s="104" t="s">
        <v>24</v>
      </c>
      <c r="O555" s="104" t="s">
        <v>25</v>
      </c>
      <c r="P555" s="104" t="s">
        <v>106</v>
      </c>
      <c r="Q555" s="104">
        <v>46118.7986111111</v>
      </c>
      <c r="R555" s="104">
        <v>46118.7993055556</v>
      </c>
      <c r="S555" s="104">
        <v>46118.8104166667</v>
      </c>
      <c r="T555" s="104" t="s">
        <v>540</v>
      </c>
    </row>
    <row r="556" s="102" customFormat="1" ht="15" spans="1:20">
      <c r="A556" s="104" t="s">
        <v>22</v>
      </c>
      <c r="B556" s="104" t="s">
        <v>319</v>
      </c>
      <c r="C556" s="104" t="s">
        <v>803</v>
      </c>
      <c r="D556" s="104" t="s">
        <v>718</v>
      </c>
      <c r="E556" s="114"/>
      <c r="F556" s="114"/>
      <c r="G556" s="114"/>
      <c r="H556" s="104">
        <v>4060001</v>
      </c>
      <c r="I556" s="104">
        <v>529</v>
      </c>
      <c r="J556" s="104">
        <v>223</v>
      </c>
      <c r="K556" s="104">
        <v>12</v>
      </c>
      <c r="L556" s="104">
        <v>211</v>
      </c>
      <c r="M556" s="104">
        <v>306.6</v>
      </c>
      <c r="N556" s="104" t="s">
        <v>24</v>
      </c>
      <c r="O556" s="104" t="s">
        <v>25</v>
      </c>
      <c r="P556" s="104" t="s">
        <v>106</v>
      </c>
      <c r="Q556" s="104">
        <v>46118.7993055556</v>
      </c>
      <c r="R556" s="104">
        <v>46118.8</v>
      </c>
      <c r="S556" s="104">
        <v>46118.8152777778</v>
      </c>
      <c r="T556" s="104" t="s">
        <v>128</v>
      </c>
    </row>
    <row r="557" s="102" customFormat="1" ht="15" spans="1:20">
      <c r="A557" s="104" t="s">
        <v>22</v>
      </c>
      <c r="B557" s="104" t="s">
        <v>184</v>
      </c>
      <c r="C557" s="104" t="s">
        <v>804</v>
      </c>
      <c r="D557" s="104" t="s">
        <v>186</v>
      </c>
      <c r="E557" s="114"/>
      <c r="F557" s="114"/>
      <c r="G557" s="114"/>
      <c r="H557" s="104">
        <v>4060001</v>
      </c>
      <c r="I557" s="104">
        <v>1719</v>
      </c>
      <c r="J557" s="104">
        <v>1650</v>
      </c>
      <c r="K557" s="104">
        <v>9</v>
      </c>
      <c r="L557" s="104">
        <v>1641</v>
      </c>
      <c r="M557" s="104">
        <v>1414.102</v>
      </c>
      <c r="N557" s="104" t="s">
        <v>24</v>
      </c>
      <c r="O557" s="104" t="s">
        <v>25</v>
      </c>
      <c r="P557" s="104" t="s">
        <v>106</v>
      </c>
      <c r="Q557" s="104">
        <v>46118.5111111111</v>
      </c>
      <c r="R557" s="104">
        <v>46118.5131944444</v>
      </c>
      <c r="S557" s="104">
        <v>46118.5284722222</v>
      </c>
      <c r="T557" s="104" t="s">
        <v>128</v>
      </c>
    </row>
    <row r="558" s="102" customFormat="1" ht="15" spans="1:20">
      <c r="A558" s="104" t="s">
        <v>22</v>
      </c>
      <c r="B558" s="104" t="s">
        <v>172</v>
      </c>
      <c r="C558" s="104" t="s">
        <v>805</v>
      </c>
      <c r="D558" s="104" t="s">
        <v>174</v>
      </c>
      <c r="E558" s="114"/>
      <c r="F558" s="114"/>
      <c r="G558" s="114"/>
      <c r="H558" s="104">
        <v>4060001</v>
      </c>
      <c r="I558" s="104">
        <v>82</v>
      </c>
      <c r="J558" s="104">
        <v>46</v>
      </c>
      <c r="K558" s="104">
        <v>6</v>
      </c>
      <c r="L558" s="104">
        <v>40</v>
      </c>
      <c r="M558" s="104">
        <v>65.931</v>
      </c>
      <c r="N558" s="104" t="s">
        <v>24</v>
      </c>
      <c r="O558" s="104" t="s">
        <v>25</v>
      </c>
      <c r="P558" s="104" t="s">
        <v>106</v>
      </c>
      <c r="Q558" s="104">
        <v>46118.5166666667</v>
      </c>
      <c r="R558" s="104">
        <v>46118.5166666667</v>
      </c>
      <c r="S558" s="104">
        <v>46118.5284722222</v>
      </c>
      <c r="T558" s="104" t="s">
        <v>560</v>
      </c>
    </row>
    <row r="559" s="102" customFormat="1" ht="15" spans="1:20">
      <c r="A559" s="104" t="s">
        <v>22</v>
      </c>
      <c r="B559" s="104" t="s">
        <v>188</v>
      </c>
      <c r="C559" s="104" t="s">
        <v>806</v>
      </c>
      <c r="D559" s="104" t="s">
        <v>190</v>
      </c>
      <c r="E559" s="114"/>
      <c r="F559" s="114"/>
      <c r="G559" s="114"/>
      <c r="H559" s="104">
        <v>4060001</v>
      </c>
      <c r="I559" s="104">
        <v>2186</v>
      </c>
      <c r="J559" s="104">
        <v>2183</v>
      </c>
      <c r="K559" s="104">
        <v>64</v>
      </c>
      <c r="L559" s="104">
        <v>2119</v>
      </c>
      <c r="M559" s="104">
        <v>4241.372</v>
      </c>
      <c r="N559" s="104" t="s">
        <v>24</v>
      </c>
      <c r="O559" s="104" t="s">
        <v>25</v>
      </c>
      <c r="P559" s="104" t="s">
        <v>106</v>
      </c>
      <c r="Q559" s="104">
        <v>46118.5166666667</v>
      </c>
      <c r="R559" s="104">
        <v>46118.5173611111</v>
      </c>
      <c r="S559" s="104">
        <v>46118.5291666667</v>
      </c>
      <c r="T559" s="104" t="s">
        <v>560</v>
      </c>
    </row>
    <row r="560" s="102" customFormat="1" ht="15" spans="1:20">
      <c r="A560" s="104" t="s">
        <v>22</v>
      </c>
      <c r="B560" s="104" t="s">
        <v>180</v>
      </c>
      <c r="C560" s="104" t="s">
        <v>807</v>
      </c>
      <c r="D560" s="104" t="s">
        <v>182</v>
      </c>
      <c r="E560" s="114"/>
      <c r="F560" s="114"/>
      <c r="G560" s="114"/>
      <c r="H560" s="104">
        <v>4060001</v>
      </c>
      <c r="I560" s="104">
        <v>1134</v>
      </c>
      <c r="J560" s="104">
        <v>897</v>
      </c>
      <c r="K560" s="104">
        <v>383</v>
      </c>
      <c r="L560" s="104">
        <v>514</v>
      </c>
      <c r="M560" s="104">
        <v>1676.779</v>
      </c>
      <c r="N560" s="104" t="s">
        <v>24</v>
      </c>
      <c r="O560" s="104" t="s">
        <v>25</v>
      </c>
      <c r="P560" s="104" t="s">
        <v>106</v>
      </c>
      <c r="Q560" s="104">
        <v>46118.5194444444</v>
      </c>
      <c r="R560" s="104">
        <v>46118.5222222222</v>
      </c>
      <c r="S560" s="104">
        <v>46118.54375</v>
      </c>
      <c r="T560" s="104" t="s">
        <v>474</v>
      </c>
    </row>
    <row r="561" s="102" customFormat="1" ht="15" spans="1:20">
      <c r="A561" s="104" t="s">
        <v>22</v>
      </c>
      <c r="B561" s="104" t="s">
        <v>91</v>
      </c>
      <c r="C561" s="104" t="s">
        <v>808</v>
      </c>
      <c r="D561" s="104" t="s">
        <v>93</v>
      </c>
      <c r="E561" s="114"/>
      <c r="F561" s="114"/>
      <c r="G561" s="104">
        <v>12345678900000</v>
      </c>
      <c r="H561" s="104">
        <v>4060003</v>
      </c>
      <c r="I561" s="104">
        <v>2069</v>
      </c>
      <c r="J561" s="104">
        <v>2069</v>
      </c>
      <c r="K561" s="104">
        <v>0</v>
      </c>
      <c r="L561" s="104">
        <v>2069</v>
      </c>
      <c r="M561" s="104">
        <v>4668.79</v>
      </c>
      <c r="N561" s="104" t="s">
        <v>24</v>
      </c>
      <c r="O561" s="104" t="s">
        <v>25</v>
      </c>
      <c r="P561" s="104" t="s">
        <v>106</v>
      </c>
      <c r="Q561" s="104">
        <v>46118.5375</v>
      </c>
      <c r="R561" s="104">
        <v>46118.5416666667</v>
      </c>
      <c r="S561" s="104">
        <v>46118.5611111111</v>
      </c>
      <c r="T561" s="104" t="s">
        <v>406</v>
      </c>
    </row>
    <row r="562" s="102" customFormat="1" ht="15" spans="1:20">
      <c r="A562" s="104" t="s">
        <v>22</v>
      </c>
      <c r="B562" s="104" t="s">
        <v>81</v>
      </c>
      <c r="C562" s="114"/>
      <c r="D562" s="114"/>
      <c r="E562" s="114"/>
      <c r="F562" s="114"/>
      <c r="G562" s="114"/>
      <c r="H562" s="104">
        <v>4063811</v>
      </c>
      <c r="I562" s="104">
        <v>20</v>
      </c>
      <c r="J562" s="104">
        <v>1</v>
      </c>
      <c r="K562" s="104">
        <v>0</v>
      </c>
      <c r="L562" s="104">
        <v>1</v>
      </c>
      <c r="M562" s="104">
        <v>17.856</v>
      </c>
      <c r="N562" s="104" t="s">
        <v>24</v>
      </c>
      <c r="O562" s="104" t="s">
        <v>25</v>
      </c>
      <c r="P562" s="104" t="s">
        <v>106</v>
      </c>
      <c r="Q562" s="104">
        <v>46118.54375</v>
      </c>
      <c r="R562" s="104">
        <v>46118.54375</v>
      </c>
      <c r="S562" s="104">
        <v>46118.5611111111</v>
      </c>
      <c r="T562" s="104" t="s">
        <v>547</v>
      </c>
    </row>
    <row r="563" s="102" customFormat="1" ht="15" spans="1:20">
      <c r="A563" s="104" t="s">
        <v>22</v>
      </c>
      <c r="B563" s="104" t="s">
        <v>23</v>
      </c>
      <c r="C563" s="104" t="s">
        <v>809</v>
      </c>
      <c r="D563" s="104" t="s">
        <v>193</v>
      </c>
      <c r="E563" s="114"/>
      <c r="F563" s="114"/>
      <c r="G563" s="114"/>
      <c r="H563" s="104">
        <v>4060001</v>
      </c>
      <c r="I563" s="104">
        <v>487</v>
      </c>
      <c r="J563" s="104">
        <v>487</v>
      </c>
      <c r="K563" s="104">
        <v>1</v>
      </c>
      <c r="L563" s="104">
        <v>486</v>
      </c>
      <c r="M563" s="104">
        <v>828.73</v>
      </c>
      <c r="N563" s="104" t="s">
        <v>24</v>
      </c>
      <c r="O563" s="104" t="s">
        <v>25</v>
      </c>
      <c r="P563" s="104" t="s">
        <v>106</v>
      </c>
      <c r="Q563" s="104">
        <v>46118.54375</v>
      </c>
      <c r="R563" s="104">
        <v>46118.54375</v>
      </c>
      <c r="S563" s="104">
        <v>46118.5611111111</v>
      </c>
      <c r="T563" s="104" t="s">
        <v>547</v>
      </c>
    </row>
    <row r="564" s="102" customFormat="1" ht="15" spans="1:20">
      <c r="A564" s="104" t="s">
        <v>22</v>
      </c>
      <c r="B564" s="104" t="s">
        <v>197</v>
      </c>
      <c r="C564" s="104" t="s">
        <v>810</v>
      </c>
      <c r="D564" s="104" t="s">
        <v>422</v>
      </c>
      <c r="E564" s="114"/>
      <c r="F564" s="114"/>
      <c r="G564" s="104">
        <v>11111111111111</v>
      </c>
      <c r="H564" s="104">
        <v>4060001</v>
      </c>
      <c r="I564" s="104">
        <v>5486</v>
      </c>
      <c r="J564" s="104">
        <v>5357</v>
      </c>
      <c r="K564" s="104">
        <v>25</v>
      </c>
      <c r="L564" s="104">
        <v>5332</v>
      </c>
      <c r="M564" s="104">
        <v>3050.312</v>
      </c>
      <c r="N564" s="104" t="s">
        <v>24</v>
      </c>
      <c r="O564" s="104" t="s">
        <v>25</v>
      </c>
      <c r="P564" s="104" t="s">
        <v>106</v>
      </c>
      <c r="Q564" s="104">
        <v>46118.55</v>
      </c>
      <c r="R564" s="104">
        <v>46118.5527777778</v>
      </c>
      <c r="S564" s="104">
        <v>46118.5868055556</v>
      </c>
      <c r="T564" s="104" t="s">
        <v>811</v>
      </c>
    </row>
    <row r="565" s="102" customFormat="1" ht="15" spans="1:20">
      <c r="A565" s="104" t="s">
        <v>22</v>
      </c>
      <c r="B565" s="104" t="s">
        <v>201</v>
      </c>
      <c r="C565" s="104" t="s">
        <v>812</v>
      </c>
      <c r="D565" s="104" t="s">
        <v>144</v>
      </c>
      <c r="E565" s="104" t="s">
        <v>145</v>
      </c>
      <c r="F565" s="104" t="s">
        <v>146</v>
      </c>
      <c r="G565" s="114"/>
      <c r="H565" s="104">
        <v>4060001</v>
      </c>
      <c r="I565" s="104">
        <v>15537</v>
      </c>
      <c r="J565" s="104">
        <v>3091</v>
      </c>
      <c r="K565" s="104">
        <v>9</v>
      </c>
      <c r="L565" s="104">
        <v>3082</v>
      </c>
      <c r="M565" s="104">
        <v>10193.686</v>
      </c>
      <c r="N565" s="104" t="s">
        <v>24</v>
      </c>
      <c r="O565" s="104" t="s">
        <v>70</v>
      </c>
      <c r="P565" s="104" t="s">
        <v>106</v>
      </c>
      <c r="Q565" s="104">
        <v>46118.4722222222</v>
      </c>
      <c r="R565" s="104">
        <v>46118.5972222222</v>
      </c>
      <c r="S565" s="104">
        <v>46118.6590277778</v>
      </c>
      <c r="T565" s="104" t="s">
        <v>448</v>
      </c>
    </row>
    <row r="566" s="102" customFormat="1" ht="15" spans="1:20">
      <c r="A566" s="104" t="s">
        <v>22</v>
      </c>
      <c r="B566" s="104" t="s">
        <v>207</v>
      </c>
      <c r="C566" s="104" t="s">
        <v>813</v>
      </c>
      <c r="D566" s="104" t="s">
        <v>374</v>
      </c>
      <c r="E566" s="104" t="s">
        <v>375</v>
      </c>
      <c r="F566" s="104" t="s">
        <v>376</v>
      </c>
      <c r="G566" s="114"/>
      <c r="H566" s="104">
        <v>4060001</v>
      </c>
      <c r="I566" s="104">
        <v>15698</v>
      </c>
      <c r="J566" s="104">
        <v>2731</v>
      </c>
      <c r="K566" s="104">
        <v>2</v>
      </c>
      <c r="L566" s="104">
        <v>2729</v>
      </c>
      <c r="M566" s="104">
        <v>9306.609</v>
      </c>
      <c r="N566" s="104" t="s">
        <v>24</v>
      </c>
      <c r="O566" s="104" t="s">
        <v>70</v>
      </c>
      <c r="P566" s="104" t="s">
        <v>106</v>
      </c>
      <c r="Q566" s="104">
        <v>46118.55</v>
      </c>
      <c r="R566" s="104">
        <v>46118.5972222222</v>
      </c>
      <c r="S566" s="104">
        <v>46118.6590277778</v>
      </c>
      <c r="T566" s="104" t="s">
        <v>448</v>
      </c>
    </row>
    <row r="567" s="102" customFormat="1" ht="15" spans="1:20">
      <c r="A567" s="104" t="s">
        <v>22</v>
      </c>
      <c r="B567" s="104" t="s">
        <v>587</v>
      </c>
      <c r="C567" s="104" t="s">
        <v>587</v>
      </c>
      <c r="D567" s="104" t="s">
        <v>29</v>
      </c>
      <c r="E567" s="114"/>
      <c r="F567" s="114"/>
      <c r="G567" s="114"/>
      <c r="H567" s="104" t="s">
        <v>587</v>
      </c>
      <c r="I567" s="104">
        <v>1</v>
      </c>
      <c r="J567" s="104">
        <v>1</v>
      </c>
      <c r="K567" s="104">
        <v>0</v>
      </c>
      <c r="L567" s="104">
        <v>0</v>
      </c>
      <c r="M567" s="104">
        <v>2.7</v>
      </c>
      <c r="N567" s="104" t="s">
        <v>24</v>
      </c>
      <c r="O567" s="104" t="s">
        <v>25</v>
      </c>
      <c r="P567" s="104" t="s">
        <v>588</v>
      </c>
      <c r="Q567" s="114"/>
      <c r="R567" s="104">
        <v>46118.7069444444</v>
      </c>
      <c r="S567" s="114"/>
      <c r="T567" s="114"/>
    </row>
    <row r="568" s="102" customFormat="1" ht="15" spans="1:20">
      <c r="A568" s="104" t="s">
        <v>22</v>
      </c>
      <c r="B568" s="104" t="s">
        <v>587</v>
      </c>
      <c r="C568" s="104" t="s">
        <v>587</v>
      </c>
      <c r="D568" s="104" t="s">
        <v>29</v>
      </c>
      <c r="E568" s="114"/>
      <c r="F568" s="114"/>
      <c r="G568" s="114"/>
      <c r="H568" s="104" t="s">
        <v>587</v>
      </c>
      <c r="I568" s="104">
        <v>6966</v>
      </c>
      <c r="J568" s="104">
        <v>6966</v>
      </c>
      <c r="K568" s="104">
        <v>0</v>
      </c>
      <c r="L568" s="104">
        <v>2912</v>
      </c>
      <c r="M568" s="104">
        <v>16672.612</v>
      </c>
      <c r="N568" s="104" t="s">
        <v>24</v>
      </c>
      <c r="O568" s="104" t="s">
        <v>25</v>
      </c>
      <c r="P568" s="104" t="s">
        <v>588</v>
      </c>
      <c r="Q568" s="114"/>
      <c r="R568" s="104">
        <v>46118.7069444444</v>
      </c>
      <c r="S568" s="114"/>
      <c r="T568" s="114"/>
    </row>
    <row r="569" s="102" customFormat="1" ht="15" spans="1:20">
      <c r="A569" s="104" t="s">
        <v>22</v>
      </c>
      <c r="B569" s="104" t="s">
        <v>219</v>
      </c>
      <c r="C569" s="104" t="s">
        <v>814</v>
      </c>
      <c r="D569" s="104" t="s">
        <v>221</v>
      </c>
      <c r="E569" s="114"/>
      <c r="F569" s="114"/>
      <c r="G569" s="104">
        <v>11111111111111</v>
      </c>
      <c r="H569" s="104">
        <v>4060002</v>
      </c>
      <c r="I569" s="104">
        <v>8658</v>
      </c>
      <c r="J569" s="104">
        <v>8658</v>
      </c>
      <c r="K569" s="104">
        <v>15</v>
      </c>
      <c r="L569" s="104">
        <v>8643</v>
      </c>
      <c r="M569" s="104">
        <v>5728.125</v>
      </c>
      <c r="N569" s="104" t="s">
        <v>24</v>
      </c>
      <c r="O569" s="104" t="s">
        <v>25</v>
      </c>
      <c r="P569" s="104" t="s">
        <v>106</v>
      </c>
      <c r="Q569" s="104">
        <v>46118.70625</v>
      </c>
      <c r="R569" s="104">
        <v>46118.7097222222</v>
      </c>
      <c r="S569" s="104">
        <v>46118.7388888889</v>
      </c>
      <c r="T569" s="104" t="s">
        <v>815</v>
      </c>
    </row>
    <row r="570" s="102" customFormat="1" ht="15" spans="1:20">
      <c r="A570" s="104" t="s">
        <v>22</v>
      </c>
      <c r="B570" s="104" t="s">
        <v>91</v>
      </c>
      <c r="C570" s="104" t="s">
        <v>816</v>
      </c>
      <c r="D570" s="104" t="s">
        <v>93</v>
      </c>
      <c r="E570" s="114"/>
      <c r="F570" s="114"/>
      <c r="G570" s="104">
        <v>11111111111111</v>
      </c>
      <c r="H570" s="104">
        <v>4060002</v>
      </c>
      <c r="I570" s="104">
        <v>1679</v>
      </c>
      <c r="J570" s="104">
        <v>1679</v>
      </c>
      <c r="K570" s="104">
        <v>5</v>
      </c>
      <c r="L570" s="104">
        <v>1674</v>
      </c>
      <c r="M570" s="104">
        <v>3018.169</v>
      </c>
      <c r="N570" s="104" t="s">
        <v>24</v>
      </c>
      <c r="O570" s="104" t="s">
        <v>25</v>
      </c>
      <c r="P570" s="104" t="s">
        <v>106</v>
      </c>
      <c r="Q570" s="104">
        <v>46118.7090277778</v>
      </c>
      <c r="R570" s="104">
        <v>46118.7097222222</v>
      </c>
      <c r="S570" s="104">
        <v>46118.7395833333</v>
      </c>
      <c r="T570" s="104" t="s">
        <v>815</v>
      </c>
    </row>
    <row r="571" s="102" customFormat="1" ht="15" spans="1:20">
      <c r="A571" s="104" t="s">
        <v>22</v>
      </c>
      <c r="B571" s="104" t="s">
        <v>175</v>
      </c>
      <c r="C571" s="104" t="s">
        <v>817</v>
      </c>
      <c r="D571" s="104" t="s">
        <v>177</v>
      </c>
      <c r="E571" s="114"/>
      <c r="F571" s="114"/>
      <c r="G571" s="104">
        <v>11111111111111</v>
      </c>
      <c r="H571" s="104">
        <v>4060002</v>
      </c>
      <c r="I571" s="104">
        <v>1745</v>
      </c>
      <c r="J571" s="104">
        <v>1745</v>
      </c>
      <c r="K571" s="104">
        <v>388</v>
      </c>
      <c r="L571" s="104">
        <v>1357</v>
      </c>
      <c r="M571" s="104">
        <v>3823.2</v>
      </c>
      <c r="N571" s="104" t="s">
        <v>24</v>
      </c>
      <c r="O571" s="104" t="s">
        <v>25</v>
      </c>
      <c r="P571" s="104" t="s">
        <v>106</v>
      </c>
      <c r="Q571" s="104">
        <v>46118.7145833333</v>
      </c>
      <c r="R571" s="104">
        <v>46118.7277777778</v>
      </c>
      <c r="S571" s="104">
        <v>46118.7395833333</v>
      </c>
      <c r="T571" s="104" t="s">
        <v>560</v>
      </c>
    </row>
    <row r="572" s="102" customFormat="1" ht="15" spans="1:20">
      <c r="A572" s="104" t="s">
        <v>22</v>
      </c>
      <c r="B572" s="104" t="s">
        <v>232</v>
      </c>
      <c r="C572" s="104" t="s">
        <v>818</v>
      </c>
      <c r="D572" s="104" t="s">
        <v>234</v>
      </c>
      <c r="E572" s="114"/>
      <c r="F572" s="114"/>
      <c r="G572" s="114"/>
      <c r="H572" s="104">
        <v>4060002</v>
      </c>
      <c r="I572" s="104">
        <v>279</v>
      </c>
      <c r="J572" s="104">
        <v>279</v>
      </c>
      <c r="K572" s="104">
        <v>0</v>
      </c>
      <c r="L572" s="104">
        <v>279</v>
      </c>
      <c r="M572" s="104">
        <v>287.029</v>
      </c>
      <c r="N572" s="104" t="s">
        <v>24</v>
      </c>
      <c r="O572" s="104" t="s">
        <v>25</v>
      </c>
      <c r="P572" s="104" t="s">
        <v>106</v>
      </c>
      <c r="Q572" s="104">
        <v>46118.7256944444</v>
      </c>
      <c r="R572" s="104">
        <v>46118.7326388889</v>
      </c>
      <c r="S572" s="104">
        <v>46118.74375</v>
      </c>
      <c r="T572" s="104" t="s">
        <v>560</v>
      </c>
    </row>
    <row r="573" s="102" customFormat="1" ht="15" spans="1:20">
      <c r="A573" s="104" t="s">
        <v>22</v>
      </c>
      <c r="B573" s="104" t="s">
        <v>223</v>
      </c>
      <c r="C573" s="104" t="s">
        <v>819</v>
      </c>
      <c r="D573" s="104" t="s">
        <v>193</v>
      </c>
      <c r="E573" s="114"/>
      <c r="F573" s="114"/>
      <c r="G573" s="104" t="s">
        <v>820</v>
      </c>
      <c r="H573" s="104">
        <v>4060002</v>
      </c>
      <c r="I573" s="104">
        <v>1948</v>
      </c>
      <c r="J573" s="104">
        <v>1948</v>
      </c>
      <c r="K573" s="104">
        <v>1</v>
      </c>
      <c r="L573" s="104">
        <v>1947</v>
      </c>
      <c r="M573" s="104">
        <v>3505.895</v>
      </c>
      <c r="N573" s="104" t="s">
        <v>24</v>
      </c>
      <c r="O573" s="104" t="s">
        <v>25</v>
      </c>
      <c r="P573" s="104" t="s">
        <v>106</v>
      </c>
      <c r="Q573" s="104">
        <v>46118.7520833333</v>
      </c>
      <c r="R573" s="104">
        <v>46118.7527777778</v>
      </c>
      <c r="S573" s="104">
        <v>46118.7673611111</v>
      </c>
      <c r="T573" s="104" t="s">
        <v>372</v>
      </c>
    </row>
    <row r="574" s="102" customFormat="1" ht="15" spans="1:20">
      <c r="A574" s="104" t="s">
        <v>22</v>
      </c>
      <c r="B574" s="104" t="s">
        <v>236</v>
      </c>
      <c r="C574" s="114"/>
      <c r="D574" s="114"/>
      <c r="E574" s="114"/>
      <c r="F574" s="114"/>
      <c r="G574" s="114"/>
      <c r="H574" s="104">
        <v>4064812</v>
      </c>
      <c r="I574" s="104">
        <v>804</v>
      </c>
      <c r="J574" s="104">
        <v>804</v>
      </c>
      <c r="K574" s="104">
        <v>7</v>
      </c>
      <c r="L574" s="104">
        <v>797</v>
      </c>
      <c r="M574" s="104">
        <v>2703.7</v>
      </c>
      <c r="N574" s="104" t="s">
        <v>24</v>
      </c>
      <c r="O574" s="104" t="s">
        <v>25</v>
      </c>
      <c r="P574" s="104" t="s">
        <v>106</v>
      </c>
      <c r="Q574" s="104">
        <v>46118.7534722222</v>
      </c>
      <c r="R574" s="104">
        <v>46118.7534722222</v>
      </c>
      <c r="S574" s="104">
        <v>46118.7673611111</v>
      </c>
      <c r="T574" s="104" t="s">
        <v>372</v>
      </c>
    </row>
    <row r="575" s="102" customFormat="1" ht="15" spans="1:20">
      <c r="A575" s="104" t="s">
        <v>22</v>
      </c>
      <c r="B575" s="104" t="s">
        <v>236</v>
      </c>
      <c r="C575" s="114"/>
      <c r="D575" s="114"/>
      <c r="E575" s="114"/>
      <c r="F575" s="114"/>
      <c r="G575" s="114"/>
      <c r="H575" s="104">
        <v>4064811</v>
      </c>
      <c r="I575" s="104">
        <v>531</v>
      </c>
      <c r="J575" s="104">
        <v>531</v>
      </c>
      <c r="K575" s="104">
        <v>268</v>
      </c>
      <c r="L575" s="104">
        <v>263</v>
      </c>
      <c r="M575" s="104">
        <v>767.93</v>
      </c>
      <c r="N575" s="104" t="s">
        <v>24</v>
      </c>
      <c r="O575" s="104" t="s">
        <v>25</v>
      </c>
      <c r="P575" s="104" t="s">
        <v>106</v>
      </c>
      <c r="Q575" s="104">
        <v>46118.7534722222</v>
      </c>
      <c r="R575" s="104">
        <v>46118.7534722222</v>
      </c>
      <c r="S575" s="104">
        <v>46118.7673611111</v>
      </c>
      <c r="T575" s="104" t="s">
        <v>372</v>
      </c>
    </row>
    <row r="576" s="102" customFormat="1" ht="15" spans="1:20">
      <c r="A576" s="104" t="s">
        <v>22</v>
      </c>
      <c r="B576" s="104" t="s">
        <v>83</v>
      </c>
      <c r="C576" s="114"/>
      <c r="D576" s="114"/>
      <c r="E576" s="114"/>
      <c r="F576" s="114"/>
      <c r="G576" s="114"/>
      <c r="H576" s="104">
        <v>40601</v>
      </c>
      <c r="I576" s="104">
        <v>48</v>
      </c>
      <c r="J576" s="104">
        <v>14</v>
      </c>
      <c r="K576" s="104">
        <v>0</v>
      </c>
      <c r="L576" s="104">
        <v>14</v>
      </c>
      <c r="M576" s="104">
        <v>50.904</v>
      </c>
      <c r="N576" s="104" t="s">
        <v>24</v>
      </c>
      <c r="O576" s="104" t="s">
        <v>25</v>
      </c>
      <c r="P576" s="104" t="s">
        <v>106</v>
      </c>
      <c r="Q576" s="104">
        <v>46118.7534722222</v>
      </c>
      <c r="R576" s="104">
        <v>46118.7534722222</v>
      </c>
      <c r="S576" s="104">
        <v>46118.7673611111</v>
      </c>
      <c r="T576" s="104" t="s">
        <v>372</v>
      </c>
    </row>
    <row r="577" s="102" customFormat="1" ht="15" spans="1:20">
      <c r="A577" s="104" t="s">
        <v>22</v>
      </c>
      <c r="B577" s="104" t="s">
        <v>236</v>
      </c>
      <c r="C577" s="114"/>
      <c r="D577" s="114"/>
      <c r="E577" s="114"/>
      <c r="F577" s="114"/>
      <c r="G577" s="114"/>
      <c r="H577" s="104">
        <v>4044808</v>
      </c>
      <c r="I577" s="104">
        <v>1292</v>
      </c>
      <c r="J577" s="104">
        <v>1292</v>
      </c>
      <c r="K577" s="104">
        <v>27</v>
      </c>
      <c r="L577" s="104">
        <v>1265</v>
      </c>
      <c r="M577" s="104">
        <v>510.034</v>
      </c>
      <c r="N577" s="104" t="s">
        <v>24</v>
      </c>
      <c r="O577" s="104" t="s">
        <v>25</v>
      </c>
      <c r="P577" s="104" t="s">
        <v>26</v>
      </c>
      <c r="Q577" s="104">
        <v>46116.7902777778</v>
      </c>
      <c r="R577" s="104">
        <v>46116.7902777778</v>
      </c>
      <c r="S577" s="104">
        <v>46116.9743055556</v>
      </c>
      <c r="T577" s="104" t="s">
        <v>821</v>
      </c>
    </row>
    <row r="578" s="102" customFormat="1" ht="15" spans="1:20">
      <c r="A578" s="104" t="s">
        <v>22</v>
      </c>
      <c r="B578" s="104" t="s">
        <v>164</v>
      </c>
      <c r="C578" s="104" t="s">
        <v>822</v>
      </c>
      <c r="D578" s="104" t="s">
        <v>494</v>
      </c>
      <c r="E578" s="114"/>
      <c r="F578" s="114"/>
      <c r="G578" s="114"/>
      <c r="H578" s="104">
        <v>4040002</v>
      </c>
      <c r="I578" s="104">
        <v>3829</v>
      </c>
      <c r="J578" s="104">
        <v>3829</v>
      </c>
      <c r="K578" s="104">
        <v>3</v>
      </c>
      <c r="L578" s="104">
        <v>3826</v>
      </c>
      <c r="M578" s="104">
        <v>6374.085</v>
      </c>
      <c r="N578" s="104" t="s">
        <v>24</v>
      </c>
      <c r="O578" s="104" t="s">
        <v>25</v>
      </c>
      <c r="P578" s="104" t="s">
        <v>26</v>
      </c>
      <c r="Q578" s="104">
        <v>46116.7944444444</v>
      </c>
      <c r="R578" s="104">
        <v>46116.7951388889</v>
      </c>
      <c r="S578" s="104">
        <v>46116.9743055556</v>
      </c>
      <c r="T578" s="104" t="s">
        <v>823</v>
      </c>
    </row>
    <row r="579" s="102" customFormat="1" ht="15" spans="1:20">
      <c r="A579" s="104" t="s">
        <v>22</v>
      </c>
      <c r="B579" s="104" t="s">
        <v>261</v>
      </c>
      <c r="C579" s="104" t="s">
        <v>824</v>
      </c>
      <c r="D579" s="104" t="s">
        <v>44</v>
      </c>
      <c r="E579" s="114"/>
      <c r="F579" s="114"/>
      <c r="G579" s="104">
        <v>25646625500071</v>
      </c>
      <c r="H579" s="104">
        <v>4040001</v>
      </c>
      <c r="I579" s="104">
        <v>2621</v>
      </c>
      <c r="J579" s="104">
        <v>2510</v>
      </c>
      <c r="K579" s="104">
        <v>5</v>
      </c>
      <c r="L579" s="104">
        <v>2505</v>
      </c>
      <c r="M579" s="104">
        <v>3443.123</v>
      </c>
      <c r="N579" s="104" t="s">
        <v>24</v>
      </c>
      <c r="O579" s="104" t="s">
        <v>25</v>
      </c>
      <c r="P579" s="104" t="s">
        <v>26</v>
      </c>
      <c r="Q579" s="104">
        <v>46116.7902777778</v>
      </c>
      <c r="R579" s="104">
        <v>46116.7958333333</v>
      </c>
      <c r="S579" s="104">
        <v>46116.9736111111</v>
      </c>
      <c r="T579" s="104" t="s">
        <v>825</v>
      </c>
    </row>
    <row r="580" s="102" customFormat="1" ht="15" spans="1:20">
      <c r="A580" s="104" t="s">
        <v>22</v>
      </c>
      <c r="B580" s="104" t="s">
        <v>305</v>
      </c>
      <c r="C580" s="104" t="s">
        <v>826</v>
      </c>
      <c r="D580" s="104" t="s">
        <v>307</v>
      </c>
      <c r="E580" s="114"/>
      <c r="F580" s="114"/>
      <c r="G580" s="114"/>
      <c r="H580" s="104">
        <v>4040001</v>
      </c>
      <c r="I580" s="104">
        <v>608</v>
      </c>
      <c r="J580" s="104">
        <v>518</v>
      </c>
      <c r="K580" s="104">
        <v>3</v>
      </c>
      <c r="L580" s="104">
        <v>515</v>
      </c>
      <c r="M580" s="104">
        <v>514.806</v>
      </c>
      <c r="N580" s="104" t="s">
        <v>24</v>
      </c>
      <c r="O580" s="104" t="s">
        <v>25</v>
      </c>
      <c r="P580" s="104" t="s">
        <v>26</v>
      </c>
      <c r="Q580" s="104">
        <v>46116.79375</v>
      </c>
      <c r="R580" s="104">
        <v>46116.7958333333</v>
      </c>
      <c r="S580" s="104">
        <v>46116.9729166667</v>
      </c>
      <c r="T580" s="104" t="s">
        <v>827</v>
      </c>
    </row>
    <row r="581" s="102" customFormat="1" ht="15" spans="1:20">
      <c r="A581" s="104" t="s">
        <v>22</v>
      </c>
      <c r="B581" s="104" t="s">
        <v>232</v>
      </c>
      <c r="C581" s="104" t="s">
        <v>828</v>
      </c>
      <c r="D581" s="104" t="s">
        <v>65</v>
      </c>
      <c r="E581" s="114"/>
      <c r="F581" s="114"/>
      <c r="G581" s="114"/>
      <c r="H581" s="104">
        <v>4040001</v>
      </c>
      <c r="I581" s="104">
        <v>2402</v>
      </c>
      <c r="J581" s="104">
        <v>1866</v>
      </c>
      <c r="K581" s="104">
        <v>208</v>
      </c>
      <c r="L581" s="104">
        <v>1658</v>
      </c>
      <c r="M581" s="104">
        <v>2099.265</v>
      </c>
      <c r="N581" s="104" t="s">
        <v>24</v>
      </c>
      <c r="O581" s="104" t="s">
        <v>25</v>
      </c>
      <c r="P581" s="104" t="s">
        <v>26</v>
      </c>
      <c r="Q581" s="104">
        <v>46116.79375</v>
      </c>
      <c r="R581" s="104">
        <v>46116.7958333333</v>
      </c>
      <c r="S581" s="104">
        <v>46116.9729166667</v>
      </c>
      <c r="T581" s="104" t="s">
        <v>827</v>
      </c>
    </row>
    <row r="582" s="102" customFormat="1" ht="15" spans="1:20">
      <c r="A582" s="104" t="s">
        <v>22</v>
      </c>
      <c r="B582" s="104" t="s">
        <v>254</v>
      </c>
      <c r="C582" s="104" t="s">
        <v>829</v>
      </c>
      <c r="D582" s="104" t="s">
        <v>182</v>
      </c>
      <c r="E582" s="114"/>
      <c r="F582" s="114"/>
      <c r="G582" s="114"/>
      <c r="H582" s="104">
        <v>4040001</v>
      </c>
      <c r="I582" s="104">
        <v>2923</v>
      </c>
      <c r="J582" s="104">
        <v>2792</v>
      </c>
      <c r="K582" s="104">
        <v>422</v>
      </c>
      <c r="L582" s="104">
        <v>2370</v>
      </c>
      <c r="M582" s="104">
        <v>3540.379</v>
      </c>
      <c r="N582" s="104" t="s">
        <v>24</v>
      </c>
      <c r="O582" s="104" t="s">
        <v>25</v>
      </c>
      <c r="P582" s="104" t="s">
        <v>26</v>
      </c>
      <c r="Q582" s="104">
        <v>46116.7958333333</v>
      </c>
      <c r="R582" s="104">
        <v>46116.7958333333</v>
      </c>
      <c r="S582" s="104">
        <v>46116.9722222222</v>
      </c>
      <c r="T582" s="104" t="s">
        <v>830</v>
      </c>
    </row>
    <row r="583" s="102" customFormat="1" ht="15" spans="1:20">
      <c r="A583" s="104" t="s">
        <v>22</v>
      </c>
      <c r="B583" s="104" t="s">
        <v>249</v>
      </c>
      <c r="C583" s="104" t="s">
        <v>831</v>
      </c>
      <c r="D583" s="104" t="s">
        <v>55</v>
      </c>
      <c r="E583" s="114"/>
      <c r="F583" s="114"/>
      <c r="G583" s="114"/>
      <c r="H583" s="104">
        <v>4040001</v>
      </c>
      <c r="I583" s="104">
        <v>125</v>
      </c>
      <c r="J583" s="104">
        <v>125</v>
      </c>
      <c r="K583" s="104">
        <v>0</v>
      </c>
      <c r="L583" s="104">
        <v>125</v>
      </c>
      <c r="M583" s="104">
        <v>111.39</v>
      </c>
      <c r="N583" s="104" t="s">
        <v>24</v>
      </c>
      <c r="O583" s="104" t="s">
        <v>25</v>
      </c>
      <c r="P583" s="104" t="s">
        <v>26</v>
      </c>
      <c r="Q583" s="104">
        <v>46116.8006944444</v>
      </c>
      <c r="R583" s="104">
        <v>46116.8020833333</v>
      </c>
      <c r="S583" s="104">
        <v>46116.9722222222</v>
      </c>
      <c r="T583" s="104" t="s">
        <v>327</v>
      </c>
    </row>
    <row r="584" s="102" customFormat="1" ht="15" spans="1:20">
      <c r="A584" s="104" t="s">
        <v>22</v>
      </c>
      <c r="B584" s="104" t="s">
        <v>319</v>
      </c>
      <c r="C584" s="104" t="s">
        <v>832</v>
      </c>
      <c r="D584" s="104" t="s">
        <v>718</v>
      </c>
      <c r="E584" s="114"/>
      <c r="F584" s="114"/>
      <c r="G584" s="114"/>
      <c r="H584" s="104">
        <v>4040001</v>
      </c>
      <c r="I584" s="104">
        <v>510</v>
      </c>
      <c r="J584" s="104">
        <v>285</v>
      </c>
      <c r="K584" s="104">
        <v>61</v>
      </c>
      <c r="L584" s="104">
        <v>224</v>
      </c>
      <c r="M584" s="104">
        <v>317.685</v>
      </c>
      <c r="N584" s="104" t="s">
        <v>24</v>
      </c>
      <c r="O584" s="104" t="s">
        <v>25</v>
      </c>
      <c r="P584" s="104" t="s">
        <v>26</v>
      </c>
      <c r="Q584" s="104">
        <v>46116.8013888889</v>
      </c>
      <c r="R584" s="104">
        <v>46116.8027777778</v>
      </c>
      <c r="S584" s="104">
        <v>46116.9729166667</v>
      </c>
      <c r="T584" s="104" t="s">
        <v>833</v>
      </c>
    </row>
    <row r="585" s="102" customFormat="1" ht="15" spans="1:20">
      <c r="A585" s="104" t="s">
        <v>22</v>
      </c>
      <c r="B585" s="104" t="s">
        <v>314</v>
      </c>
      <c r="C585" s="104" t="s">
        <v>834</v>
      </c>
      <c r="D585" s="104" t="s">
        <v>293</v>
      </c>
      <c r="E585" s="114"/>
      <c r="F585" s="114"/>
      <c r="G585" s="114"/>
      <c r="H585" s="104">
        <v>4040001</v>
      </c>
      <c r="I585" s="104">
        <v>44</v>
      </c>
      <c r="J585" s="104">
        <v>14</v>
      </c>
      <c r="K585" s="104">
        <v>8</v>
      </c>
      <c r="L585" s="104">
        <v>6</v>
      </c>
      <c r="M585" s="104">
        <v>14.643</v>
      </c>
      <c r="N585" s="104" t="s">
        <v>24</v>
      </c>
      <c r="O585" s="104" t="s">
        <v>25</v>
      </c>
      <c r="P585" s="104" t="s">
        <v>26</v>
      </c>
      <c r="Q585" s="104">
        <v>46116.8034722222</v>
      </c>
      <c r="R585" s="104">
        <v>46116.8090277778</v>
      </c>
      <c r="S585" s="104">
        <v>46116.9722222222</v>
      </c>
      <c r="T585" s="104" t="s">
        <v>835</v>
      </c>
    </row>
    <row r="586" s="102" customFormat="1" ht="15" spans="1:20">
      <c r="A586" s="104" t="s">
        <v>22</v>
      </c>
      <c r="B586" s="104" t="s">
        <v>219</v>
      </c>
      <c r="C586" s="104" t="s">
        <v>836</v>
      </c>
      <c r="D586" s="104" t="s">
        <v>252</v>
      </c>
      <c r="E586" s="114"/>
      <c r="F586" s="114"/>
      <c r="G586" s="104">
        <v>11111111111111</v>
      </c>
      <c r="H586" s="104">
        <v>4040001</v>
      </c>
      <c r="I586" s="104">
        <v>3314</v>
      </c>
      <c r="J586" s="104">
        <v>3231</v>
      </c>
      <c r="K586" s="104">
        <v>60</v>
      </c>
      <c r="L586" s="104">
        <v>3171</v>
      </c>
      <c r="M586" s="104">
        <v>2708.239</v>
      </c>
      <c r="N586" s="104" t="s">
        <v>24</v>
      </c>
      <c r="O586" s="104" t="s">
        <v>25</v>
      </c>
      <c r="P586" s="104" t="s">
        <v>26</v>
      </c>
      <c r="Q586" s="104">
        <v>46116.8055555556</v>
      </c>
      <c r="R586" s="104">
        <v>46116.8090277778</v>
      </c>
      <c r="S586" s="104">
        <v>46116.9729166667</v>
      </c>
      <c r="T586" s="104" t="s">
        <v>837</v>
      </c>
    </row>
    <row r="587" s="102" customFormat="1" ht="15" spans="1:20">
      <c r="A587" s="104" t="s">
        <v>22</v>
      </c>
      <c r="B587" s="104" t="s">
        <v>324</v>
      </c>
      <c r="C587" s="104" t="s">
        <v>838</v>
      </c>
      <c r="D587" s="104" t="s">
        <v>326</v>
      </c>
      <c r="E587" s="114"/>
      <c r="F587" s="114"/>
      <c r="G587" s="114"/>
      <c r="H587" s="104">
        <v>4040001</v>
      </c>
      <c r="I587" s="104">
        <v>2744</v>
      </c>
      <c r="J587" s="104">
        <v>2307</v>
      </c>
      <c r="K587" s="104">
        <v>28</v>
      </c>
      <c r="L587" s="104">
        <v>2279</v>
      </c>
      <c r="M587" s="104">
        <v>2634.596</v>
      </c>
      <c r="N587" s="104" t="s">
        <v>24</v>
      </c>
      <c r="O587" s="104" t="s">
        <v>25</v>
      </c>
      <c r="P587" s="104" t="s">
        <v>26</v>
      </c>
      <c r="Q587" s="104">
        <v>46116.8104166667</v>
      </c>
      <c r="R587" s="104">
        <v>46116.8104166667</v>
      </c>
      <c r="S587" s="104">
        <v>46116.9722222222</v>
      </c>
      <c r="T587" s="104" t="s">
        <v>839</v>
      </c>
    </row>
    <row r="588" s="102" customFormat="1" ht="15" spans="1:20">
      <c r="A588" s="104" t="s">
        <v>22</v>
      </c>
      <c r="B588" s="104" t="s">
        <v>257</v>
      </c>
      <c r="C588" s="104" t="s">
        <v>840</v>
      </c>
      <c r="D588" s="104" t="s">
        <v>259</v>
      </c>
      <c r="E588" s="114"/>
      <c r="F588" s="114"/>
      <c r="G588" s="114"/>
      <c r="H588" s="104">
        <v>4040001</v>
      </c>
      <c r="I588" s="104">
        <v>1489</v>
      </c>
      <c r="J588" s="104">
        <v>1402</v>
      </c>
      <c r="K588" s="104">
        <v>6</v>
      </c>
      <c r="L588" s="104">
        <v>1396</v>
      </c>
      <c r="M588" s="104">
        <v>2635.236</v>
      </c>
      <c r="N588" s="104" t="s">
        <v>24</v>
      </c>
      <c r="O588" s="104" t="s">
        <v>25</v>
      </c>
      <c r="P588" s="104" t="s">
        <v>26</v>
      </c>
      <c r="Q588" s="104">
        <v>46116.8104166667</v>
      </c>
      <c r="R588" s="104">
        <v>46116.8104166667</v>
      </c>
      <c r="S588" s="104">
        <v>46116.9736111111</v>
      </c>
      <c r="T588" s="104" t="s">
        <v>835</v>
      </c>
    </row>
    <row r="589" s="102" customFormat="1" ht="15" spans="1:20">
      <c r="A589" s="104" t="s">
        <v>22</v>
      </c>
      <c r="B589" s="104" t="s">
        <v>332</v>
      </c>
      <c r="C589" s="104" t="s">
        <v>841</v>
      </c>
      <c r="D589" s="104" t="s">
        <v>334</v>
      </c>
      <c r="E589" s="114"/>
      <c r="F589" s="114"/>
      <c r="G589" s="114"/>
      <c r="H589" s="104">
        <v>4040001</v>
      </c>
      <c r="I589" s="104">
        <v>2920</v>
      </c>
      <c r="J589" s="104">
        <v>2445</v>
      </c>
      <c r="K589" s="104">
        <v>20</v>
      </c>
      <c r="L589" s="104">
        <v>2403</v>
      </c>
      <c r="M589" s="104">
        <v>1867.88</v>
      </c>
      <c r="N589" s="104" t="s">
        <v>24</v>
      </c>
      <c r="O589" s="104" t="s">
        <v>25</v>
      </c>
      <c r="P589" s="104" t="s">
        <v>26</v>
      </c>
      <c r="Q589" s="104">
        <v>46116.8118055556</v>
      </c>
      <c r="R589" s="104">
        <v>46116.8118055556</v>
      </c>
      <c r="S589" s="104">
        <v>46116.9729166667</v>
      </c>
      <c r="T589" s="104" t="s">
        <v>842</v>
      </c>
    </row>
    <row r="590" s="102" customFormat="1" ht="15" spans="1:20">
      <c r="A590" s="104" t="s">
        <v>22</v>
      </c>
      <c r="B590" s="104" t="s">
        <v>212</v>
      </c>
      <c r="C590" s="104" t="s">
        <v>843</v>
      </c>
      <c r="D590" s="104" t="s">
        <v>214</v>
      </c>
      <c r="E590" s="114"/>
      <c r="F590" s="114"/>
      <c r="G590" s="114"/>
      <c r="H590" s="104">
        <v>4040001</v>
      </c>
      <c r="I590" s="104">
        <v>1005</v>
      </c>
      <c r="J590" s="104">
        <v>1005</v>
      </c>
      <c r="K590" s="104">
        <v>29</v>
      </c>
      <c r="L590" s="104">
        <v>976</v>
      </c>
      <c r="M590" s="104">
        <v>1705.616</v>
      </c>
      <c r="N590" s="104" t="s">
        <v>24</v>
      </c>
      <c r="O590" s="104" t="s">
        <v>25</v>
      </c>
      <c r="P590" s="104" t="s">
        <v>26</v>
      </c>
      <c r="Q590" s="104">
        <v>46116.8263888889</v>
      </c>
      <c r="R590" s="104">
        <v>46116.8347222222</v>
      </c>
      <c r="S590" s="104">
        <v>46116.9736111111</v>
      </c>
      <c r="T590" s="104" t="s">
        <v>844</v>
      </c>
    </row>
    <row r="591" s="102" customFormat="1" ht="15" spans="1:20">
      <c r="A591" s="104" t="s">
        <v>22</v>
      </c>
      <c r="B591" s="104" t="s">
        <v>229</v>
      </c>
      <c r="C591" s="104" t="s">
        <v>845</v>
      </c>
      <c r="D591" s="104" t="s">
        <v>627</v>
      </c>
      <c r="E591" s="114"/>
      <c r="F591" s="104" t="s">
        <v>79</v>
      </c>
      <c r="G591" s="114"/>
      <c r="H591" s="104">
        <v>4040001</v>
      </c>
      <c r="I591" s="104">
        <v>4376</v>
      </c>
      <c r="J591" s="104">
        <v>4334</v>
      </c>
      <c r="K591" s="104">
        <v>2145</v>
      </c>
      <c r="L591" s="104">
        <v>2189</v>
      </c>
      <c r="M591" s="104">
        <v>5428.189</v>
      </c>
      <c r="N591" s="104" t="s">
        <v>24</v>
      </c>
      <c r="O591" s="104" t="s">
        <v>25</v>
      </c>
      <c r="P591" s="104" t="s">
        <v>26</v>
      </c>
      <c r="Q591" s="104">
        <v>46116.8361111111</v>
      </c>
      <c r="R591" s="104">
        <v>46116.8375</v>
      </c>
      <c r="S591" s="104">
        <v>46116.9736111111</v>
      </c>
      <c r="T591" s="104" t="s">
        <v>846</v>
      </c>
    </row>
    <row r="592" s="102" customFormat="1" ht="15" spans="1:20">
      <c r="A592" s="104" t="s">
        <v>22</v>
      </c>
      <c r="B592" s="104" t="s">
        <v>336</v>
      </c>
      <c r="C592" s="104" t="s">
        <v>847</v>
      </c>
      <c r="D592" s="104" t="s">
        <v>190</v>
      </c>
      <c r="E592" s="114"/>
      <c r="F592" s="114"/>
      <c r="G592" s="114"/>
      <c r="H592" s="104">
        <v>4040001</v>
      </c>
      <c r="I592" s="104">
        <v>8223</v>
      </c>
      <c r="J592" s="104">
        <v>8223</v>
      </c>
      <c r="K592" s="104">
        <v>390</v>
      </c>
      <c r="L592" s="104">
        <v>7833</v>
      </c>
      <c r="M592" s="104">
        <v>6898.149</v>
      </c>
      <c r="N592" s="104" t="s">
        <v>24</v>
      </c>
      <c r="O592" s="104" t="s">
        <v>25</v>
      </c>
      <c r="P592" s="104" t="s">
        <v>26</v>
      </c>
      <c r="Q592" s="104">
        <v>46116.84375</v>
      </c>
      <c r="R592" s="104">
        <v>46116.8458333333</v>
      </c>
      <c r="S592" s="104">
        <v>46116.9736111111</v>
      </c>
      <c r="T592" s="104" t="s">
        <v>848</v>
      </c>
    </row>
    <row r="593" s="102" customFormat="1" ht="15" spans="1:20">
      <c r="A593" s="104" t="s">
        <v>22</v>
      </c>
      <c r="B593" s="104" t="s">
        <v>223</v>
      </c>
      <c r="C593" s="104" t="s">
        <v>849</v>
      </c>
      <c r="D593" s="104" t="s">
        <v>329</v>
      </c>
      <c r="E593" s="114"/>
      <c r="F593" s="114"/>
      <c r="G593" s="104" t="s">
        <v>850</v>
      </c>
      <c r="H593" s="104">
        <v>4040001</v>
      </c>
      <c r="I593" s="104">
        <v>708</v>
      </c>
      <c r="J593" s="104">
        <v>708</v>
      </c>
      <c r="K593" s="104">
        <v>0</v>
      </c>
      <c r="L593" s="104">
        <v>708</v>
      </c>
      <c r="M593" s="104">
        <v>422.126</v>
      </c>
      <c r="N593" s="104" t="s">
        <v>24</v>
      </c>
      <c r="O593" s="104" t="s">
        <v>25</v>
      </c>
      <c r="P593" s="104" t="s">
        <v>26</v>
      </c>
      <c r="Q593" s="104">
        <v>46116.8513888889</v>
      </c>
      <c r="R593" s="104">
        <v>46116.8513888889</v>
      </c>
      <c r="S593" s="104">
        <v>46116.9743055556</v>
      </c>
      <c r="T593" s="104" t="s">
        <v>764</v>
      </c>
    </row>
    <row r="594" s="102" customFormat="1" ht="15" spans="1:20">
      <c r="A594" s="104" t="s">
        <v>22</v>
      </c>
      <c r="B594" s="104" t="s">
        <v>244</v>
      </c>
      <c r="C594" s="104" t="s">
        <v>851</v>
      </c>
      <c r="D594" s="104" t="s">
        <v>41</v>
      </c>
      <c r="E594" s="114"/>
      <c r="F594" s="114"/>
      <c r="G594" s="114"/>
      <c r="H594" s="104">
        <v>4040001</v>
      </c>
      <c r="I594" s="104">
        <v>335</v>
      </c>
      <c r="J594" s="104">
        <v>27</v>
      </c>
      <c r="K594" s="104">
        <v>11</v>
      </c>
      <c r="L594" s="104">
        <v>16</v>
      </c>
      <c r="M594" s="104">
        <v>276.768</v>
      </c>
      <c r="N594" s="104" t="s">
        <v>24</v>
      </c>
      <c r="O594" s="104" t="s">
        <v>25</v>
      </c>
      <c r="P594" s="104" t="s">
        <v>26</v>
      </c>
      <c r="Q594" s="104">
        <v>46116.8513888889</v>
      </c>
      <c r="R594" s="104">
        <v>46116.8513888889</v>
      </c>
      <c r="S594" s="104">
        <v>46116.9722222222</v>
      </c>
      <c r="T594" s="104" t="s">
        <v>396</v>
      </c>
    </row>
    <row r="595" s="102" customFormat="1" ht="15" spans="1:20">
      <c r="A595" s="104" t="s">
        <v>22</v>
      </c>
      <c r="B595" s="104" t="s">
        <v>311</v>
      </c>
      <c r="C595" s="104" t="s">
        <v>852</v>
      </c>
      <c r="D595" s="104" t="s">
        <v>51</v>
      </c>
      <c r="E595" s="114"/>
      <c r="F595" s="114"/>
      <c r="G595" s="104">
        <v>25500099202506</v>
      </c>
      <c r="H595" s="104">
        <v>4040001</v>
      </c>
      <c r="I595" s="104">
        <v>712</v>
      </c>
      <c r="J595" s="104">
        <v>693</v>
      </c>
      <c r="K595" s="104">
        <v>109</v>
      </c>
      <c r="L595" s="104">
        <v>584</v>
      </c>
      <c r="M595" s="104">
        <v>1143.668</v>
      </c>
      <c r="N595" s="104" t="s">
        <v>24</v>
      </c>
      <c r="O595" s="104" t="s">
        <v>25</v>
      </c>
      <c r="P595" s="104" t="s">
        <v>26</v>
      </c>
      <c r="Q595" s="104">
        <v>46116.8513888889</v>
      </c>
      <c r="R595" s="104">
        <v>46116.8513888889</v>
      </c>
      <c r="S595" s="104">
        <v>46116.9722222222</v>
      </c>
      <c r="T595" s="104" t="s">
        <v>396</v>
      </c>
    </row>
    <row r="596" s="102" customFormat="1" ht="15" spans="1:20">
      <c r="A596" s="104" t="s">
        <v>22</v>
      </c>
      <c r="B596" s="104" t="s">
        <v>229</v>
      </c>
      <c r="C596" s="104" t="s">
        <v>853</v>
      </c>
      <c r="D596" s="104" t="s">
        <v>854</v>
      </c>
      <c r="E596" s="114"/>
      <c r="F596" s="114"/>
      <c r="G596" s="114"/>
      <c r="H596" s="104">
        <v>4040003</v>
      </c>
      <c r="I596" s="104">
        <v>2188</v>
      </c>
      <c r="J596" s="104">
        <v>2188</v>
      </c>
      <c r="K596" s="104">
        <v>639</v>
      </c>
      <c r="L596" s="104">
        <v>1549</v>
      </c>
      <c r="M596" s="104">
        <v>3178.761</v>
      </c>
      <c r="N596" s="104" t="s">
        <v>24</v>
      </c>
      <c r="O596" s="104" t="s">
        <v>25</v>
      </c>
      <c r="P596" s="104" t="s">
        <v>26</v>
      </c>
      <c r="Q596" s="104">
        <v>46116.7930555556</v>
      </c>
      <c r="R596" s="104">
        <v>46116.8513888889</v>
      </c>
      <c r="S596" s="104">
        <v>46116.9736111111</v>
      </c>
      <c r="T596" s="104" t="s">
        <v>855</v>
      </c>
    </row>
    <row r="597" s="102" customFormat="1" ht="15" spans="1:20">
      <c r="A597" s="104" t="s">
        <v>22</v>
      </c>
      <c r="B597" s="104" t="s">
        <v>324</v>
      </c>
      <c r="C597" s="104" t="s">
        <v>856</v>
      </c>
      <c r="D597" s="104" t="s">
        <v>326</v>
      </c>
      <c r="E597" s="114"/>
      <c r="F597" s="114"/>
      <c r="G597" s="114"/>
      <c r="H597" s="104">
        <v>4060001</v>
      </c>
      <c r="I597" s="104">
        <v>3028</v>
      </c>
      <c r="J597" s="104">
        <v>2365</v>
      </c>
      <c r="K597" s="104">
        <v>31</v>
      </c>
      <c r="L597" s="104">
        <v>2334</v>
      </c>
      <c r="M597" s="104">
        <v>2477.445</v>
      </c>
      <c r="N597" s="104" t="s">
        <v>24</v>
      </c>
      <c r="O597" s="104" t="s">
        <v>25</v>
      </c>
      <c r="P597" s="104" t="s">
        <v>106</v>
      </c>
      <c r="Q597" s="104">
        <v>46118.8</v>
      </c>
      <c r="R597" s="104">
        <v>46118.8</v>
      </c>
      <c r="S597" s="104">
        <v>46118.8145833333</v>
      </c>
      <c r="T597" s="104" t="s">
        <v>372</v>
      </c>
    </row>
    <row r="598" s="102" customFormat="1" ht="15" spans="1:20">
      <c r="A598" s="104" t="s">
        <v>22</v>
      </c>
      <c r="B598" s="104" t="s">
        <v>311</v>
      </c>
      <c r="C598" s="104" t="s">
        <v>857</v>
      </c>
      <c r="D598" s="104" t="s">
        <v>51</v>
      </c>
      <c r="E598" s="114"/>
      <c r="F598" s="114"/>
      <c r="G598" s="104">
        <v>25500099202506</v>
      </c>
      <c r="H598" s="104">
        <v>4060001</v>
      </c>
      <c r="I598" s="104">
        <v>903</v>
      </c>
      <c r="J598" s="104">
        <v>898</v>
      </c>
      <c r="K598" s="104">
        <v>1</v>
      </c>
      <c r="L598" s="104">
        <v>897</v>
      </c>
      <c r="M598" s="104">
        <v>1059.074</v>
      </c>
      <c r="N598" s="104" t="s">
        <v>24</v>
      </c>
      <c r="O598" s="104" t="s">
        <v>25</v>
      </c>
      <c r="P598" s="104" t="s">
        <v>106</v>
      </c>
      <c r="Q598" s="104">
        <v>46118.8006944444</v>
      </c>
      <c r="R598" s="104">
        <v>46118.8006944444</v>
      </c>
      <c r="S598" s="104">
        <v>46118.8152777778</v>
      </c>
      <c r="T598" s="104" t="s">
        <v>372</v>
      </c>
    </row>
    <row r="599" s="102" customFormat="1" ht="15" spans="1:20">
      <c r="A599" s="104" t="s">
        <v>22</v>
      </c>
      <c r="B599" s="104" t="s">
        <v>244</v>
      </c>
      <c r="C599" s="104" t="s">
        <v>858</v>
      </c>
      <c r="D599" s="104" t="s">
        <v>41</v>
      </c>
      <c r="E599" s="114"/>
      <c r="F599" s="114"/>
      <c r="G599" s="114"/>
      <c r="H599" s="104">
        <v>4060001</v>
      </c>
      <c r="I599" s="104">
        <v>206</v>
      </c>
      <c r="J599" s="104">
        <v>13</v>
      </c>
      <c r="K599" s="104">
        <v>6</v>
      </c>
      <c r="L599" s="104">
        <v>7</v>
      </c>
      <c r="M599" s="104">
        <v>150.672</v>
      </c>
      <c r="N599" s="104" t="s">
        <v>24</v>
      </c>
      <c r="O599" s="104" t="s">
        <v>25</v>
      </c>
      <c r="P599" s="104" t="s">
        <v>106</v>
      </c>
      <c r="Q599" s="104">
        <v>46118.8006944444</v>
      </c>
      <c r="R599" s="104">
        <v>46118.8006944444</v>
      </c>
      <c r="S599" s="104">
        <v>46118.8152777778</v>
      </c>
      <c r="T599" s="104" t="s">
        <v>120</v>
      </c>
    </row>
    <row r="600" s="102" customFormat="1" ht="15" spans="1:20">
      <c r="A600" s="104" t="s">
        <v>22</v>
      </c>
      <c r="B600" s="104" t="s">
        <v>261</v>
      </c>
      <c r="C600" s="104" t="s">
        <v>859</v>
      </c>
      <c r="D600" s="104" t="s">
        <v>44</v>
      </c>
      <c r="E600" s="114"/>
      <c r="F600" s="114"/>
      <c r="G600" s="104">
        <v>25500071256466</v>
      </c>
      <c r="H600" s="104">
        <v>4060001</v>
      </c>
      <c r="I600" s="104">
        <v>2596</v>
      </c>
      <c r="J600" s="104">
        <v>2409</v>
      </c>
      <c r="K600" s="104">
        <v>5</v>
      </c>
      <c r="L600" s="104">
        <v>2404</v>
      </c>
      <c r="M600" s="104">
        <v>3468.982</v>
      </c>
      <c r="N600" s="104" t="s">
        <v>24</v>
      </c>
      <c r="O600" s="104" t="s">
        <v>25</v>
      </c>
      <c r="P600" s="104" t="s">
        <v>106</v>
      </c>
      <c r="Q600" s="104">
        <v>46118.8020833333</v>
      </c>
      <c r="R600" s="104">
        <v>46118.8069444444</v>
      </c>
      <c r="S600" s="104">
        <v>46118.8319444444</v>
      </c>
      <c r="T600" s="104" t="s">
        <v>482</v>
      </c>
    </row>
    <row r="601" s="102" customFormat="1" ht="15" spans="1:20">
      <c r="A601" s="104" t="s">
        <v>22</v>
      </c>
      <c r="B601" s="104" t="s">
        <v>219</v>
      </c>
      <c r="C601" s="104" t="s">
        <v>860</v>
      </c>
      <c r="D601" s="104" t="s">
        <v>252</v>
      </c>
      <c r="E601" s="114"/>
      <c r="F601" s="114"/>
      <c r="G601" s="114"/>
      <c r="H601" s="104">
        <v>4060001</v>
      </c>
      <c r="I601" s="104">
        <v>6927</v>
      </c>
      <c r="J601" s="104">
        <v>6887</v>
      </c>
      <c r="K601" s="104">
        <v>47</v>
      </c>
      <c r="L601" s="104">
        <v>6840</v>
      </c>
      <c r="M601" s="104">
        <v>2623.256</v>
      </c>
      <c r="N601" s="104" t="s">
        <v>24</v>
      </c>
      <c r="O601" s="104" t="s">
        <v>25</v>
      </c>
      <c r="P601" s="104" t="s">
        <v>106</v>
      </c>
      <c r="Q601" s="104">
        <v>46118.8048611111</v>
      </c>
      <c r="R601" s="104">
        <v>46118.8069444444</v>
      </c>
      <c r="S601" s="104">
        <v>46118.8388888889</v>
      </c>
      <c r="T601" s="104" t="s">
        <v>510</v>
      </c>
    </row>
    <row r="602" s="102" customFormat="1" ht="15" spans="1:20">
      <c r="A602" s="104" t="s">
        <v>22</v>
      </c>
      <c r="B602" s="104" t="s">
        <v>257</v>
      </c>
      <c r="C602" s="104" t="s">
        <v>861</v>
      </c>
      <c r="D602" s="104" t="s">
        <v>259</v>
      </c>
      <c r="E602" s="114"/>
      <c r="F602" s="114"/>
      <c r="G602" s="114"/>
      <c r="H602" s="104">
        <v>4060001</v>
      </c>
      <c r="I602" s="104">
        <v>1595</v>
      </c>
      <c r="J602" s="104">
        <v>1514</v>
      </c>
      <c r="K602" s="104">
        <v>12</v>
      </c>
      <c r="L602" s="104">
        <v>1502</v>
      </c>
      <c r="M602" s="104">
        <v>2620.7</v>
      </c>
      <c r="N602" s="104" t="s">
        <v>24</v>
      </c>
      <c r="O602" s="104" t="s">
        <v>25</v>
      </c>
      <c r="P602" s="104" t="s">
        <v>106</v>
      </c>
      <c r="Q602" s="104">
        <v>46118.8034722222</v>
      </c>
      <c r="R602" s="104">
        <v>46118.8076388889</v>
      </c>
      <c r="S602" s="104">
        <v>46118.8388888889</v>
      </c>
      <c r="T602" s="104" t="s">
        <v>510</v>
      </c>
    </row>
    <row r="603" s="102" customFormat="1" ht="15" spans="1:20">
      <c r="A603" s="104" t="s">
        <v>22</v>
      </c>
      <c r="B603" s="104" t="s">
        <v>164</v>
      </c>
      <c r="C603" s="104" t="s">
        <v>862</v>
      </c>
      <c r="D603" s="104" t="s">
        <v>494</v>
      </c>
      <c r="E603" s="114"/>
      <c r="F603" s="114"/>
      <c r="G603" s="114"/>
      <c r="H603" s="104">
        <v>4060002</v>
      </c>
      <c r="I603" s="104">
        <v>3941</v>
      </c>
      <c r="J603" s="104">
        <v>3941</v>
      </c>
      <c r="K603" s="104">
        <v>46</v>
      </c>
      <c r="L603" s="104">
        <v>3895</v>
      </c>
      <c r="M603" s="104">
        <v>6587.842</v>
      </c>
      <c r="N603" s="104" t="s">
        <v>24</v>
      </c>
      <c r="O603" s="104" t="s">
        <v>25</v>
      </c>
      <c r="P603" s="104" t="s">
        <v>106</v>
      </c>
      <c r="Q603" s="104">
        <v>46118.8034722222</v>
      </c>
      <c r="R603" s="104">
        <v>46118.8076388889</v>
      </c>
      <c r="S603" s="104">
        <v>46118.8416666667</v>
      </c>
      <c r="T603" s="104" t="s">
        <v>811</v>
      </c>
    </row>
    <row r="604" s="102" customFormat="1" ht="15" spans="1:20">
      <c r="A604" s="104" t="s">
        <v>22</v>
      </c>
      <c r="B604" s="104" t="s">
        <v>332</v>
      </c>
      <c r="C604" s="104" t="s">
        <v>863</v>
      </c>
      <c r="D604" s="104" t="s">
        <v>334</v>
      </c>
      <c r="E604" s="114"/>
      <c r="F604" s="114"/>
      <c r="G604" s="114"/>
      <c r="H604" s="104">
        <v>4060001</v>
      </c>
      <c r="I604" s="104">
        <v>2753</v>
      </c>
      <c r="J604" s="104">
        <v>2333</v>
      </c>
      <c r="K604" s="104">
        <v>18</v>
      </c>
      <c r="L604" s="104">
        <v>2309</v>
      </c>
      <c r="M604" s="104">
        <v>1644.818</v>
      </c>
      <c r="N604" s="104" t="s">
        <v>24</v>
      </c>
      <c r="O604" s="104" t="s">
        <v>25</v>
      </c>
      <c r="P604" s="104" t="s">
        <v>106</v>
      </c>
      <c r="Q604" s="104">
        <v>46118.8097222222</v>
      </c>
      <c r="R604" s="104">
        <v>46118.8111111111</v>
      </c>
      <c r="S604" s="104">
        <v>46118.8416666667</v>
      </c>
      <c r="T604" s="104" t="s">
        <v>459</v>
      </c>
    </row>
    <row r="605" s="102" customFormat="1" ht="15" spans="1:20">
      <c r="A605" s="104" t="s">
        <v>22</v>
      </c>
      <c r="B605" s="104" t="s">
        <v>212</v>
      </c>
      <c r="C605" s="104" t="s">
        <v>864</v>
      </c>
      <c r="D605" s="104" t="s">
        <v>214</v>
      </c>
      <c r="E605" s="114"/>
      <c r="F605" s="114"/>
      <c r="G605" s="114"/>
      <c r="H605" s="104">
        <v>4060001</v>
      </c>
      <c r="I605" s="104">
        <v>1069</v>
      </c>
      <c r="J605" s="104">
        <v>1069</v>
      </c>
      <c r="K605" s="104">
        <v>185</v>
      </c>
      <c r="L605" s="104">
        <v>884</v>
      </c>
      <c r="M605" s="104">
        <v>1887.107</v>
      </c>
      <c r="N605" s="104" t="s">
        <v>24</v>
      </c>
      <c r="O605" s="104" t="s">
        <v>25</v>
      </c>
      <c r="P605" s="104" t="s">
        <v>106</v>
      </c>
      <c r="Q605" s="104">
        <v>46118.8243055556</v>
      </c>
      <c r="R605" s="104">
        <v>46118.8361111111</v>
      </c>
      <c r="S605" s="104">
        <v>46118.8618055556</v>
      </c>
      <c r="T605" s="104" t="s">
        <v>116</v>
      </c>
    </row>
    <row r="606" s="102" customFormat="1" ht="15" spans="1:20">
      <c r="A606" s="104" t="s">
        <v>22</v>
      </c>
      <c r="B606" s="104" t="s">
        <v>336</v>
      </c>
      <c r="C606" s="104" t="s">
        <v>865</v>
      </c>
      <c r="D606" s="104" t="s">
        <v>190</v>
      </c>
      <c r="E606" s="114"/>
      <c r="F606" s="114"/>
      <c r="G606" s="114"/>
      <c r="H606" s="104">
        <v>4060001</v>
      </c>
      <c r="I606" s="104">
        <v>6886</v>
      </c>
      <c r="J606" s="104">
        <v>6886</v>
      </c>
      <c r="K606" s="104">
        <v>249</v>
      </c>
      <c r="L606" s="104">
        <v>6637</v>
      </c>
      <c r="M606" s="104">
        <v>5562.155</v>
      </c>
      <c r="N606" s="104" t="s">
        <v>24</v>
      </c>
      <c r="O606" s="104" t="s">
        <v>25</v>
      </c>
      <c r="P606" s="104" t="s">
        <v>106</v>
      </c>
      <c r="Q606" s="104">
        <v>46118.8368055556</v>
      </c>
      <c r="R606" s="104">
        <v>46118.8375</v>
      </c>
      <c r="S606" s="104">
        <v>46118.8618055556</v>
      </c>
      <c r="T606" s="104" t="s">
        <v>482</v>
      </c>
    </row>
    <row r="607" s="102" customFormat="1" ht="15" spans="1:20">
      <c r="A607" s="104" t="s">
        <v>22</v>
      </c>
      <c r="B607" s="104" t="s">
        <v>229</v>
      </c>
      <c r="C607" s="104" t="s">
        <v>866</v>
      </c>
      <c r="D607" s="104" t="s">
        <v>231</v>
      </c>
      <c r="E607" s="114"/>
      <c r="F607" s="114"/>
      <c r="G607" s="114"/>
      <c r="H607" s="104">
        <v>4060002</v>
      </c>
      <c r="I607" s="104">
        <v>2914</v>
      </c>
      <c r="J607" s="104">
        <v>2914</v>
      </c>
      <c r="K607" s="104">
        <v>93</v>
      </c>
      <c r="L607" s="104">
        <v>2821</v>
      </c>
      <c r="M607" s="104">
        <v>3890.955</v>
      </c>
      <c r="N607" s="104" t="s">
        <v>24</v>
      </c>
      <c r="O607" s="104" t="s">
        <v>25</v>
      </c>
      <c r="P607" s="104" t="s">
        <v>106</v>
      </c>
      <c r="Q607" s="104">
        <v>46118.8166666667</v>
      </c>
      <c r="R607" s="104">
        <v>46118.8375</v>
      </c>
      <c r="S607" s="104">
        <v>46118.8618055556</v>
      </c>
      <c r="T607" s="104" t="s">
        <v>482</v>
      </c>
    </row>
    <row r="608" s="102" customFormat="1" ht="15" spans="1:20">
      <c r="A608" s="104" t="s">
        <v>22</v>
      </c>
      <c r="B608" s="104" t="s">
        <v>229</v>
      </c>
      <c r="C608" s="104" t="s">
        <v>867</v>
      </c>
      <c r="D608" s="104" t="s">
        <v>627</v>
      </c>
      <c r="E608" s="114"/>
      <c r="F608" s="104" t="s">
        <v>79</v>
      </c>
      <c r="G608" s="114"/>
      <c r="H608" s="104">
        <v>4060001</v>
      </c>
      <c r="I608" s="104">
        <v>5781</v>
      </c>
      <c r="J608" s="104">
        <v>5756</v>
      </c>
      <c r="K608" s="104">
        <v>859</v>
      </c>
      <c r="L608" s="104">
        <v>4897</v>
      </c>
      <c r="M608" s="104">
        <v>7488.87</v>
      </c>
      <c r="N608" s="104" t="s">
        <v>24</v>
      </c>
      <c r="O608" s="104" t="s">
        <v>25</v>
      </c>
      <c r="P608" s="104" t="s">
        <v>106</v>
      </c>
      <c r="Q608" s="104">
        <v>46118.8375</v>
      </c>
      <c r="R608" s="104">
        <v>46118.8381944444</v>
      </c>
      <c r="S608" s="104">
        <v>46118.8618055556</v>
      </c>
      <c r="T608" s="104" t="s">
        <v>487</v>
      </c>
    </row>
    <row r="609" s="102" customFormat="1" ht="15" spans="1:20">
      <c r="A609" s="104" t="s">
        <v>22</v>
      </c>
      <c r="B609" s="104" t="s">
        <v>127</v>
      </c>
      <c r="C609" s="114"/>
      <c r="D609" s="104" t="s">
        <v>29</v>
      </c>
      <c r="E609" s="114"/>
      <c r="F609" s="114"/>
      <c r="G609" s="114"/>
      <c r="H609" s="104">
        <v>4061863</v>
      </c>
      <c r="I609" s="104">
        <v>4</v>
      </c>
      <c r="J609" s="104">
        <v>1</v>
      </c>
      <c r="K609" s="104">
        <v>0</v>
      </c>
      <c r="L609" s="104">
        <v>1</v>
      </c>
      <c r="M609" s="104">
        <v>0.178</v>
      </c>
      <c r="N609" s="104" t="s">
        <v>24</v>
      </c>
      <c r="O609" s="104" t="s">
        <v>25</v>
      </c>
      <c r="P609" s="104" t="s">
        <v>106</v>
      </c>
      <c r="Q609" s="104">
        <v>46118.8611111111</v>
      </c>
      <c r="R609" s="104">
        <v>46118.8611111111</v>
      </c>
      <c r="S609" s="104">
        <v>46118.8625</v>
      </c>
      <c r="T609" s="104" t="s">
        <v>499</v>
      </c>
    </row>
    <row r="610" s="102" customFormat="1" ht="15" spans="1:20">
      <c r="A610" s="104" t="s">
        <v>22</v>
      </c>
      <c r="B610" s="104" t="s">
        <v>223</v>
      </c>
      <c r="C610" s="104" t="s">
        <v>868</v>
      </c>
      <c r="D610" s="104" t="s">
        <v>329</v>
      </c>
      <c r="E610" s="114"/>
      <c r="F610" s="114"/>
      <c r="G610" s="104" t="s">
        <v>869</v>
      </c>
      <c r="H610" s="104">
        <v>4060001</v>
      </c>
      <c r="I610" s="104">
        <v>794</v>
      </c>
      <c r="J610" s="104">
        <v>794</v>
      </c>
      <c r="K610" s="104">
        <v>10</v>
      </c>
      <c r="L610" s="104">
        <v>784</v>
      </c>
      <c r="M610" s="104">
        <v>392.543</v>
      </c>
      <c r="N610" s="104" t="s">
        <v>24</v>
      </c>
      <c r="O610" s="104" t="s">
        <v>25</v>
      </c>
      <c r="P610" s="104" t="s">
        <v>106</v>
      </c>
      <c r="Q610" s="104">
        <v>46118.8666666667</v>
      </c>
      <c r="R610" s="104">
        <v>46118.8666666667</v>
      </c>
      <c r="S610" s="104">
        <v>46118.8715277778</v>
      </c>
      <c r="T610" s="104" t="s">
        <v>728</v>
      </c>
    </row>
    <row r="611" s="102" customFormat="1" ht="15" spans="1:20">
      <c r="A611" s="104" t="s">
        <v>22</v>
      </c>
      <c r="B611" s="104" t="s">
        <v>127</v>
      </c>
      <c r="C611" s="114"/>
      <c r="D611" s="104" t="s">
        <v>29</v>
      </c>
      <c r="E611" s="114"/>
      <c r="F611" s="114"/>
      <c r="G611" s="114"/>
      <c r="H611" s="104">
        <v>4061864</v>
      </c>
      <c r="I611" s="104">
        <v>0</v>
      </c>
      <c r="J611" s="104">
        <v>1</v>
      </c>
      <c r="K611" s="104">
        <v>0</v>
      </c>
      <c r="L611" s="104">
        <v>1</v>
      </c>
      <c r="M611" s="104">
        <v>0</v>
      </c>
      <c r="N611" s="104" t="s">
        <v>24</v>
      </c>
      <c r="O611" s="104" t="s">
        <v>25</v>
      </c>
      <c r="P611" s="104" t="s">
        <v>106</v>
      </c>
      <c r="Q611" s="104">
        <v>46118.8847222222</v>
      </c>
      <c r="R611" s="104">
        <v>46118.8847222222</v>
      </c>
      <c r="S611" s="104">
        <v>46118.8861111111</v>
      </c>
      <c r="T611" s="104" t="s">
        <v>499</v>
      </c>
    </row>
    <row r="612" s="102" customFormat="1" ht="15" spans="1:20">
      <c r="A612" s="104" t="s">
        <v>22</v>
      </c>
      <c r="B612" s="104" t="s">
        <v>342</v>
      </c>
      <c r="C612" s="104" t="s">
        <v>870</v>
      </c>
      <c r="D612" s="104" t="s">
        <v>512</v>
      </c>
      <c r="E612" s="104" t="s">
        <v>513</v>
      </c>
      <c r="F612" s="104" t="s">
        <v>514</v>
      </c>
      <c r="G612" s="114"/>
      <c r="H612" s="104">
        <v>4060001</v>
      </c>
      <c r="I612" s="104">
        <v>21267</v>
      </c>
      <c r="J612" s="104">
        <v>3171</v>
      </c>
      <c r="K612" s="104">
        <v>5</v>
      </c>
      <c r="L612" s="104">
        <v>3166</v>
      </c>
      <c r="M612" s="104">
        <v>12260.526</v>
      </c>
      <c r="N612" s="104" t="s">
        <v>24</v>
      </c>
      <c r="O612" s="104" t="s">
        <v>70</v>
      </c>
      <c r="P612" s="104" t="s">
        <v>106</v>
      </c>
      <c r="Q612" s="104">
        <v>46118.7166666667</v>
      </c>
      <c r="R612" s="104">
        <v>46118.9208333333</v>
      </c>
      <c r="S612" s="104">
        <v>46118.9673611111</v>
      </c>
      <c r="T612" s="104" t="s">
        <v>586</v>
      </c>
    </row>
    <row r="613" s="102" customFormat="1" ht="15" spans="1:20">
      <c r="A613" s="104" t="s">
        <v>22</v>
      </c>
      <c r="B613" s="104" t="s">
        <v>107</v>
      </c>
      <c r="C613" s="104" t="s">
        <v>871</v>
      </c>
      <c r="D613" s="104" t="s">
        <v>353</v>
      </c>
      <c r="E613" s="104" t="s">
        <v>354</v>
      </c>
      <c r="F613" s="104" t="s">
        <v>355</v>
      </c>
      <c r="G613" s="114"/>
      <c r="H613" s="104">
        <v>4060001</v>
      </c>
      <c r="I613" s="104">
        <v>20217</v>
      </c>
      <c r="J613" s="104">
        <v>3407</v>
      </c>
      <c r="K613" s="104">
        <v>9</v>
      </c>
      <c r="L613" s="104">
        <v>3398</v>
      </c>
      <c r="M613" s="104">
        <v>12371.494</v>
      </c>
      <c r="N613" s="104" t="s">
        <v>24</v>
      </c>
      <c r="O613" s="104" t="s">
        <v>70</v>
      </c>
      <c r="P613" s="104" t="s">
        <v>106</v>
      </c>
      <c r="Q613" s="104">
        <v>46118.8229166667</v>
      </c>
      <c r="R613" s="104">
        <v>46118.9215277778</v>
      </c>
      <c r="S613" s="104">
        <v>46118.9715277778</v>
      </c>
      <c r="T613" s="104" t="s">
        <v>724</v>
      </c>
    </row>
    <row r="614" s="102" customFormat="1" ht="15" spans="1:20">
      <c r="A614" s="104" t="s">
        <v>22</v>
      </c>
      <c r="B614" s="104" t="s">
        <v>357</v>
      </c>
      <c r="C614" s="104" t="s">
        <v>872</v>
      </c>
      <c r="D614" s="104" t="s">
        <v>359</v>
      </c>
      <c r="E614" s="104" t="s">
        <v>873</v>
      </c>
      <c r="F614" s="104" t="s">
        <v>874</v>
      </c>
      <c r="G614" s="114"/>
      <c r="H614" s="104">
        <v>4060001</v>
      </c>
      <c r="I614" s="104">
        <v>22699</v>
      </c>
      <c r="J614" s="104">
        <v>2749</v>
      </c>
      <c r="K614" s="104">
        <v>27</v>
      </c>
      <c r="L614" s="104">
        <v>2722</v>
      </c>
      <c r="M614" s="104">
        <v>10647.274</v>
      </c>
      <c r="N614" s="104" t="s">
        <v>24</v>
      </c>
      <c r="O614" s="104" t="s">
        <v>70</v>
      </c>
      <c r="P614" s="104" t="s">
        <v>106</v>
      </c>
      <c r="Q614" s="104">
        <v>46118.9611111111</v>
      </c>
      <c r="R614" s="104">
        <v>46118.9805555556</v>
      </c>
      <c r="S614" s="104">
        <v>46119.0395833333</v>
      </c>
      <c r="T614" s="104" t="s">
        <v>592</v>
      </c>
    </row>
    <row r="615" s="102" customFormat="1" ht="15" spans="1:20">
      <c r="A615" s="104" t="s">
        <v>22</v>
      </c>
      <c r="B615" s="104" t="s">
        <v>33</v>
      </c>
      <c r="C615" s="114"/>
      <c r="D615" s="114"/>
      <c r="E615" s="114"/>
      <c r="F615" s="114"/>
      <c r="G615" s="114"/>
      <c r="H615" s="104">
        <v>40701</v>
      </c>
      <c r="I615" s="104">
        <v>3</v>
      </c>
      <c r="J615" s="104">
        <v>2</v>
      </c>
      <c r="K615" s="104">
        <v>0</v>
      </c>
      <c r="L615" s="104">
        <v>2</v>
      </c>
      <c r="M615" s="104">
        <v>0.357</v>
      </c>
      <c r="N615" s="104" t="s">
        <v>24</v>
      </c>
      <c r="O615" s="104" t="s">
        <v>25</v>
      </c>
      <c r="P615" s="104" t="s">
        <v>26</v>
      </c>
      <c r="Q615" s="104">
        <v>46119.4652777778</v>
      </c>
      <c r="R615" s="104">
        <v>46119.4652777778</v>
      </c>
      <c r="S615" s="104">
        <v>46119.525</v>
      </c>
      <c r="T615" s="104" t="s">
        <v>153</v>
      </c>
    </row>
    <row r="616" s="102" customFormat="1" ht="15" spans="1:20">
      <c r="A616" s="104" t="s">
        <v>22</v>
      </c>
      <c r="B616" s="104" t="s">
        <v>31</v>
      </c>
      <c r="C616" s="114"/>
      <c r="D616" s="114"/>
      <c r="E616" s="114"/>
      <c r="F616" s="114"/>
      <c r="G616" s="114"/>
      <c r="H616" s="104">
        <v>40701</v>
      </c>
      <c r="I616" s="104">
        <v>13</v>
      </c>
      <c r="J616" s="104">
        <v>13</v>
      </c>
      <c r="K616" s="104">
        <v>0</v>
      </c>
      <c r="L616" s="104">
        <v>13</v>
      </c>
      <c r="M616" s="104">
        <v>48.349</v>
      </c>
      <c r="N616" s="104" t="s">
        <v>24</v>
      </c>
      <c r="O616" s="104" t="s">
        <v>25</v>
      </c>
      <c r="P616" s="104" t="s">
        <v>26</v>
      </c>
      <c r="Q616" s="104">
        <v>46119.4652777778</v>
      </c>
      <c r="R616" s="104">
        <v>46119.4652777778</v>
      </c>
      <c r="S616" s="104">
        <v>46119.8583333333</v>
      </c>
      <c r="T616" s="104" t="s">
        <v>753</v>
      </c>
    </row>
    <row r="617" s="102" customFormat="1" ht="15" spans="1:20">
      <c r="A617" s="104" t="s">
        <v>22</v>
      </c>
      <c r="B617" s="104" t="s">
        <v>23</v>
      </c>
      <c r="C617" s="114"/>
      <c r="D617" s="114"/>
      <c r="E617" s="114"/>
      <c r="F617" s="114"/>
      <c r="G617" s="114"/>
      <c r="H617" s="104">
        <v>4077324</v>
      </c>
      <c r="I617" s="104">
        <v>55</v>
      </c>
      <c r="J617" s="104">
        <v>1</v>
      </c>
      <c r="K617" s="104">
        <v>1</v>
      </c>
      <c r="L617" s="104">
        <v>0</v>
      </c>
      <c r="M617" s="104">
        <v>2.75</v>
      </c>
      <c r="N617" s="104" t="s">
        <v>24</v>
      </c>
      <c r="O617" s="104" t="s">
        <v>25</v>
      </c>
      <c r="P617" s="104" t="s">
        <v>26</v>
      </c>
      <c r="Q617" s="104">
        <v>46119.4652777778</v>
      </c>
      <c r="R617" s="104">
        <v>46119.4652777778</v>
      </c>
      <c r="S617" s="104">
        <v>46119.525</v>
      </c>
      <c r="T617" s="104" t="s">
        <v>462</v>
      </c>
    </row>
    <row r="618" s="102" customFormat="1" ht="15" spans="1:20">
      <c r="A618" s="104" t="s">
        <v>22</v>
      </c>
      <c r="B618" s="104" t="s">
        <v>175</v>
      </c>
      <c r="C618" s="104" t="s">
        <v>875</v>
      </c>
      <c r="D618" s="104" t="s">
        <v>177</v>
      </c>
      <c r="E618" s="114"/>
      <c r="F618" s="114"/>
      <c r="G618" s="104">
        <v>11111111111111</v>
      </c>
      <c r="H618" s="104">
        <v>4070003</v>
      </c>
      <c r="I618" s="104">
        <v>2830</v>
      </c>
      <c r="J618" s="104">
        <v>2830</v>
      </c>
      <c r="K618" s="104">
        <v>20</v>
      </c>
      <c r="L618" s="104">
        <v>2810</v>
      </c>
      <c r="M618" s="104">
        <v>6105.34</v>
      </c>
      <c r="N618" s="104" t="s">
        <v>24</v>
      </c>
      <c r="O618" s="104" t="s">
        <v>25</v>
      </c>
      <c r="P618" s="104" t="s">
        <v>26</v>
      </c>
      <c r="Q618" s="104">
        <v>46119.4611111111</v>
      </c>
      <c r="R618" s="104">
        <v>46119.4701388889</v>
      </c>
      <c r="S618" s="104">
        <v>46119.5958333333</v>
      </c>
      <c r="T618" s="104" t="s">
        <v>876</v>
      </c>
    </row>
    <row r="619" s="102" customFormat="1" ht="15" spans="1:20">
      <c r="A619" s="104" t="s">
        <v>22</v>
      </c>
      <c r="B619" s="104" t="s">
        <v>47</v>
      </c>
      <c r="C619" s="114"/>
      <c r="D619" s="114"/>
      <c r="E619" s="114"/>
      <c r="F619" s="114"/>
      <c r="G619" s="114"/>
      <c r="H619" s="104">
        <v>40701</v>
      </c>
      <c r="I619" s="104">
        <v>2</v>
      </c>
      <c r="J619" s="104">
        <v>2</v>
      </c>
      <c r="K619" s="104">
        <v>0</v>
      </c>
      <c r="L619" s="104">
        <v>2</v>
      </c>
      <c r="M619" s="104">
        <v>8.794</v>
      </c>
      <c r="N619" s="104" t="s">
        <v>24</v>
      </c>
      <c r="O619" s="104" t="s">
        <v>25</v>
      </c>
      <c r="P619" s="104" t="s">
        <v>26</v>
      </c>
      <c r="Q619" s="104">
        <v>46119.4652777778</v>
      </c>
      <c r="R619" s="104">
        <v>46119.4708333333</v>
      </c>
      <c r="S619" s="104">
        <v>46119.5972222222</v>
      </c>
      <c r="T619" s="104" t="s">
        <v>191</v>
      </c>
    </row>
    <row r="620" s="102" customFormat="1" ht="15" spans="1:20">
      <c r="A620" s="104" t="s">
        <v>22</v>
      </c>
      <c r="B620" s="104" t="s">
        <v>33</v>
      </c>
      <c r="C620" s="114"/>
      <c r="D620" s="114"/>
      <c r="E620" s="114"/>
      <c r="F620" s="114"/>
      <c r="G620" s="114"/>
      <c r="H620" s="104">
        <v>40701</v>
      </c>
      <c r="I620" s="104">
        <v>19</v>
      </c>
      <c r="J620" s="104">
        <v>3</v>
      </c>
      <c r="K620" s="104">
        <v>0</v>
      </c>
      <c r="L620" s="104">
        <v>3</v>
      </c>
      <c r="M620" s="104">
        <v>4.945</v>
      </c>
      <c r="N620" s="104" t="s">
        <v>24</v>
      </c>
      <c r="O620" s="104" t="s">
        <v>25</v>
      </c>
      <c r="P620" s="104" t="s">
        <v>26</v>
      </c>
      <c r="Q620" s="104">
        <v>46119.4652777778</v>
      </c>
      <c r="R620" s="104">
        <v>46119.4722222222</v>
      </c>
      <c r="S620" s="104">
        <v>46119.525</v>
      </c>
      <c r="T620" s="104" t="s">
        <v>153</v>
      </c>
    </row>
    <row r="621" s="102" customFormat="1" ht="15" spans="1:20">
      <c r="A621" s="104" t="s">
        <v>22</v>
      </c>
      <c r="B621" s="104" t="s">
        <v>35</v>
      </c>
      <c r="C621" s="114"/>
      <c r="D621" s="114"/>
      <c r="E621" s="114"/>
      <c r="F621" s="114"/>
      <c r="G621" s="114"/>
      <c r="H621" s="104">
        <v>40701</v>
      </c>
      <c r="I621" s="104">
        <v>9</v>
      </c>
      <c r="J621" s="104">
        <v>1</v>
      </c>
      <c r="K621" s="104">
        <v>0</v>
      </c>
      <c r="L621" s="104">
        <v>1</v>
      </c>
      <c r="M621" s="104">
        <v>0.05</v>
      </c>
      <c r="N621" s="104" t="s">
        <v>24</v>
      </c>
      <c r="O621" s="104" t="s">
        <v>25</v>
      </c>
      <c r="P621" s="104" t="s">
        <v>26</v>
      </c>
      <c r="Q621" s="104">
        <v>46119.4722222222</v>
      </c>
      <c r="R621" s="104">
        <v>46119.4722222222</v>
      </c>
      <c r="S621" s="104">
        <v>46119.525</v>
      </c>
      <c r="T621" s="104" t="s">
        <v>162</v>
      </c>
    </row>
    <row r="622" s="102" customFormat="1" ht="15" spans="1:20">
      <c r="A622" s="104" t="s">
        <v>22</v>
      </c>
      <c r="B622" s="104" t="s">
        <v>28</v>
      </c>
      <c r="C622" s="114"/>
      <c r="D622" s="104" t="s">
        <v>29</v>
      </c>
      <c r="E622" s="114"/>
      <c r="F622" s="114"/>
      <c r="G622" s="114"/>
      <c r="H622" s="104">
        <v>4072114</v>
      </c>
      <c r="I622" s="104">
        <v>0</v>
      </c>
      <c r="J622" s="104">
        <v>129</v>
      </c>
      <c r="K622" s="104">
        <v>0</v>
      </c>
      <c r="L622" s="104">
        <v>129</v>
      </c>
      <c r="M622" s="104">
        <v>0</v>
      </c>
      <c r="N622" s="104" t="s">
        <v>24</v>
      </c>
      <c r="O622" s="104" t="s">
        <v>25</v>
      </c>
      <c r="P622" s="104" t="s">
        <v>26</v>
      </c>
      <c r="Q622" s="104">
        <v>46119.4736111111</v>
      </c>
      <c r="R622" s="104">
        <v>46119.4736111111</v>
      </c>
      <c r="S622" s="104">
        <v>46119.5972222222</v>
      </c>
      <c r="T622" s="104" t="s">
        <v>764</v>
      </c>
    </row>
    <row r="623" s="102" customFormat="1" ht="15" spans="1:20">
      <c r="A623" s="104" t="s">
        <v>22</v>
      </c>
      <c r="B623" s="104" t="s">
        <v>33</v>
      </c>
      <c r="C623" s="114"/>
      <c r="D623" s="114"/>
      <c r="E623" s="114"/>
      <c r="F623" s="114"/>
      <c r="G623" s="114"/>
      <c r="H623" s="104">
        <v>40701</v>
      </c>
      <c r="I623" s="104">
        <v>9</v>
      </c>
      <c r="J623" s="104">
        <v>7</v>
      </c>
      <c r="K623" s="104">
        <v>0</v>
      </c>
      <c r="L623" s="104">
        <v>7</v>
      </c>
      <c r="M623" s="104">
        <v>13.725</v>
      </c>
      <c r="N623" s="104" t="s">
        <v>24</v>
      </c>
      <c r="O623" s="104" t="s">
        <v>25</v>
      </c>
      <c r="P623" s="104" t="s">
        <v>26</v>
      </c>
      <c r="Q623" s="104">
        <v>46119.4652777778</v>
      </c>
      <c r="R623" s="104">
        <v>46119.4791666667</v>
      </c>
      <c r="S623" s="104">
        <v>46119.525</v>
      </c>
      <c r="T623" s="104" t="s">
        <v>153</v>
      </c>
    </row>
    <row r="624" s="102" customFormat="1" ht="15" spans="1:20">
      <c r="A624" s="104" t="s">
        <v>22</v>
      </c>
      <c r="B624" s="104" t="s">
        <v>36</v>
      </c>
      <c r="C624" s="104" t="s">
        <v>877</v>
      </c>
      <c r="D624" s="104" t="s">
        <v>38</v>
      </c>
      <c r="E624" s="114"/>
      <c r="F624" s="114"/>
      <c r="G624" s="114"/>
      <c r="H624" s="104">
        <v>4070001</v>
      </c>
      <c r="I624" s="104">
        <v>250</v>
      </c>
      <c r="J624" s="104">
        <v>250</v>
      </c>
      <c r="K624" s="104">
        <v>0</v>
      </c>
      <c r="L624" s="104">
        <v>250</v>
      </c>
      <c r="M624" s="104">
        <v>127.017</v>
      </c>
      <c r="N624" s="104" t="s">
        <v>24</v>
      </c>
      <c r="O624" s="104" t="s">
        <v>25</v>
      </c>
      <c r="P624" s="104" t="s">
        <v>26</v>
      </c>
      <c r="Q624" s="104">
        <v>46119.4770833333</v>
      </c>
      <c r="R624" s="104">
        <v>46119.4791666667</v>
      </c>
      <c r="S624" s="104">
        <v>46119.5256944444</v>
      </c>
      <c r="T624" s="104" t="s">
        <v>878</v>
      </c>
    </row>
    <row r="625" s="102" customFormat="1" ht="15" spans="1:20">
      <c r="A625" s="104" t="s">
        <v>22</v>
      </c>
      <c r="B625" s="104" t="s">
        <v>42</v>
      </c>
      <c r="C625" s="104" t="s">
        <v>879</v>
      </c>
      <c r="D625" s="104" t="s">
        <v>44</v>
      </c>
      <c r="E625" s="114"/>
      <c r="F625" s="114"/>
      <c r="G625" s="114"/>
      <c r="H625" s="104">
        <v>4070001</v>
      </c>
      <c r="I625" s="104">
        <v>690</v>
      </c>
      <c r="J625" s="104">
        <v>471</v>
      </c>
      <c r="K625" s="104">
        <v>18</v>
      </c>
      <c r="L625" s="104">
        <v>453</v>
      </c>
      <c r="M625" s="104">
        <v>486.222</v>
      </c>
      <c r="N625" s="104" t="s">
        <v>24</v>
      </c>
      <c r="O625" s="104" t="s">
        <v>25</v>
      </c>
      <c r="P625" s="104" t="s">
        <v>26</v>
      </c>
      <c r="Q625" s="104">
        <v>46119.4819444444</v>
      </c>
      <c r="R625" s="104">
        <v>46119.4847222222</v>
      </c>
      <c r="S625" s="104">
        <v>46119.5958333333</v>
      </c>
      <c r="T625" s="104" t="s">
        <v>696</v>
      </c>
    </row>
    <row r="626" s="102" customFormat="1" ht="15" spans="1:20">
      <c r="A626" s="104" t="s">
        <v>22</v>
      </c>
      <c r="B626" s="104" t="s">
        <v>67</v>
      </c>
      <c r="C626" s="104" t="s">
        <v>880</v>
      </c>
      <c r="D626" s="104" t="s">
        <v>69</v>
      </c>
      <c r="E626" s="114"/>
      <c r="F626" s="114"/>
      <c r="G626" s="114"/>
      <c r="H626" s="104">
        <v>4070001</v>
      </c>
      <c r="I626" s="104">
        <v>505</v>
      </c>
      <c r="J626" s="104">
        <v>176</v>
      </c>
      <c r="K626" s="104">
        <v>0</v>
      </c>
      <c r="L626" s="104">
        <v>176</v>
      </c>
      <c r="M626" s="104">
        <v>443.588</v>
      </c>
      <c r="N626" s="104" t="s">
        <v>24</v>
      </c>
      <c r="O626" s="104" t="s">
        <v>70</v>
      </c>
      <c r="P626" s="104" t="s">
        <v>26</v>
      </c>
      <c r="Q626" s="104">
        <v>46119.4875</v>
      </c>
      <c r="R626" s="104">
        <v>46119.4902777778</v>
      </c>
      <c r="S626" s="104">
        <v>46119.4993055556</v>
      </c>
      <c r="T626" s="104" t="s">
        <v>135</v>
      </c>
    </row>
    <row r="627" s="102" customFormat="1" ht="15" spans="1:20">
      <c r="A627" s="104" t="s">
        <v>22</v>
      </c>
      <c r="B627" s="104" t="s">
        <v>31</v>
      </c>
      <c r="C627" s="114"/>
      <c r="D627" s="114"/>
      <c r="E627" s="114"/>
      <c r="F627" s="114"/>
      <c r="G627" s="114"/>
      <c r="H627" s="104">
        <v>40701</v>
      </c>
      <c r="I627" s="104">
        <v>3</v>
      </c>
      <c r="J627" s="104">
        <v>2</v>
      </c>
      <c r="K627" s="104">
        <v>0</v>
      </c>
      <c r="L627" s="104">
        <v>2</v>
      </c>
      <c r="M627" s="104">
        <v>0.482</v>
      </c>
      <c r="N627" s="104" t="s">
        <v>24</v>
      </c>
      <c r="O627" s="104" t="s">
        <v>25</v>
      </c>
      <c r="P627" s="104" t="s">
        <v>26</v>
      </c>
      <c r="Q627" s="104">
        <v>46119.4652777778</v>
      </c>
      <c r="R627" s="104">
        <v>46119.4916666667</v>
      </c>
      <c r="S627" s="104">
        <v>46119.8583333333</v>
      </c>
      <c r="T627" s="104" t="s">
        <v>753</v>
      </c>
    </row>
    <row r="628" s="102" customFormat="1" ht="15" spans="1:20">
      <c r="A628" s="104" t="s">
        <v>22</v>
      </c>
      <c r="B628" s="104" t="s">
        <v>33</v>
      </c>
      <c r="C628" s="114"/>
      <c r="D628" s="114"/>
      <c r="E628" s="114"/>
      <c r="F628" s="114"/>
      <c r="G628" s="114"/>
      <c r="H628" s="104">
        <v>40701</v>
      </c>
      <c r="I628" s="104">
        <v>4</v>
      </c>
      <c r="J628" s="104">
        <v>4</v>
      </c>
      <c r="K628" s="104">
        <v>0</v>
      </c>
      <c r="L628" s="104">
        <v>4</v>
      </c>
      <c r="M628" s="104">
        <v>1.332</v>
      </c>
      <c r="N628" s="104" t="s">
        <v>24</v>
      </c>
      <c r="O628" s="104" t="s">
        <v>25</v>
      </c>
      <c r="P628" s="104" t="s">
        <v>26</v>
      </c>
      <c r="Q628" s="104">
        <v>46119.4652777778</v>
      </c>
      <c r="R628" s="104">
        <v>46119.4916666667</v>
      </c>
      <c r="S628" s="104">
        <v>46119.525</v>
      </c>
      <c r="T628" s="104" t="s">
        <v>153</v>
      </c>
    </row>
    <row r="629" s="102" customFormat="1" ht="15" spans="1:20">
      <c r="A629" s="104" t="s">
        <v>22</v>
      </c>
      <c r="B629" s="104" t="s">
        <v>172</v>
      </c>
      <c r="C629" s="104" t="s">
        <v>881</v>
      </c>
      <c r="D629" s="104" t="s">
        <v>174</v>
      </c>
      <c r="E629" s="114"/>
      <c r="F629" s="114"/>
      <c r="G629" s="114"/>
      <c r="H629" s="104">
        <v>4070001</v>
      </c>
      <c r="I629" s="104">
        <v>76</v>
      </c>
      <c r="J629" s="104">
        <v>43</v>
      </c>
      <c r="K629" s="104">
        <v>2</v>
      </c>
      <c r="L629" s="104">
        <v>41</v>
      </c>
      <c r="M629" s="104">
        <v>60.552</v>
      </c>
      <c r="N629" s="104" t="s">
        <v>24</v>
      </c>
      <c r="O629" s="104" t="s">
        <v>25</v>
      </c>
      <c r="P629" s="104" t="s">
        <v>26</v>
      </c>
      <c r="Q629" s="104">
        <v>46119.4854166667</v>
      </c>
      <c r="R629" s="104">
        <v>46119.4930555556</v>
      </c>
      <c r="S629" s="104">
        <v>46119.5256944444</v>
      </c>
      <c r="T629" s="104" t="s">
        <v>389</v>
      </c>
    </row>
    <row r="630" s="102" customFormat="1" ht="15" spans="1:20">
      <c r="A630" s="104" t="s">
        <v>22</v>
      </c>
      <c r="B630" s="104" t="s">
        <v>49</v>
      </c>
      <c r="C630" s="104" t="s">
        <v>882</v>
      </c>
      <c r="D630" s="104" t="s">
        <v>51</v>
      </c>
      <c r="E630" s="114"/>
      <c r="F630" s="114"/>
      <c r="G630" s="114"/>
      <c r="H630" s="104">
        <v>4070001</v>
      </c>
      <c r="I630" s="104">
        <v>31</v>
      </c>
      <c r="J630" s="104">
        <v>17</v>
      </c>
      <c r="K630" s="104">
        <v>8</v>
      </c>
      <c r="L630" s="104">
        <v>9</v>
      </c>
      <c r="M630" s="104">
        <v>48.73</v>
      </c>
      <c r="N630" s="104" t="s">
        <v>24</v>
      </c>
      <c r="O630" s="104" t="s">
        <v>25</v>
      </c>
      <c r="P630" s="104" t="s">
        <v>26</v>
      </c>
      <c r="Q630" s="104">
        <v>46119.4868055556</v>
      </c>
      <c r="R630" s="104">
        <v>46119.4930555556</v>
      </c>
      <c r="S630" s="104">
        <v>46119.5256944444</v>
      </c>
      <c r="T630" s="104" t="s">
        <v>153</v>
      </c>
    </row>
    <row r="631" s="102" customFormat="1" ht="15" spans="1:20">
      <c r="A631" s="104" t="s">
        <v>22</v>
      </c>
      <c r="B631" s="104" t="s">
        <v>76</v>
      </c>
      <c r="C631" s="104" t="s">
        <v>883</v>
      </c>
      <c r="D631" s="104" t="s">
        <v>627</v>
      </c>
      <c r="E631" s="104" t="s">
        <v>413</v>
      </c>
      <c r="F631" s="104" t="s">
        <v>79</v>
      </c>
      <c r="G631" s="114"/>
      <c r="H631" s="104">
        <v>4070001</v>
      </c>
      <c r="I631" s="104">
        <v>1611</v>
      </c>
      <c r="J631" s="104">
        <v>1283</v>
      </c>
      <c r="K631" s="104">
        <v>12</v>
      </c>
      <c r="L631" s="104">
        <v>1271</v>
      </c>
      <c r="M631" s="104">
        <v>3017.23</v>
      </c>
      <c r="N631" s="104" t="s">
        <v>24</v>
      </c>
      <c r="O631" s="104" t="s">
        <v>25</v>
      </c>
      <c r="P631" s="104" t="s">
        <v>26</v>
      </c>
      <c r="Q631" s="104">
        <v>46119.4895833333</v>
      </c>
      <c r="R631" s="104">
        <v>46119.4930555556</v>
      </c>
      <c r="S631" s="104">
        <v>46119.5958333333</v>
      </c>
      <c r="T631" s="104" t="s">
        <v>884</v>
      </c>
    </row>
    <row r="632" s="102" customFormat="1" ht="15" spans="1:20">
      <c r="A632" s="104" t="s">
        <v>22</v>
      </c>
      <c r="B632" s="104" t="s">
        <v>39</v>
      </c>
      <c r="C632" s="104" t="s">
        <v>885</v>
      </c>
      <c r="D632" s="104" t="s">
        <v>41</v>
      </c>
      <c r="E632" s="114"/>
      <c r="F632" s="114"/>
      <c r="G632" s="114"/>
      <c r="H632" s="104">
        <v>4070001</v>
      </c>
      <c r="I632" s="104">
        <v>307</v>
      </c>
      <c r="J632" s="104">
        <v>28</v>
      </c>
      <c r="K632" s="104">
        <v>11</v>
      </c>
      <c r="L632" s="104">
        <v>17</v>
      </c>
      <c r="M632" s="104">
        <v>123.426</v>
      </c>
      <c r="N632" s="104" t="s">
        <v>24</v>
      </c>
      <c r="O632" s="104" t="s">
        <v>25</v>
      </c>
      <c r="P632" s="104" t="s">
        <v>26</v>
      </c>
      <c r="Q632" s="104">
        <v>46119.4909722222</v>
      </c>
      <c r="R632" s="104">
        <v>46119.49375</v>
      </c>
      <c r="S632" s="104">
        <v>46119.5256944444</v>
      </c>
      <c r="T632" s="104" t="s">
        <v>389</v>
      </c>
    </row>
    <row r="633" s="102" customFormat="1" ht="15" spans="1:20">
      <c r="A633" s="104" t="s">
        <v>22</v>
      </c>
      <c r="B633" s="104" t="s">
        <v>63</v>
      </c>
      <c r="C633" s="104" t="s">
        <v>886</v>
      </c>
      <c r="D633" s="104" t="s">
        <v>65</v>
      </c>
      <c r="E633" s="114"/>
      <c r="F633" s="114"/>
      <c r="G633" s="114"/>
      <c r="H633" s="104">
        <v>4070001</v>
      </c>
      <c r="I633" s="104">
        <v>533</v>
      </c>
      <c r="J633" s="104">
        <v>531</v>
      </c>
      <c r="K633" s="104">
        <v>0</v>
      </c>
      <c r="L633" s="104">
        <v>531</v>
      </c>
      <c r="M633" s="104">
        <v>785.398</v>
      </c>
      <c r="N633" s="104" t="s">
        <v>24</v>
      </c>
      <c r="O633" s="104" t="s">
        <v>25</v>
      </c>
      <c r="P633" s="104" t="s">
        <v>26</v>
      </c>
      <c r="Q633" s="104">
        <v>46119.4916666667</v>
      </c>
      <c r="R633" s="104">
        <v>46119.49375</v>
      </c>
      <c r="S633" s="104">
        <v>46119.5958333333</v>
      </c>
      <c r="T633" s="104" t="s">
        <v>884</v>
      </c>
    </row>
    <row r="634" s="102" customFormat="1" ht="15" spans="1:20">
      <c r="A634" s="104" t="s">
        <v>22</v>
      </c>
      <c r="B634" s="104" t="s">
        <v>168</v>
      </c>
      <c r="C634" s="104" t="s">
        <v>887</v>
      </c>
      <c r="D634" s="104" t="s">
        <v>293</v>
      </c>
      <c r="E634" s="114"/>
      <c r="F634" s="114"/>
      <c r="G634" s="114"/>
      <c r="H634" s="104">
        <v>4070001</v>
      </c>
      <c r="I634" s="104">
        <v>391</v>
      </c>
      <c r="J634" s="104">
        <v>292</v>
      </c>
      <c r="K634" s="104">
        <v>10</v>
      </c>
      <c r="L634" s="104">
        <v>282</v>
      </c>
      <c r="M634" s="104">
        <v>320.564</v>
      </c>
      <c r="N634" s="104" t="s">
        <v>24</v>
      </c>
      <c r="O634" s="104" t="s">
        <v>25</v>
      </c>
      <c r="P634" s="104" t="s">
        <v>26</v>
      </c>
      <c r="Q634" s="104">
        <v>46119.4923611111</v>
      </c>
      <c r="R634" s="104">
        <v>46119.49375</v>
      </c>
      <c r="S634" s="104">
        <v>46119.5256944444</v>
      </c>
      <c r="T634" s="104" t="s">
        <v>510</v>
      </c>
    </row>
    <row r="635" s="102" customFormat="1" ht="15" spans="1:20">
      <c r="A635" s="104" t="s">
        <v>22</v>
      </c>
      <c r="B635" s="104" t="s">
        <v>81</v>
      </c>
      <c r="C635" s="114"/>
      <c r="D635" s="114"/>
      <c r="E635" s="114"/>
      <c r="F635" s="114"/>
      <c r="G635" s="114"/>
      <c r="H635" s="104">
        <v>4073650</v>
      </c>
      <c r="I635" s="104">
        <v>82</v>
      </c>
      <c r="J635" s="104">
        <v>41</v>
      </c>
      <c r="K635" s="104">
        <v>2</v>
      </c>
      <c r="L635" s="104">
        <v>39</v>
      </c>
      <c r="M635" s="104">
        <v>62.507</v>
      </c>
      <c r="N635" s="104" t="s">
        <v>24</v>
      </c>
      <c r="O635" s="104" t="s">
        <v>25</v>
      </c>
      <c r="P635" s="104" t="s">
        <v>26</v>
      </c>
      <c r="Q635" s="104">
        <v>46119.7145833333</v>
      </c>
      <c r="R635" s="104">
        <v>46119.7145833333</v>
      </c>
      <c r="S635" s="104">
        <v>46119.8590277778</v>
      </c>
      <c r="T635" s="104" t="s">
        <v>888</v>
      </c>
    </row>
    <row r="636" s="102" customFormat="1" ht="15" spans="1:20">
      <c r="A636" s="104" t="s">
        <v>22</v>
      </c>
      <c r="B636" s="104" t="s">
        <v>81</v>
      </c>
      <c r="C636" s="114"/>
      <c r="D636" s="114"/>
      <c r="E636" s="114"/>
      <c r="F636" s="114"/>
      <c r="G636" s="114"/>
      <c r="H636" s="104">
        <v>4073565</v>
      </c>
      <c r="I636" s="104">
        <v>29</v>
      </c>
      <c r="J636" s="104">
        <v>27</v>
      </c>
      <c r="K636" s="104">
        <v>0</v>
      </c>
      <c r="L636" s="104">
        <v>27</v>
      </c>
      <c r="M636" s="104">
        <v>32.175</v>
      </c>
      <c r="N636" s="104" t="s">
        <v>24</v>
      </c>
      <c r="O636" s="104" t="s">
        <v>25</v>
      </c>
      <c r="P636" s="104" t="s">
        <v>26</v>
      </c>
      <c r="Q636" s="104">
        <v>46119.7145833333</v>
      </c>
      <c r="R636" s="104">
        <v>46119.7145833333</v>
      </c>
      <c r="S636" s="104">
        <v>46119.8590277778</v>
      </c>
      <c r="T636" s="104" t="s">
        <v>888</v>
      </c>
    </row>
    <row r="637" s="102" customFormat="1" ht="15" spans="1:20">
      <c r="A637" s="104" t="s">
        <v>22</v>
      </c>
      <c r="B637" s="104" t="s">
        <v>83</v>
      </c>
      <c r="C637" s="114"/>
      <c r="D637" s="114"/>
      <c r="E637" s="114"/>
      <c r="F637" s="114"/>
      <c r="G637" s="114"/>
      <c r="H637" s="104">
        <v>4073735</v>
      </c>
      <c r="I637" s="104">
        <v>68</v>
      </c>
      <c r="J637" s="104">
        <v>5</v>
      </c>
      <c r="K637" s="104">
        <v>5</v>
      </c>
      <c r="L637" s="104">
        <v>0</v>
      </c>
      <c r="M637" s="104">
        <v>0.929</v>
      </c>
      <c r="N637" s="104" t="s">
        <v>24</v>
      </c>
      <c r="O637" s="104" t="s">
        <v>25</v>
      </c>
      <c r="P637" s="104" t="s">
        <v>26</v>
      </c>
      <c r="Q637" s="104">
        <v>46119.7145833333</v>
      </c>
      <c r="R637" s="104">
        <v>46119.7145833333</v>
      </c>
      <c r="S637" s="104">
        <v>46119.8590277778</v>
      </c>
      <c r="T637" s="104" t="s">
        <v>889</v>
      </c>
    </row>
    <row r="638" s="102" customFormat="1" ht="15" spans="1:20">
      <c r="A638" s="104" t="s">
        <v>22</v>
      </c>
      <c r="B638" s="104" t="s">
        <v>83</v>
      </c>
      <c r="C638" s="114"/>
      <c r="D638" s="114"/>
      <c r="E638" s="114"/>
      <c r="F638" s="114"/>
      <c r="G638" s="114"/>
      <c r="H638" s="104">
        <v>4073652</v>
      </c>
      <c r="I638" s="104">
        <v>107</v>
      </c>
      <c r="J638" s="104">
        <v>23</v>
      </c>
      <c r="K638" s="104">
        <v>4</v>
      </c>
      <c r="L638" s="104">
        <v>19</v>
      </c>
      <c r="M638" s="104">
        <v>41.504</v>
      </c>
      <c r="N638" s="104" t="s">
        <v>24</v>
      </c>
      <c r="O638" s="104" t="s">
        <v>25</v>
      </c>
      <c r="P638" s="104" t="s">
        <v>26</v>
      </c>
      <c r="Q638" s="104">
        <v>46119.7145833333</v>
      </c>
      <c r="R638" s="104">
        <v>46119.7145833333</v>
      </c>
      <c r="S638" s="104">
        <v>46119.8590277778</v>
      </c>
      <c r="T638" s="104" t="s">
        <v>889</v>
      </c>
    </row>
    <row r="639" s="102" customFormat="1" ht="15" spans="1:20">
      <c r="A639" s="104" t="s">
        <v>22</v>
      </c>
      <c r="B639" s="104" t="s">
        <v>83</v>
      </c>
      <c r="C639" s="114"/>
      <c r="D639" s="114"/>
      <c r="E639" s="114"/>
      <c r="F639" s="114"/>
      <c r="G639" s="114"/>
      <c r="H639" s="104">
        <v>40701</v>
      </c>
      <c r="I639" s="104">
        <v>49</v>
      </c>
      <c r="J639" s="104">
        <v>9</v>
      </c>
      <c r="K639" s="104">
        <v>0</v>
      </c>
      <c r="L639" s="104">
        <v>9</v>
      </c>
      <c r="M639" s="104">
        <v>13.346</v>
      </c>
      <c r="N639" s="104" t="s">
        <v>24</v>
      </c>
      <c r="O639" s="104" t="s">
        <v>25</v>
      </c>
      <c r="P639" s="104" t="s">
        <v>26</v>
      </c>
      <c r="Q639" s="104">
        <v>46119.7145833333</v>
      </c>
      <c r="R639" s="104">
        <v>46119.7145833333</v>
      </c>
      <c r="S639" s="104">
        <v>46119.8590277778</v>
      </c>
      <c r="T639" s="104" t="s">
        <v>855</v>
      </c>
    </row>
    <row r="640" s="102" customFormat="1" ht="15" spans="1:20">
      <c r="A640" s="104" t="s">
        <v>22</v>
      </c>
      <c r="B640" s="104" t="s">
        <v>86</v>
      </c>
      <c r="C640" s="114"/>
      <c r="D640" s="114"/>
      <c r="E640" s="114"/>
      <c r="F640" s="114"/>
      <c r="G640" s="114"/>
      <c r="H640" s="104">
        <v>40701</v>
      </c>
      <c r="I640" s="104">
        <v>7</v>
      </c>
      <c r="J640" s="104">
        <v>2</v>
      </c>
      <c r="K640" s="104">
        <v>0</v>
      </c>
      <c r="L640" s="104">
        <v>2</v>
      </c>
      <c r="M640" s="104">
        <v>0.14</v>
      </c>
      <c r="N640" s="104" t="s">
        <v>24</v>
      </c>
      <c r="O640" s="104" t="s">
        <v>25</v>
      </c>
      <c r="P640" s="104" t="s">
        <v>26</v>
      </c>
      <c r="Q640" s="104">
        <v>46119.7152777778</v>
      </c>
      <c r="R640" s="104">
        <v>46119.7152777778</v>
      </c>
      <c r="S640" s="104">
        <v>46119.8590277778</v>
      </c>
      <c r="T640" s="104" t="s">
        <v>890</v>
      </c>
    </row>
    <row r="641" s="102" customFormat="1" ht="15" spans="1:20">
      <c r="A641" s="104" t="s">
        <v>22</v>
      </c>
      <c r="B641" s="104" t="s">
        <v>87</v>
      </c>
      <c r="C641" s="114"/>
      <c r="D641" s="114"/>
      <c r="E641" s="114"/>
      <c r="F641" s="114"/>
      <c r="G641" s="114"/>
      <c r="H641" s="104">
        <v>40701</v>
      </c>
      <c r="I641" s="104">
        <v>63</v>
      </c>
      <c r="J641" s="104">
        <v>54</v>
      </c>
      <c r="K641" s="104">
        <v>0</v>
      </c>
      <c r="L641" s="104">
        <v>54</v>
      </c>
      <c r="M641" s="104">
        <v>147.015</v>
      </c>
      <c r="N641" s="104" t="s">
        <v>24</v>
      </c>
      <c r="O641" s="104" t="s">
        <v>25</v>
      </c>
      <c r="P641" s="104" t="s">
        <v>26</v>
      </c>
      <c r="Q641" s="104">
        <v>46119.7152777778</v>
      </c>
      <c r="R641" s="104">
        <v>46119.7152777778</v>
      </c>
      <c r="S641" s="104">
        <v>46119.8590277778</v>
      </c>
      <c r="T641" s="104" t="s">
        <v>855</v>
      </c>
    </row>
    <row r="642" s="102" customFormat="1" ht="15" spans="1:20">
      <c r="A642" s="104" t="s">
        <v>22</v>
      </c>
      <c r="B642" s="104" t="s">
        <v>90</v>
      </c>
      <c r="C642" s="114"/>
      <c r="D642" s="114"/>
      <c r="E642" s="114"/>
      <c r="F642" s="114"/>
      <c r="G642" s="114"/>
      <c r="H642" s="104">
        <v>40701</v>
      </c>
      <c r="I642" s="104">
        <v>4</v>
      </c>
      <c r="J642" s="104">
        <v>2</v>
      </c>
      <c r="K642" s="104">
        <v>0</v>
      </c>
      <c r="L642" s="104">
        <v>2</v>
      </c>
      <c r="M642" s="104">
        <v>0.355</v>
      </c>
      <c r="N642" s="104" t="s">
        <v>24</v>
      </c>
      <c r="O642" s="104" t="s">
        <v>25</v>
      </c>
      <c r="P642" s="104" t="s">
        <v>26</v>
      </c>
      <c r="Q642" s="104">
        <v>46119.4645833333</v>
      </c>
      <c r="R642" s="104">
        <v>46119.7152777778</v>
      </c>
      <c r="S642" s="104">
        <v>46119.8583333333</v>
      </c>
      <c r="T642" s="104" t="s">
        <v>753</v>
      </c>
    </row>
    <row r="643" s="102" customFormat="1" ht="15" spans="1:20">
      <c r="A643" s="104" t="s">
        <v>22</v>
      </c>
      <c r="B643" s="104" t="s">
        <v>31</v>
      </c>
      <c r="C643" s="114"/>
      <c r="D643" s="114"/>
      <c r="E643" s="114"/>
      <c r="F643" s="114"/>
      <c r="G643" s="114"/>
      <c r="H643" s="104">
        <v>40701</v>
      </c>
      <c r="I643" s="104">
        <v>2</v>
      </c>
      <c r="J643" s="104">
        <v>2</v>
      </c>
      <c r="K643" s="104">
        <v>0</v>
      </c>
      <c r="L643" s="104">
        <v>2</v>
      </c>
      <c r="M643" s="104">
        <v>0.04</v>
      </c>
      <c r="N643" s="104" t="s">
        <v>24</v>
      </c>
      <c r="O643" s="104" t="s">
        <v>25</v>
      </c>
      <c r="P643" s="104" t="s">
        <v>26</v>
      </c>
      <c r="Q643" s="104">
        <v>46119.4652777778</v>
      </c>
      <c r="R643" s="104">
        <v>46119.7152777778</v>
      </c>
      <c r="S643" s="104">
        <v>46119.8583333333</v>
      </c>
      <c r="T643" s="104" t="s">
        <v>753</v>
      </c>
    </row>
    <row r="644" s="102" customFormat="1" ht="15" spans="1:20">
      <c r="A644" s="104" t="s">
        <v>22</v>
      </c>
      <c r="B644" s="104" t="s">
        <v>33</v>
      </c>
      <c r="C644" s="114"/>
      <c r="D644" s="114"/>
      <c r="E644" s="114"/>
      <c r="F644" s="114"/>
      <c r="G644" s="114"/>
      <c r="H644" s="104">
        <v>4073283</v>
      </c>
      <c r="I644" s="104">
        <v>36</v>
      </c>
      <c r="J644" s="104">
        <v>6</v>
      </c>
      <c r="K644" s="104">
        <v>1</v>
      </c>
      <c r="L644" s="104">
        <v>5</v>
      </c>
      <c r="M644" s="104">
        <v>17.497</v>
      </c>
      <c r="N644" s="104" t="s">
        <v>24</v>
      </c>
      <c r="O644" s="104" t="s">
        <v>25</v>
      </c>
      <c r="P644" s="104" t="s">
        <v>26</v>
      </c>
      <c r="Q644" s="104">
        <v>46119.7152777778</v>
      </c>
      <c r="R644" s="104">
        <v>46119.7152777778</v>
      </c>
      <c r="S644" s="104">
        <v>46119.8590277778</v>
      </c>
      <c r="T644" s="104" t="s">
        <v>753</v>
      </c>
    </row>
    <row r="645" s="102" customFormat="1" ht="15" spans="1:20">
      <c r="A645" s="104" t="s">
        <v>22</v>
      </c>
      <c r="B645" s="104" t="s">
        <v>83</v>
      </c>
      <c r="C645" s="114"/>
      <c r="D645" s="114"/>
      <c r="E645" s="114"/>
      <c r="F645" s="114"/>
      <c r="G645" s="114"/>
      <c r="H645" s="104">
        <v>40701</v>
      </c>
      <c r="I645" s="104">
        <v>60</v>
      </c>
      <c r="J645" s="104">
        <v>17</v>
      </c>
      <c r="K645" s="104">
        <v>0</v>
      </c>
      <c r="L645" s="104">
        <v>17</v>
      </c>
      <c r="M645" s="104">
        <v>26.847</v>
      </c>
      <c r="N645" s="104" t="s">
        <v>24</v>
      </c>
      <c r="O645" s="104" t="s">
        <v>25</v>
      </c>
      <c r="P645" s="104" t="s">
        <v>26</v>
      </c>
      <c r="Q645" s="104">
        <v>46119.7145833333</v>
      </c>
      <c r="R645" s="104">
        <v>46119.7368055556</v>
      </c>
      <c r="S645" s="104">
        <v>46119.8590277778</v>
      </c>
      <c r="T645" s="104" t="s">
        <v>855</v>
      </c>
    </row>
    <row r="646" s="102" customFormat="1" ht="15" spans="1:20">
      <c r="A646" s="104" t="s">
        <v>22</v>
      </c>
      <c r="B646" s="104" t="s">
        <v>83</v>
      </c>
      <c r="C646" s="114"/>
      <c r="D646" s="114"/>
      <c r="E646" s="114"/>
      <c r="F646" s="114"/>
      <c r="G646" s="114"/>
      <c r="H646" s="104">
        <v>4073737</v>
      </c>
      <c r="I646" s="104">
        <v>1</v>
      </c>
      <c r="J646" s="104">
        <v>1</v>
      </c>
      <c r="K646" s="104">
        <v>1</v>
      </c>
      <c r="L646" s="104">
        <v>0</v>
      </c>
      <c r="M646" s="104">
        <v>0.22</v>
      </c>
      <c r="N646" s="104" t="s">
        <v>24</v>
      </c>
      <c r="O646" s="104" t="s">
        <v>25</v>
      </c>
      <c r="P646" s="104" t="s">
        <v>26</v>
      </c>
      <c r="Q646" s="104">
        <v>46119.7368055556</v>
      </c>
      <c r="R646" s="104">
        <v>46119.7368055556</v>
      </c>
      <c r="S646" s="104">
        <v>46119.8590277778</v>
      </c>
      <c r="T646" s="104" t="s">
        <v>855</v>
      </c>
    </row>
    <row r="647" s="102" customFormat="1" ht="15" spans="1:20">
      <c r="A647" s="104" t="s">
        <v>22</v>
      </c>
      <c r="B647" s="104" t="s">
        <v>83</v>
      </c>
      <c r="C647" s="114"/>
      <c r="D647" s="114"/>
      <c r="E647" s="114"/>
      <c r="F647" s="114"/>
      <c r="G647" s="114"/>
      <c r="H647" s="104">
        <v>4073736</v>
      </c>
      <c r="I647" s="104">
        <v>3</v>
      </c>
      <c r="J647" s="104">
        <v>1</v>
      </c>
      <c r="K647" s="104">
        <v>1</v>
      </c>
      <c r="L647" s="104">
        <v>0</v>
      </c>
      <c r="M647" s="104">
        <v>1.42</v>
      </c>
      <c r="N647" s="104" t="s">
        <v>24</v>
      </c>
      <c r="O647" s="104" t="s">
        <v>25</v>
      </c>
      <c r="P647" s="104" t="s">
        <v>26</v>
      </c>
      <c r="Q647" s="104">
        <v>46119.7368055556</v>
      </c>
      <c r="R647" s="104">
        <v>46119.7368055556</v>
      </c>
      <c r="S647" s="104">
        <v>46119.8590277778</v>
      </c>
      <c r="T647" s="104" t="s">
        <v>855</v>
      </c>
    </row>
    <row r="648" s="102" customFormat="1" ht="15" spans="1:20">
      <c r="A648" s="104" t="s">
        <v>22</v>
      </c>
      <c r="B648" s="104" t="s">
        <v>86</v>
      </c>
      <c r="C648" s="114"/>
      <c r="D648" s="114"/>
      <c r="E648" s="114"/>
      <c r="F648" s="114"/>
      <c r="G648" s="114"/>
      <c r="H648" s="104">
        <v>40701</v>
      </c>
      <c r="I648" s="104">
        <v>56</v>
      </c>
      <c r="J648" s="104">
        <v>21</v>
      </c>
      <c r="K648" s="104">
        <v>0</v>
      </c>
      <c r="L648" s="104">
        <v>21</v>
      </c>
      <c r="M648" s="104">
        <v>86.487</v>
      </c>
      <c r="N648" s="104" t="s">
        <v>24</v>
      </c>
      <c r="O648" s="104" t="s">
        <v>25</v>
      </c>
      <c r="P648" s="104" t="s">
        <v>26</v>
      </c>
      <c r="Q648" s="104">
        <v>46119.7152777778</v>
      </c>
      <c r="R648" s="104">
        <v>46119.7368055556</v>
      </c>
      <c r="S648" s="104">
        <v>46119.8590277778</v>
      </c>
      <c r="T648" s="104" t="s">
        <v>890</v>
      </c>
    </row>
    <row r="649" s="102" customFormat="1" ht="15" spans="1:20">
      <c r="A649" s="104" t="s">
        <v>22</v>
      </c>
      <c r="B649" s="104" t="s">
        <v>87</v>
      </c>
      <c r="C649" s="114"/>
      <c r="D649" s="114"/>
      <c r="E649" s="114"/>
      <c r="F649" s="114"/>
      <c r="G649" s="114"/>
      <c r="H649" s="104">
        <v>40701</v>
      </c>
      <c r="I649" s="104">
        <v>48</v>
      </c>
      <c r="J649" s="104">
        <v>22</v>
      </c>
      <c r="K649" s="104">
        <v>0</v>
      </c>
      <c r="L649" s="104">
        <v>22</v>
      </c>
      <c r="M649" s="104">
        <v>65.178</v>
      </c>
      <c r="N649" s="104" t="s">
        <v>24</v>
      </c>
      <c r="O649" s="104" t="s">
        <v>25</v>
      </c>
      <c r="P649" s="104" t="s">
        <v>26</v>
      </c>
      <c r="Q649" s="104">
        <v>46119.7152777778</v>
      </c>
      <c r="R649" s="104">
        <v>46119.7368055556</v>
      </c>
      <c r="S649" s="104">
        <v>46119.8590277778</v>
      </c>
      <c r="T649" s="104" t="s">
        <v>855</v>
      </c>
    </row>
    <row r="650" s="102" customFormat="1" ht="15" spans="1:20">
      <c r="A650" s="104" t="s">
        <v>22</v>
      </c>
      <c r="B650" s="104" t="s">
        <v>89</v>
      </c>
      <c r="C650" s="114"/>
      <c r="D650" s="114"/>
      <c r="E650" s="114"/>
      <c r="F650" s="114"/>
      <c r="G650" s="114"/>
      <c r="H650" s="104">
        <v>40701</v>
      </c>
      <c r="I650" s="104">
        <v>28</v>
      </c>
      <c r="J650" s="104">
        <v>13</v>
      </c>
      <c r="K650" s="104">
        <v>0</v>
      </c>
      <c r="L650" s="104">
        <v>13</v>
      </c>
      <c r="M650" s="104">
        <v>46.266</v>
      </c>
      <c r="N650" s="104" t="s">
        <v>24</v>
      </c>
      <c r="O650" s="104" t="s">
        <v>25</v>
      </c>
      <c r="P650" s="104" t="s">
        <v>26</v>
      </c>
      <c r="Q650" s="104">
        <v>46119.7375</v>
      </c>
      <c r="R650" s="104">
        <v>46119.7375</v>
      </c>
      <c r="S650" s="104">
        <v>46119.8590277778</v>
      </c>
      <c r="T650" s="104" t="s">
        <v>855</v>
      </c>
    </row>
    <row r="651" s="102" customFormat="1" ht="15" spans="1:20">
      <c r="A651" s="104" t="s">
        <v>22</v>
      </c>
      <c r="B651" s="104" t="s">
        <v>91</v>
      </c>
      <c r="C651" s="104" t="s">
        <v>891</v>
      </c>
      <c r="D651" s="104" t="s">
        <v>93</v>
      </c>
      <c r="E651" s="114"/>
      <c r="F651" s="114"/>
      <c r="G651" s="104">
        <v>11111111111111</v>
      </c>
      <c r="H651" s="104">
        <v>4070002</v>
      </c>
      <c r="I651" s="104">
        <v>1456</v>
      </c>
      <c r="J651" s="104">
        <v>1456</v>
      </c>
      <c r="K651" s="104">
        <v>173</v>
      </c>
      <c r="L651" s="104">
        <v>1283</v>
      </c>
      <c r="M651" s="104">
        <v>2558.138</v>
      </c>
      <c r="N651" s="104" t="s">
        <v>24</v>
      </c>
      <c r="O651" s="104" t="s">
        <v>25</v>
      </c>
      <c r="P651" s="104" t="s">
        <v>26</v>
      </c>
      <c r="Q651" s="104">
        <v>46119.6895833333</v>
      </c>
      <c r="R651" s="104">
        <v>46119.7375</v>
      </c>
      <c r="S651" s="104">
        <v>46119.8611111111</v>
      </c>
      <c r="T651" s="104" t="s">
        <v>892</v>
      </c>
    </row>
    <row r="652" s="102" customFormat="1" ht="15" spans="1:20">
      <c r="A652" s="104" t="s">
        <v>22</v>
      </c>
      <c r="B652" s="104" t="s">
        <v>219</v>
      </c>
      <c r="C652" s="104" t="s">
        <v>893</v>
      </c>
      <c r="D652" s="104" t="s">
        <v>239</v>
      </c>
      <c r="E652" s="114"/>
      <c r="F652" s="114"/>
      <c r="G652" s="104">
        <v>11111111111111</v>
      </c>
      <c r="H652" s="104">
        <v>4070003</v>
      </c>
      <c r="I652" s="104">
        <v>3876</v>
      </c>
      <c r="J652" s="104">
        <v>3876</v>
      </c>
      <c r="K652" s="104">
        <v>9</v>
      </c>
      <c r="L652" s="104">
        <v>3867</v>
      </c>
      <c r="M652" s="104">
        <v>4076.01</v>
      </c>
      <c r="N652" s="104" t="s">
        <v>24</v>
      </c>
      <c r="O652" s="104" t="s">
        <v>25</v>
      </c>
      <c r="P652" s="104" t="s">
        <v>26</v>
      </c>
      <c r="Q652" s="104">
        <v>46119.71875</v>
      </c>
      <c r="R652" s="104">
        <v>46119.7375</v>
      </c>
      <c r="S652" s="104">
        <v>46119.8618055556</v>
      </c>
      <c r="T652" s="104" t="s">
        <v>892</v>
      </c>
    </row>
    <row r="653" s="102" customFormat="1" ht="15" spans="1:20">
      <c r="A653" s="104" t="s">
        <v>22</v>
      </c>
      <c r="B653" s="104" t="s">
        <v>219</v>
      </c>
      <c r="C653" s="104" t="s">
        <v>894</v>
      </c>
      <c r="D653" s="104" t="s">
        <v>221</v>
      </c>
      <c r="E653" s="114"/>
      <c r="F653" s="114"/>
      <c r="G653" s="104">
        <v>11111111111111</v>
      </c>
      <c r="H653" s="104">
        <v>4070002</v>
      </c>
      <c r="I653" s="104">
        <v>5178</v>
      </c>
      <c r="J653" s="104">
        <v>5178</v>
      </c>
      <c r="K653" s="104">
        <v>46</v>
      </c>
      <c r="L653" s="104">
        <v>5132</v>
      </c>
      <c r="M653" s="104">
        <v>2572.37</v>
      </c>
      <c r="N653" s="104" t="s">
        <v>24</v>
      </c>
      <c r="O653" s="104" t="s">
        <v>25</v>
      </c>
      <c r="P653" s="104" t="s">
        <v>26</v>
      </c>
      <c r="Q653" s="104">
        <v>46119.7027777778</v>
      </c>
      <c r="R653" s="104">
        <v>46119.7375</v>
      </c>
      <c r="S653" s="104">
        <v>46119.8618055556</v>
      </c>
      <c r="T653" s="104" t="s">
        <v>892</v>
      </c>
    </row>
    <row r="654" s="102" customFormat="1" ht="15" spans="1:20">
      <c r="A654" s="104" t="s">
        <v>22</v>
      </c>
      <c r="B654" s="104" t="s">
        <v>86</v>
      </c>
      <c r="C654" s="114"/>
      <c r="D654" s="114"/>
      <c r="E654" s="114"/>
      <c r="F654" s="114"/>
      <c r="G654" s="114"/>
      <c r="H654" s="104">
        <v>40701</v>
      </c>
      <c r="I654" s="104">
        <v>6</v>
      </c>
      <c r="J654" s="104">
        <v>4</v>
      </c>
      <c r="K654" s="104">
        <v>0</v>
      </c>
      <c r="L654" s="104">
        <v>4</v>
      </c>
      <c r="M654" s="104">
        <v>4.951</v>
      </c>
      <c r="N654" s="104" t="s">
        <v>24</v>
      </c>
      <c r="O654" s="104" t="s">
        <v>25</v>
      </c>
      <c r="P654" s="104" t="s">
        <v>26</v>
      </c>
      <c r="Q654" s="104">
        <v>46119.7152777778</v>
      </c>
      <c r="R654" s="104">
        <v>46119.7534722222</v>
      </c>
      <c r="S654" s="104">
        <v>46119.8590277778</v>
      </c>
      <c r="T654" s="104" t="s">
        <v>890</v>
      </c>
    </row>
    <row r="655" s="102" customFormat="1" ht="15" spans="1:20">
      <c r="A655" s="104" t="s">
        <v>22</v>
      </c>
      <c r="B655" s="104" t="s">
        <v>362</v>
      </c>
      <c r="C655" s="114"/>
      <c r="D655" s="114"/>
      <c r="E655" s="114"/>
      <c r="F655" s="114"/>
      <c r="G655" s="114"/>
      <c r="H655" s="104" t="s">
        <v>97</v>
      </c>
      <c r="I655" s="104">
        <v>176078</v>
      </c>
      <c r="J655" s="104">
        <v>6102</v>
      </c>
      <c r="K655" s="104">
        <v>0</v>
      </c>
      <c r="L655" s="104">
        <v>6102</v>
      </c>
      <c r="M655" s="104">
        <v>86654.575</v>
      </c>
      <c r="N655" s="104" t="s">
        <v>24</v>
      </c>
      <c r="O655" s="104" t="s">
        <v>70</v>
      </c>
      <c r="P655" s="104" t="s">
        <v>895</v>
      </c>
      <c r="Q655" s="114"/>
      <c r="R655" s="104">
        <v>46119</v>
      </c>
      <c r="S655" s="114"/>
      <c r="T655" s="114"/>
    </row>
    <row r="656" s="102" customFormat="1" ht="15" spans="1:20">
      <c r="A656" s="104" t="s">
        <v>22</v>
      </c>
      <c r="B656" s="104" t="s">
        <v>99</v>
      </c>
      <c r="C656" s="104" t="s">
        <v>99</v>
      </c>
      <c r="D656" s="104" t="s">
        <v>29</v>
      </c>
      <c r="E656" s="114"/>
      <c r="F656" s="114"/>
      <c r="G656" s="114"/>
      <c r="H656" s="104" t="s">
        <v>99</v>
      </c>
      <c r="I656" s="104">
        <v>8096</v>
      </c>
      <c r="J656" s="104">
        <v>8096</v>
      </c>
      <c r="K656" s="104">
        <v>0</v>
      </c>
      <c r="L656" s="104">
        <v>18</v>
      </c>
      <c r="M656" s="104">
        <v>14378.422</v>
      </c>
      <c r="N656" s="104" t="s">
        <v>24</v>
      </c>
      <c r="O656" s="104" t="s">
        <v>25</v>
      </c>
      <c r="P656" s="104" t="s">
        <v>896</v>
      </c>
      <c r="Q656" s="114"/>
      <c r="R656" s="104">
        <v>46119</v>
      </c>
      <c r="S656" s="114"/>
      <c r="T656" s="114"/>
    </row>
    <row r="657" s="102" customFormat="1" ht="15" spans="1:20">
      <c r="A657" s="104" t="s">
        <v>22</v>
      </c>
      <c r="B657" s="104" t="s">
        <v>113</v>
      </c>
      <c r="C657" s="104" t="s">
        <v>897</v>
      </c>
      <c r="D657" s="104" t="s">
        <v>115</v>
      </c>
      <c r="E657" s="114"/>
      <c r="F657" s="114"/>
      <c r="G657" s="114"/>
      <c r="H657" s="104">
        <v>4060001</v>
      </c>
      <c r="I657" s="104">
        <v>798</v>
      </c>
      <c r="J657" s="104">
        <v>358</v>
      </c>
      <c r="K657" s="104">
        <v>0</v>
      </c>
      <c r="L657" s="104">
        <v>358</v>
      </c>
      <c r="M657" s="104">
        <v>1257.913</v>
      </c>
      <c r="N657" s="104" t="s">
        <v>24</v>
      </c>
      <c r="O657" s="104" t="s">
        <v>70</v>
      </c>
      <c r="P657" s="104" t="s">
        <v>106</v>
      </c>
      <c r="Q657" s="104">
        <v>46119.13125</v>
      </c>
      <c r="R657" s="104">
        <v>46119.1319444444</v>
      </c>
      <c r="S657" s="104">
        <v>46119.1569444444</v>
      </c>
      <c r="T657" s="104" t="s">
        <v>116</v>
      </c>
    </row>
    <row r="658" s="102" customFormat="1" ht="15" spans="1:20">
      <c r="A658" s="104" t="s">
        <v>22</v>
      </c>
      <c r="B658" s="104" t="s">
        <v>117</v>
      </c>
      <c r="C658" s="104" t="s">
        <v>898</v>
      </c>
      <c r="D658" s="104" t="s">
        <v>119</v>
      </c>
      <c r="E658" s="114"/>
      <c r="F658" s="114"/>
      <c r="G658" s="114"/>
      <c r="H658" s="104">
        <v>4070001</v>
      </c>
      <c r="I658" s="104">
        <v>2849</v>
      </c>
      <c r="J658" s="104">
        <v>1566</v>
      </c>
      <c r="K658" s="104">
        <v>368</v>
      </c>
      <c r="L658" s="104">
        <v>1198</v>
      </c>
      <c r="M658" s="104">
        <v>5156.397</v>
      </c>
      <c r="N658" s="104" t="s">
        <v>24</v>
      </c>
      <c r="O658" s="104" t="s">
        <v>70</v>
      </c>
      <c r="P658" s="104" t="s">
        <v>106</v>
      </c>
      <c r="Q658" s="104">
        <v>46119.1444444444</v>
      </c>
      <c r="R658" s="104">
        <v>46119.1576388889</v>
      </c>
      <c r="S658" s="104">
        <v>46119.1840277778</v>
      </c>
      <c r="T658" s="104" t="s">
        <v>745</v>
      </c>
    </row>
    <row r="659" s="102" customFormat="1" ht="15" spans="1:20">
      <c r="A659" s="104" t="s">
        <v>22</v>
      </c>
      <c r="B659" s="104" t="s">
        <v>121</v>
      </c>
      <c r="C659" s="104" t="s">
        <v>899</v>
      </c>
      <c r="D659" s="104" t="s">
        <v>516</v>
      </c>
      <c r="E659" s="104" t="s">
        <v>517</v>
      </c>
      <c r="F659" s="104" t="s">
        <v>518</v>
      </c>
      <c r="G659" s="114"/>
      <c r="H659" s="104">
        <v>4070001</v>
      </c>
      <c r="I659" s="104">
        <v>20355</v>
      </c>
      <c r="J659" s="104">
        <v>3860</v>
      </c>
      <c r="K659" s="104">
        <v>86</v>
      </c>
      <c r="L659" s="104">
        <v>3774</v>
      </c>
      <c r="M659" s="104">
        <v>14291.252</v>
      </c>
      <c r="N659" s="104" t="s">
        <v>24</v>
      </c>
      <c r="O659" s="104" t="s">
        <v>70</v>
      </c>
      <c r="P659" s="104" t="s">
        <v>106</v>
      </c>
      <c r="Q659" s="104">
        <v>46119.15</v>
      </c>
      <c r="R659" s="104">
        <v>46119.1652777778</v>
      </c>
      <c r="S659" s="104">
        <v>46119.2118055556</v>
      </c>
      <c r="T659" s="104" t="s">
        <v>586</v>
      </c>
    </row>
    <row r="660" s="102" customFormat="1" ht="15" spans="1:20">
      <c r="A660" s="104" t="s">
        <v>22</v>
      </c>
      <c r="B660" s="104" t="s">
        <v>127</v>
      </c>
      <c r="C660" s="114"/>
      <c r="D660" s="104" t="s">
        <v>29</v>
      </c>
      <c r="E660" s="114"/>
      <c r="F660" s="114"/>
      <c r="G660" s="114"/>
      <c r="H660" s="104">
        <v>4071865</v>
      </c>
      <c r="I660" s="104">
        <v>53</v>
      </c>
      <c r="J660" s="104">
        <v>19</v>
      </c>
      <c r="K660" s="104">
        <v>0</v>
      </c>
      <c r="L660" s="104">
        <v>19</v>
      </c>
      <c r="M660" s="104">
        <v>7.676</v>
      </c>
      <c r="N660" s="104" t="s">
        <v>24</v>
      </c>
      <c r="O660" s="104" t="s">
        <v>25</v>
      </c>
      <c r="P660" s="104" t="s">
        <v>106</v>
      </c>
      <c r="Q660" s="104">
        <v>46119.1868055556</v>
      </c>
      <c r="R660" s="104">
        <v>46119.1868055556</v>
      </c>
      <c r="S660" s="104">
        <v>46119.2118055556</v>
      </c>
      <c r="T660" s="104" t="s">
        <v>482</v>
      </c>
    </row>
    <row r="661" s="102" customFormat="1" ht="15" spans="1:20">
      <c r="A661" s="104" t="s">
        <v>22</v>
      </c>
      <c r="B661" s="104" t="s">
        <v>129</v>
      </c>
      <c r="C661" s="114"/>
      <c r="D661" s="104" t="s">
        <v>29</v>
      </c>
      <c r="E661" s="114"/>
      <c r="F661" s="114"/>
      <c r="G661" s="114"/>
      <c r="H661" s="104">
        <v>4071844</v>
      </c>
      <c r="I661" s="104">
        <v>106</v>
      </c>
      <c r="J661" s="104">
        <v>97</v>
      </c>
      <c r="K661" s="104">
        <v>1</v>
      </c>
      <c r="L661" s="104">
        <v>96</v>
      </c>
      <c r="M661" s="104">
        <v>0</v>
      </c>
      <c r="N661" s="104" t="s">
        <v>24</v>
      </c>
      <c r="O661" s="104" t="s">
        <v>25</v>
      </c>
      <c r="P661" s="104" t="s">
        <v>106</v>
      </c>
      <c r="Q661" s="104">
        <v>46119.2097222222</v>
      </c>
      <c r="R661" s="104">
        <v>46119.2097222222</v>
      </c>
      <c r="S661" s="104">
        <v>46119.2118055556</v>
      </c>
      <c r="T661" s="104" t="s">
        <v>558</v>
      </c>
    </row>
    <row r="662" s="102" customFormat="1" ht="15" spans="1:20">
      <c r="A662" s="104" t="s">
        <v>22</v>
      </c>
      <c r="B662" s="104" t="s">
        <v>28</v>
      </c>
      <c r="C662" s="114"/>
      <c r="D662" s="104" t="s">
        <v>29</v>
      </c>
      <c r="E662" s="114"/>
      <c r="F662" s="114"/>
      <c r="G662" s="114"/>
      <c r="H662" s="104">
        <v>4072112</v>
      </c>
      <c r="I662" s="104">
        <v>0</v>
      </c>
      <c r="J662" s="104">
        <v>82</v>
      </c>
      <c r="K662" s="104">
        <v>2</v>
      </c>
      <c r="L662" s="104">
        <v>80</v>
      </c>
      <c r="M662" s="104">
        <v>0</v>
      </c>
      <c r="N662" s="104" t="s">
        <v>24</v>
      </c>
      <c r="O662" s="104" t="s">
        <v>25</v>
      </c>
      <c r="P662" s="104" t="s">
        <v>106</v>
      </c>
      <c r="Q662" s="104">
        <v>46119.2333333333</v>
      </c>
      <c r="R662" s="104">
        <v>46119.2333333333</v>
      </c>
      <c r="S662" s="104">
        <v>46119.5972222222</v>
      </c>
      <c r="T662" s="104" t="s">
        <v>900</v>
      </c>
    </row>
    <row r="663" s="102" customFormat="1" ht="15" spans="1:20">
      <c r="A663" s="104" t="s">
        <v>22</v>
      </c>
      <c r="B663" s="104" t="s">
        <v>28</v>
      </c>
      <c r="C663" s="114"/>
      <c r="D663" s="104" t="s">
        <v>29</v>
      </c>
      <c r="E663" s="114"/>
      <c r="F663" s="114"/>
      <c r="G663" s="114"/>
      <c r="H663" s="104">
        <v>4072113</v>
      </c>
      <c r="I663" s="104">
        <v>0</v>
      </c>
      <c r="J663" s="104">
        <v>39</v>
      </c>
      <c r="K663" s="104">
        <v>0</v>
      </c>
      <c r="L663" s="104">
        <v>39</v>
      </c>
      <c r="M663" s="104">
        <v>0</v>
      </c>
      <c r="N663" s="104" t="s">
        <v>24</v>
      </c>
      <c r="O663" s="104" t="s">
        <v>25</v>
      </c>
      <c r="P663" s="104" t="s">
        <v>106</v>
      </c>
      <c r="Q663" s="104">
        <v>46119.2694444444</v>
      </c>
      <c r="R663" s="104">
        <v>46119.2694444444</v>
      </c>
      <c r="S663" s="104">
        <v>46119.5972222222</v>
      </c>
      <c r="T663" s="104" t="s">
        <v>901</v>
      </c>
    </row>
    <row r="664" s="102" customFormat="1" ht="15" spans="1:20">
      <c r="A664" s="104" t="s">
        <v>22</v>
      </c>
      <c r="B664" s="104" t="s">
        <v>132</v>
      </c>
      <c r="C664" s="104" t="s">
        <v>902</v>
      </c>
      <c r="D664" s="104" t="s">
        <v>134</v>
      </c>
      <c r="E664" s="114"/>
      <c r="F664" s="114"/>
      <c r="G664" s="114"/>
      <c r="H664" s="104">
        <v>4060001</v>
      </c>
      <c r="I664" s="104">
        <v>574</v>
      </c>
      <c r="J664" s="104">
        <v>523</v>
      </c>
      <c r="K664" s="104">
        <v>6</v>
      </c>
      <c r="L664" s="104">
        <v>517</v>
      </c>
      <c r="M664" s="104">
        <v>1969.009</v>
      </c>
      <c r="N664" s="104" t="s">
        <v>24</v>
      </c>
      <c r="O664" s="104" t="s">
        <v>70</v>
      </c>
      <c r="P664" s="104" t="s">
        <v>106</v>
      </c>
      <c r="Q664" s="104">
        <v>46119.2694444444</v>
      </c>
      <c r="R664" s="104">
        <v>46119.2736111111</v>
      </c>
      <c r="S664" s="104">
        <v>46119.3034722222</v>
      </c>
      <c r="T664" s="104" t="s">
        <v>459</v>
      </c>
    </row>
    <row r="665" s="102" customFormat="1" ht="15" spans="1:20">
      <c r="A665" s="104" t="s">
        <v>22</v>
      </c>
      <c r="B665" s="104" t="s">
        <v>138</v>
      </c>
      <c r="C665" s="104" t="s">
        <v>903</v>
      </c>
      <c r="D665" s="104" t="s">
        <v>140</v>
      </c>
      <c r="E665" s="114"/>
      <c r="F665" s="114"/>
      <c r="G665" s="114"/>
      <c r="H665" s="104">
        <v>4070001</v>
      </c>
      <c r="I665" s="104">
        <v>3420</v>
      </c>
      <c r="J665" s="104">
        <v>883</v>
      </c>
      <c r="K665" s="104">
        <v>1</v>
      </c>
      <c r="L665" s="104">
        <v>882</v>
      </c>
      <c r="M665" s="104">
        <v>3415.744</v>
      </c>
      <c r="N665" s="104" t="s">
        <v>24</v>
      </c>
      <c r="O665" s="104" t="s">
        <v>70</v>
      </c>
      <c r="P665" s="104" t="s">
        <v>26</v>
      </c>
      <c r="Q665" s="104">
        <v>46119.3027777778</v>
      </c>
      <c r="R665" s="104">
        <v>46119.3034722222</v>
      </c>
      <c r="S665" s="104">
        <v>46119.3180555556</v>
      </c>
      <c r="T665" s="104" t="s">
        <v>120</v>
      </c>
    </row>
    <row r="666" s="102" customFormat="1" ht="15" spans="1:20">
      <c r="A666" s="104" t="s">
        <v>22</v>
      </c>
      <c r="B666" s="104" t="s">
        <v>129</v>
      </c>
      <c r="C666" s="114"/>
      <c r="D666" s="104" t="s">
        <v>29</v>
      </c>
      <c r="E666" s="114"/>
      <c r="F666" s="114"/>
      <c r="G666" s="114"/>
      <c r="H666" s="104">
        <v>4071845</v>
      </c>
      <c r="I666" s="104">
        <v>22</v>
      </c>
      <c r="J666" s="104">
        <v>13</v>
      </c>
      <c r="K666" s="104">
        <v>0</v>
      </c>
      <c r="L666" s="104">
        <v>13</v>
      </c>
      <c r="M666" s="104">
        <v>0</v>
      </c>
      <c r="N666" s="104" t="s">
        <v>24</v>
      </c>
      <c r="O666" s="104" t="s">
        <v>25</v>
      </c>
      <c r="P666" s="104" t="s">
        <v>26</v>
      </c>
      <c r="Q666" s="104">
        <v>46119.3145833333</v>
      </c>
      <c r="R666" s="104">
        <v>46119.3145833333</v>
      </c>
      <c r="S666" s="104">
        <v>46119.5972222222</v>
      </c>
      <c r="T666" s="104" t="s">
        <v>904</v>
      </c>
    </row>
    <row r="667" s="102" customFormat="1" ht="15" spans="1:20">
      <c r="A667" s="104" t="s">
        <v>22</v>
      </c>
      <c r="B667" s="104" t="s">
        <v>148</v>
      </c>
      <c r="C667" s="104" t="s">
        <v>905</v>
      </c>
      <c r="D667" s="104" t="s">
        <v>150</v>
      </c>
      <c r="E667" s="104" t="s">
        <v>151</v>
      </c>
      <c r="F667" s="104" t="s">
        <v>152</v>
      </c>
      <c r="G667" s="114"/>
      <c r="H667" s="104">
        <v>4060001</v>
      </c>
      <c r="I667" s="104">
        <v>7749</v>
      </c>
      <c r="J667" s="104">
        <v>1576</v>
      </c>
      <c r="K667" s="104">
        <v>1</v>
      </c>
      <c r="L667" s="104">
        <v>1575</v>
      </c>
      <c r="M667" s="104">
        <v>6227.998</v>
      </c>
      <c r="N667" s="104" t="s">
        <v>24</v>
      </c>
      <c r="O667" s="104" t="s">
        <v>70</v>
      </c>
      <c r="P667" s="104" t="s">
        <v>26</v>
      </c>
      <c r="Q667" s="104">
        <v>46119.3451388889</v>
      </c>
      <c r="R667" s="104">
        <v>46119.3506944444</v>
      </c>
      <c r="S667" s="104">
        <v>46119.3722222222</v>
      </c>
      <c r="T667" s="104" t="s">
        <v>141</v>
      </c>
    </row>
    <row r="668" s="102" customFormat="1" ht="30" spans="1:20">
      <c r="A668" s="104" t="s">
        <v>22</v>
      </c>
      <c r="B668" s="104" t="s">
        <v>154</v>
      </c>
      <c r="C668" s="114"/>
      <c r="D668" s="104" t="s">
        <v>29</v>
      </c>
      <c r="E668" s="114"/>
      <c r="F668" s="114"/>
      <c r="G668" s="114"/>
      <c r="H668" s="104">
        <v>4071022</v>
      </c>
      <c r="I668" s="104">
        <v>365</v>
      </c>
      <c r="J668" s="104">
        <v>365</v>
      </c>
      <c r="K668" s="104">
        <v>0</v>
      </c>
      <c r="L668" s="104">
        <v>365</v>
      </c>
      <c r="M668" s="104">
        <v>160.786</v>
      </c>
      <c r="N668" s="104" t="s">
        <v>24</v>
      </c>
      <c r="O668" s="104" t="s">
        <v>25</v>
      </c>
      <c r="P668" s="104" t="s">
        <v>155</v>
      </c>
      <c r="Q668" s="104">
        <v>46119.3659722222</v>
      </c>
      <c r="R668" s="104">
        <v>46119.3659722222</v>
      </c>
      <c r="S668" s="114"/>
      <c r="T668" s="114"/>
    </row>
    <row r="669" s="102" customFormat="1" ht="15" spans="1:20">
      <c r="A669" s="104" t="s">
        <v>22</v>
      </c>
      <c r="B669" s="104" t="s">
        <v>142</v>
      </c>
      <c r="C669" s="104" t="s">
        <v>906</v>
      </c>
      <c r="D669" s="104" t="s">
        <v>123</v>
      </c>
      <c r="E669" s="104" t="s">
        <v>124</v>
      </c>
      <c r="F669" s="104" t="s">
        <v>125</v>
      </c>
      <c r="G669" s="114"/>
      <c r="H669" s="104">
        <v>4070001</v>
      </c>
      <c r="I669" s="104">
        <v>14301</v>
      </c>
      <c r="J669" s="104">
        <v>2974</v>
      </c>
      <c r="K669" s="104">
        <v>1</v>
      </c>
      <c r="L669" s="104">
        <v>2973</v>
      </c>
      <c r="M669" s="104">
        <v>10385.538</v>
      </c>
      <c r="N669" s="104" t="s">
        <v>24</v>
      </c>
      <c r="O669" s="104" t="s">
        <v>70</v>
      </c>
      <c r="P669" s="104" t="s">
        <v>26</v>
      </c>
      <c r="Q669" s="104">
        <v>46119.3631944444</v>
      </c>
      <c r="R669" s="104">
        <v>46119.3701388889</v>
      </c>
      <c r="S669" s="104">
        <v>46119.4236111111</v>
      </c>
      <c r="T669" s="104" t="s">
        <v>452</v>
      </c>
    </row>
    <row r="670" s="102" customFormat="1" ht="15" spans="1:20">
      <c r="A670" s="104" t="s">
        <v>22</v>
      </c>
      <c r="B670" s="104" t="s">
        <v>159</v>
      </c>
      <c r="C670" s="104" t="s">
        <v>907</v>
      </c>
      <c r="D670" s="104" t="s">
        <v>161</v>
      </c>
      <c r="E670" s="114"/>
      <c r="F670" s="114"/>
      <c r="G670" s="114"/>
      <c r="H670" s="104">
        <v>4070001</v>
      </c>
      <c r="I670" s="104">
        <v>419</v>
      </c>
      <c r="J670" s="104">
        <v>419</v>
      </c>
      <c r="K670" s="104">
        <v>1</v>
      </c>
      <c r="L670" s="104">
        <v>418</v>
      </c>
      <c r="M670" s="104">
        <v>0</v>
      </c>
      <c r="N670" s="104" t="s">
        <v>24</v>
      </c>
      <c r="O670" s="104" t="s">
        <v>70</v>
      </c>
      <c r="P670" s="104" t="s">
        <v>26</v>
      </c>
      <c r="Q670" s="104">
        <v>46119.4159722222</v>
      </c>
      <c r="R670" s="104">
        <v>46119.4201388889</v>
      </c>
      <c r="S670" s="104">
        <v>46119.4347222222</v>
      </c>
      <c r="T670" s="104" t="s">
        <v>372</v>
      </c>
    </row>
    <row r="671" s="102" customFormat="1" ht="15" spans="1:20">
      <c r="A671" s="104" t="s">
        <v>22</v>
      </c>
      <c r="B671" s="104" t="s">
        <v>127</v>
      </c>
      <c r="C671" s="114"/>
      <c r="D671" s="104" t="s">
        <v>29</v>
      </c>
      <c r="E671" s="114"/>
      <c r="F671" s="114"/>
      <c r="G671" s="114"/>
      <c r="H671" s="104">
        <v>4071866</v>
      </c>
      <c r="I671" s="104">
        <v>205</v>
      </c>
      <c r="J671" s="104">
        <v>20</v>
      </c>
      <c r="K671" s="104">
        <v>0</v>
      </c>
      <c r="L671" s="104">
        <v>20</v>
      </c>
      <c r="M671" s="104">
        <v>6.338</v>
      </c>
      <c r="N671" s="104" t="s">
        <v>24</v>
      </c>
      <c r="O671" s="104" t="s">
        <v>25</v>
      </c>
      <c r="P671" s="104" t="s">
        <v>26</v>
      </c>
      <c r="Q671" s="104">
        <v>46119.4222222222</v>
      </c>
      <c r="R671" s="104">
        <v>46119.4222222222</v>
      </c>
      <c r="S671" s="104">
        <v>46119.5972222222</v>
      </c>
      <c r="T671" s="104" t="s">
        <v>908</v>
      </c>
    </row>
    <row r="672" s="102" customFormat="1" ht="15" spans="1:20">
      <c r="A672" s="104" t="s">
        <v>22</v>
      </c>
      <c r="B672" s="104" t="s">
        <v>90</v>
      </c>
      <c r="C672" s="114"/>
      <c r="D672" s="114"/>
      <c r="E672" s="114"/>
      <c r="F672" s="114"/>
      <c r="G672" s="114"/>
      <c r="H672" s="104">
        <v>40701</v>
      </c>
      <c r="I672" s="104">
        <v>1</v>
      </c>
      <c r="J672" s="104">
        <v>1</v>
      </c>
      <c r="K672" s="104">
        <v>0</v>
      </c>
      <c r="L672" s="104">
        <v>1</v>
      </c>
      <c r="M672" s="104">
        <v>0.087</v>
      </c>
      <c r="N672" s="104" t="s">
        <v>24</v>
      </c>
      <c r="O672" s="104" t="s">
        <v>25</v>
      </c>
      <c r="P672" s="104" t="s">
        <v>26</v>
      </c>
      <c r="Q672" s="104">
        <v>46119.4645833333</v>
      </c>
      <c r="R672" s="104">
        <v>46119.4645833333</v>
      </c>
      <c r="S672" s="104">
        <v>46119.8583333333</v>
      </c>
      <c r="T672" s="104" t="s">
        <v>753</v>
      </c>
    </row>
    <row r="673" s="102" customFormat="1" ht="15" spans="1:20">
      <c r="A673" s="104" t="s">
        <v>22</v>
      </c>
      <c r="B673" s="104" t="s">
        <v>31</v>
      </c>
      <c r="C673" s="114"/>
      <c r="D673" s="114"/>
      <c r="E673" s="114"/>
      <c r="F673" s="114"/>
      <c r="G673" s="114"/>
      <c r="H673" s="104">
        <v>4073361</v>
      </c>
      <c r="I673" s="104">
        <v>209</v>
      </c>
      <c r="J673" s="104">
        <v>19</v>
      </c>
      <c r="K673" s="104">
        <v>12</v>
      </c>
      <c r="L673" s="104">
        <v>7</v>
      </c>
      <c r="M673" s="104">
        <v>62.46</v>
      </c>
      <c r="N673" s="104" t="s">
        <v>24</v>
      </c>
      <c r="O673" s="104" t="s">
        <v>25</v>
      </c>
      <c r="P673" s="104" t="s">
        <v>26</v>
      </c>
      <c r="Q673" s="104">
        <v>46119.4645833333</v>
      </c>
      <c r="R673" s="104">
        <v>46119.4645833333</v>
      </c>
      <c r="S673" s="104">
        <v>46119.525</v>
      </c>
      <c r="T673" s="104" t="s">
        <v>187</v>
      </c>
    </row>
    <row r="674" s="102" customFormat="1" ht="15" spans="1:20">
      <c r="A674" s="104" t="s">
        <v>22</v>
      </c>
      <c r="B674" s="104" t="s">
        <v>47</v>
      </c>
      <c r="C674" s="114"/>
      <c r="D674" s="114"/>
      <c r="E674" s="114"/>
      <c r="F674" s="114"/>
      <c r="G674" s="114"/>
      <c r="H674" s="104">
        <v>40701</v>
      </c>
      <c r="I674" s="104">
        <v>1</v>
      </c>
      <c r="J674" s="104">
        <v>1</v>
      </c>
      <c r="K674" s="104">
        <v>0</v>
      </c>
      <c r="L674" s="104">
        <v>1</v>
      </c>
      <c r="M674" s="104">
        <v>0.09</v>
      </c>
      <c r="N674" s="104" t="s">
        <v>24</v>
      </c>
      <c r="O674" s="104" t="s">
        <v>25</v>
      </c>
      <c r="P674" s="104" t="s">
        <v>26</v>
      </c>
      <c r="Q674" s="104">
        <v>46119.4652777778</v>
      </c>
      <c r="R674" s="104">
        <v>46119.4652777778</v>
      </c>
      <c r="S674" s="104">
        <v>46119.5972222222</v>
      </c>
      <c r="T674" s="104" t="s">
        <v>191</v>
      </c>
    </row>
    <row r="675" s="102" customFormat="1" ht="15" spans="1:20">
      <c r="A675" s="104" t="s">
        <v>22</v>
      </c>
      <c r="B675" s="104" t="s">
        <v>236</v>
      </c>
      <c r="C675" s="114"/>
      <c r="D675" s="114"/>
      <c r="E675" s="114"/>
      <c r="F675" s="114"/>
      <c r="G675" s="114"/>
      <c r="H675" s="104">
        <v>4074815</v>
      </c>
      <c r="I675" s="104">
        <v>766</v>
      </c>
      <c r="J675" s="104">
        <v>766</v>
      </c>
      <c r="K675" s="104">
        <v>1</v>
      </c>
      <c r="L675" s="104">
        <v>765</v>
      </c>
      <c r="M675" s="104">
        <v>3073.54</v>
      </c>
      <c r="N675" s="104" t="s">
        <v>24</v>
      </c>
      <c r="O675" s="104" t="s">
        <v>25</v>
      </c>
      <c r="P675" s="104" t="s">
        <v>26</v>
      </c>
      <c r="Q675" s="104">
        <v>46119.7618055556</v>
      </c>
      <c r="R675" s="104">
        <v>46119.7618055556</v>
      </c>
      <c r="S675" s="104">
        <v>46119.8618055556</v>
      </c>
      <c r="T675" s="104" t="s">
        <v>32</v>
      </c>
    </row>
    <row r="676" s="102" customFormat="1" ht="15" spans="1:20">
      <c r="A676" s="104" t="s">
        <v>22</v>
      </c>
      <c r="B676" s="104" t="s">
        <v>223</v>
      </c>
      <c r="C676" s="104" t="s">
        <v>909</v>
      </c>
      <c r="D676" s="104" t="s">
        <v>193</v>
      </c>
      <c r="E676" s="114"/>
      <c r="F676" s="114"/>
      <c r="G676" s="104" t="s">
        <v>910</v>
      </c>
      <c r="H676" s="104">
        <v>4070002</v>
      </c>
      <c r="I676" s="104">
        <v>1136</v>
      </c>
      <c r="J676" s="104">
        <v>1136</v>
      </c>
      <c r="K676" s="104">
        <v>0</v>
      </c>
      <c r="L676" s="104">
        <v>1136</v>
      </c>
      <c r="M676" s="104">
        <v>1603.24</v>
      </c>
      <c r="N676" s="104" t="s">
        <v>24</v>
      </c>
      <c r="O676" s="104" t="s">
        <v>25</v>
      </c>
      <c r="P676" s="104" t="s">
        <v>26</v>
      </c>
      <c r="Q676" s="104">
        <v>46119.7618055556</v>
      </c>
      <c r="R676" s="104">
        <v>46119.7618055556</v>
      </c>
      <c r="S676" s="104">
        <v>46119.8618055556</v>
      </c>
      <c r="T676" s="104" t="s">
        <v>32</v>
      </c>
    </row>
    <row r="677" s="102" customFormat="1" ht="15" spans="1:20">
      <c r="A677" s="104" t="s">
        <v>22</v>
      </c>
      <c r="B677" s="104" t="s">
        <v>175</v>
      </c>
      <c r="C677" s="104" t="s">
        <v>911</v>
      </c>
      <c r="D677" s="104" t="s">
        <v>177</v>
      </c>
      <c r="E677" s="114"/>
      <c r="F677" s="114"/>
      <c r="G677" s="104">
        <v>11111111111111</v>
      </c>
      <c r="H677" s="104">
        <v>4070002</v>
      </c>
      <c r="I677" s="104">
        <v>2311</v>
      </c>
      <c r="J677" s="104">
        <v>2311</v>
      </c>
      <c r="K677" s="104">
        <v>127</v>
      </c>
      <c r="L677" s="104">
        <v>2184</v>
      </c>
      <c r="M677" s="104">
        <v>4755.52</v>
      </c>
      <c r="N677" s="104" t="s">
        <v>24</v>
      </c>
      <c r="O677" s="104" t="s">
        <v>25</v>
      </c>
      <c r="P677" s="104" t="s">
        <v>26</v>
      </c>
      <c r="Q677" s="104">
        <v>46119.7222222222</v>
      </c>
      <c r="R677" s="104">
        <v>46119.7618055556</v>
      </c>
      <c r="S677" s="104">
        <v>46119.8611111111</v>
      </c>
      <c r="T677" s="104" t="s">
        <v>912</v>
      </c>
    </row>
    <row r="678" s="102" customFormat="1" ht="15" spans="1:20">
      <c r="A678" s="104" t="s">
        <v>22</v>
      </c>
      <c r="B678" s="104" t="s">
        <v>212</v>
      </c>
      <c r="C678" s="104" t="s">
        <v>913</v>
      </c>
      <c r="D678" s="104" t="s">
        <v>340</v>
      </c>
      <c r="E678" s="114"/>
      <c r="F678" s="114"/>
      <c r="G678" s="114"/>
      <c r="H678" s="104">
        <v>4070002</v>
      </c>
      <c r="I678" s="104">
        <v>608</v>
      </c>
      <c r="J678" s="104">
        <v>608</v>
      </c>
      <c r="K678" s="104">
        <v>41</v>
      </c>
      <c r="L678" s="104">
        <v>567</v>
      </c>
      <c r="M678" s="104">
        <v>1248.136</v>
      </c>
      <c r="N678" s="104" t="s">
        <v>24</v>
      </c>
      <c r="O678" s="104" t="s">
        <v>25</v>
      </c>
      <c r="P678" s="104" t="s">
        <v>26</v>
      </c>
      <c r="Q678" s="104">
        <v>46119.7645833333</v>
      </c>
      <c r="R678" s="104">
        <v>46119.7680555556</v>
      </c>
      <c r="S678" s="104">
        <v>46119.8625</v>
      </c>
      <c r="T678" s="104" t="s">
        <v>914</v>
      </c>
    </row>
    <row r="679" s="102" customFormat="1" ht="15" spans="1:20">
      <c r="A679" s="104" t="s">
        <v>22</v>
      </c>
      <c r="B679" s="104" t="s">
        <v>254</v>
      </c>
      <c r="C679" s="104" t="s">
        <v>915</v>
      </c>
      <c r="D679" s="104" t="s">
        <v>182</v>
      </c>
      <c r="E679" s="114"/>
      <c r="F679" s="114"/>
      <c r="G679" s="114"/>
      <c r="H679" s="104">
        <v>4070001</v>
      </c>
      <c r="I679" s="104">
        <v>5054</v>
      </c>
      <c r="J679" s="104">
        <v>4929</v>
      </c>
      <c r="K679" s="104">
        <v>503</v>
      </c>
      <c r="L679" s="104">
        <v>4426</v>
      </c>
      <c r="M679" s="104">
        <v>3853.273</v>
      </c>
      <c r="N679" s="104" t="s">
        <v>24</v>
      </c>
      <c r="O679" s="104" t="s">
        <v>25</v>
      </c>
      <c r="P679" s="104" t="s">
        <v>26</v>
      </c>
      <c r="Q679" s="104">
        <v>46119.7798611111</v>
      </c>
      <c r="R679" s="104">
        <v>46119.78125</v>
      </c>
      <c r="S679" s="104">
        <v>46119.8604166667</v>
      </c>
      <c r="T679" s="104" t="s">
        <v>916</v>
      </c>
    </row>
    <row r="680" s="102" customFormat="1" ht="15" spans="1:20">
      <c r="A680" s="104" t="s">
        <v>22</v>
      </c>
      <c r="B680" s="104" t="s">
        <v>229</v>
      </c>
      <c r="C680" s="104" t="s">
        <v>917</v>
      </c>
      <c r="D680" s="104" t="s">
        <v>231</v>
      </c>
      <c r="E680" s="114"/>
      <c r="F680" s="114"/>
      <c r="G680" s="114"/>
      <c r="H680" s="104">
        <v>4070002</v>
      </c>
      <c r="I680" s="104">
        <v>2386</v>
      </c>
      <c r="J680" s="104">
        <v>2386</v>
      </c>
      <c r="K680" s="104">
        <v>4</v>
      </c>
      <c r="L680" s="104">
        <v>2382</v>
      </c>
      <c r="M680" s="104">
        <v>3424.33</v>
      </c>
      <c r="N680" s="104" t="s">
        <v>24</v>
      </c>
      <c r="O680" s="104" t="s">
        <v>25</v>
      </c>
      <c r="P680" s="104" t="s">
        <v>26</v>
      </c>
      <c r="Q680" s="104">
        <v>46119.7840277778</v>
      </c>
      <c r="R680" s="104">
        <v>46119.7916666667</v>
      </c>
      <c r="S680" s="104">
        <v>46119.8625</v>
      </c>
      <c r="T680" s="104" t="s">
        <v>721</v>
      </c>
    </row>
    <row r="681" s="102" customFormat="1" ht="15" spans="1:20">
      <c r="A681" s="104" t="s">
        <v>22</v>
      </c>
      <c r="B681" s="104" t="s">
        <v>244</v>
      </c>
      <c r="C681" s="104" t="s">
        <v>918</v>
      </c>
      <c r="D681" s="104" t="s">
        <v>41</v>
      </c>
      <c r="E681" s="114"/>
      <c r="F681" s="114"/>
      <c r="G681" s="114"/>
      <c r="H681" s="104">
        <v>4070001</v>
      </c>
      <c r="I681" s="104">
        <v>216</v>
      </c>
      <c r="J681" s="104">
        <v>15</v>
      </c>
      <c r="K681" s="104">
        <v>3</v>
      </c>
      <c r="L681" s="104">
        <v>12</v>
      </c>
      <c r="M681" s="104">
        <v>176.435</v>
      </c>
      <c r="N681" s="104" t="s">
        <v>24</v>
      </c>
      <c r="O681" s="104" t="s">
        <v>25</v>
      </c>
      <c r="P681" s="104" t="s">
        <v>26</v>
      </c>
      <c r="Q681" s="104">
        <v>46119.7840277778</v>
      </c>
      <c r="R681" s="104">
        <v>46119.7916666667</v>
      </c>
      <c r="S681" s="104">
        <v>46119.8597222222</v>
      </c>
      <c r="T681" s="104" t="s">
        <v>440</v>
      </c>
    </row>
    <row r="682" s="102" customFormat="1" ht="15" spans="1:20">
      <c r="A682" s="104" t="s">
        <v>22</v>
      </c>
      <c r="B682" s="104" t="s">
        <v>81</v>
      </c>
      <c r="C682" s="104" t="s">
        <v>919</v>
      </c>
      <c r="D682" s="104" t="s">
        <v>38</v>
      </c>
      <c r="E682" s="114"/>
      <c r="F682" s="114"/>
      <c r="G682" s="114"/>
      <c r="H682" s="104">
        <v>4070001</v>
      </c>
      <c r="I682" s="104">
        <v>930</v>
      </c>
      <c r="J682" s="104">
        <v>930</v>
      </c>
      <c r="K682" s="104">
        <v>15</v>
      </c>
      <c r="L682" s="104">
        <v>915</v>
      </c>
      <c r="M682" s="104">
        <v>712.53</v>
      </c>
      <c r="N682" s="104" t="s">
        <v>24</v>
      </c>
      <c r="O682" s="104" t="s">
        <v>25</v>
      </c>
      <c r="P682" s="104" t="s">
        <v>26</v>
      </c>
      <c r="Q682" s="104">
        <v>46119.7875</v>
      </c>
      <c r="R682" s="104">
        <v>46119.7916666667</v>
      </c>
      <c r="S682" s="104">
        <v>46119.8590277778</v>
      </c>
      <c r="T682" s="104" t="s">
        <v>437</v>
      </c>
    </row>
    <row r="683" s="102" customFormat="1" ht="15" spans="1:20">
      <c r="A683" s="104" t="s">
        <v>22</v>
      </c>
      <c r="B683" s="104" t="s">
        <v>219</v>
      </c>
      <c r="C683" s="104" t="s">
        <v>920</v>
      </c>
      <c r="D683" s="104" t="s">
        <v>252</v>
      </c>
      <c r="E683" s="114"/>
      <c r="F683" s="114"/>
      <c r="G683" s="114"/>
      <c r="H683" s="104">
        <v>4070001</v>
      </c>
      <c r="I683" s="104">
        <v>6313</v>
      </c>
      <c r="J683" s="104">
        <v>6041</v>
      </c>
      <c r="K683" s="104">
        <v>188</v>
      </c>
      <c r="L683" s="104">
        <v>5853</v>
      </c>
      <c r="M683" s="104">
        <v>4894.556</v>
      </c>
      <c r="N683" s="104" t="s">
        <v>24</v>
      </c>
      <c r="O683" s="104" t="s">
        <v>25</v>
      </c>
      <c r="P683" s="104" t="s">
        <v>26</v>
      </c>
      <c r="Q683" s="104">
        <v>46119.7930555556</v>
      </c>
      <c r="R683" s="104">
        <v>46119.7951388889</v>
      </c>
      <c r="S683" s="104">
        <v>46119.8618055556</v>
      </c>
      <c r="T683" s="104" t="s">
        <v>411</v>
      </c>
    </row>
    <row r="684" s="102" customFormat="1" ht="15" spans="1:20">
      <c r="A684" s="104" t="s">
        <v>22</v>
      </c>
      <c r="B684" s="104" t="s">
        <v>249</v>
      </c>
      <c r="C684" s="104" t="s">
        <v>921</v>
      </c>
      <c r="D684" s="104" t="s">
        <v>55</v>
      </c>
      <c r="E684" s="114"/>
      <c r="F684" s="114"/>
      <c r="G684" s="114"/>
      <c r="H684" s="104">
        <v>4070001</v>
      </c>
      <c r="I684" s="104">
        <v>75</v>
      </c>
      <c r="J684" s="104">
        <v>75</v>
      </c>
      <c r="K684" s="104">
        <v>0</v>
      </c>
      <c r="L684" s="104">
        <v>75</v>
      </c>
      <c r="M684" s="104">
        <v>74.04</v>
      </c>
      <c r="N684" s="104" t="s">
        <v>24</v>
      </c>
      <c r="O684" s="104" t="s">
        <v>25</v>
      </c>
      <c r="P684" s="104" t="s">
        <v>26</v>
      </c>
      <c r="Q684" s="104">
        <v>46119.79375</v>
      </c>
      <c r="R684" s="104">
        <v>46119.7951388889</v>
      </c>
      <c r="S684" s="104">
        <v>46119.8604166667</v>
      </c>
      <c r="T684" s="104" t="s">
        <v>741</v>
      </c>
    </row>
    <row r="685" s="102" customFormat="1" ht="15" spans="1:20">
      <c r="A685" s="104" t="s">
        <v>22</v>
      </c>
      <c r="B685" s="104" t="s">
        <v>164</v>
      </c>
      <c r="C685" s="104" t="s">
        <v>922</v>
      </c>
      <c r="D685" s="104" t="s">
        <v>166</v>
      </c>
      <c r="E685" s="114"/>
      <c r="F685" s="114"/>
      <c r="G685" s="114"/>
      <c r="H685" s="104">
        <v>4070002</v>
      </c>
      <c r="I685" s="104">
        <v>4937</v>
      </c>
      <c r="J685" s="104">
        <v>4937</v>
      </c>
      <c r="K685" s="104">
        <v>3</v>
      </c>
      <c r="L685" s="104">
        <v>4934</v>
      </c>
      <c r="M685" s="104">
        <v>8941.93</v>
      </c>
      <c r="N685" s="104" t="s">
        <v>24</v>
      </c>
      <c r="O685" s="104" t="s">
        <v>25</v>
      </c>
      <c r="P685" s="104" t="s">
        <v>26</v>
      </c>
      <c r="Q685" s="104">
        <v>46119.7965277778</v>
      </c>
      <c r="R685" s="104">
        <v>46119.8048611111</v>
      </c>
      <c r="S685" s="104">
        <v>46119.8611111111</v>
      </c>
      <c r="T685" s="104" t="s">
        <v>416</v>
      </c>
    </row>
    <row r="686" s="102" customFormat="1" ht="15" spans="1:20">
      <c r="A686" s="104" t="s">
        <v>22</v>
      </c>
      <c r="B686" s="104" t="s">
        <v>257</v>
      </c>
      <c r="C686" s="104" t="s">
        <v>923</v>
      </c>
      <c r="D686" s="104" t="s">
        <v>259</v>
      </c>
      <c r="E686" s="114"/>
      <c r="F686" s="114"/>
      <c r="G686" s="114"/>
      <c r="H686" s="104">
        <v>4070001</v>
      </c>
      <c r="I686" s="104">
        <v>1888</v>
      </c>
      <c r="J686" s="104">
        <v>1732</v>
      </c>
      <c r="K686" s="104">
        <v>8</v>
      </c>
      <c r="L686" s="104">
        <v>1724</v>
      </c>
      <c r="M686" s="104">
        <v>2831.635</v>
      </c>
      <c r="N686" s="104" t="s">
        <v>24</v>
      </c>
      <c r="O686" s="104" t="s">
        <v>25</v>
      </c>
      <c r="P686" s="104" t="s">
        <v>26</v>
      </c>
      <c r="Q686" s="104">
        <v>46119.8013888889</v>
      </c>
      <c r="R686" s="104">
        <v>46119.8055555556</v>
      </c>
      <c r="S686" s="104">
        <v>46119.8625</v>
      </c>
      <c r="T686" s="104" t="s">
        <v>281</v>
      </c>
    </row>
    <row r="687" s="102" customFormat="1" ht="15" spans="1:20">
      <c r="A687" s="104" t="s">
        <v>22</v>
      </c>
      <c r="B687" s="104" t="s">
        <v>305</v>
      </c>
      <c r="C687" s="104" t="s">
        <v>924</v>
      </c>
      <c r="D687" s="104" t="s">
        <v>307</v>
      </c>
      <c r="E687" s="114"/>
      <c r="F687" s="114"/>
      <c r="G687" s="114"/>
      <c r="H687" s="104">
        <v>4070001</v>
      </c>
      <c r="I687" s="104">
        <v>1263</v>
      </c>
      <c r="J687" s="104">
        <v>989</v>
      </c>
      <c r="K687" s="104">
        <v>0</v>
      </c>
      <c r="L687" s="104">
        <v>989</v>
      </c>
      <c r="M687" s="104">
        <v>714.724</v>
      </c>
      <c r="N687" s="104" t="s">
        <v>24</v>
      </c>
      <c r="O687" s="104" t="s">
        <v>25</v>
      </c>
      <c r="P687" s="104" t="s">
        <v>26</v>
      </c>
      <c r="Q687" s="104">
        <v>46119.8027777778</v>
      </c>
      <c r="R687" s="104">
        <v>46119.8055555556</v>
      </c>
      <c r="S687" s="104">
        <v>46119.8618055556</v>
      </c>
      <c r="T687" s="104" t="s">
        <v>351</v>
      </c>
    </row>
    <row r="688" s="102" customFormat="1" ht="15" spans="1:20">
      <c r="A688" s="104" t="s">
        <v>22</v>
      </c>
      <c r="B688" s="104" t="s">
        <v>319</v>
      </c>
      <c r="C688" s="104" t="s">
        <v>925</v>
      </c>
      <c r="D688" s="104" t="s">
        <v>718</v>
      </c>
      <c r="E688" s="114"/>
      <c r="F688" s="114"/>
      <c r="G688" s="114"/>
      <c r="H688" s="104">
        <v>4070001</v>
      </c>
      <c r="I688" s="104">
        <v>823</v>
      </c>
      <c r="J688" s="104">
        <v>387</v>
      </c>
      <c r="K688" s="104">
        <v>10</v>
      </c>
      <c r="L688" s="104">
        <v>377</v>
      </c>
      <c r="M688" s="104">
        <v>659.395</v>
      </c>
      <c r="N688" s="104" t="s">
        <v>24</v>
      </c>
      <c r="O688" s="104" t="s">
        <v>25</v>
      </c>
      <c r="P688" s="104" t="s">
        <v>26</v>
      </c>
      <c r="Q688" s="104">
        <v>46119.8048611111</v>
      </c>
      <c r="R688" s="104">
        <v>46119.8055555556</v>
      </c>
      <c r="S688" s="104">
        <v>46119.8618055556</v>
      </c>
      <c r="T688" s="104" t="s">
        <v>416</v>
      </c>
    </row>
    <row r="689" s="102" customFormat="1" ht="15" spans="1:20">
      <c r="A689" s="104" t="s">
        <v>22</v>
      </c>
      <c r="B689" s="104" t="s">
        <v>263</v>
      </c>
      <c r="C689" s="104" t="s">
        <v>926</v>
      </c>
      <c r="D689" s="104" t="s">
        <v>265</v>
      </c>
      <c r="E689" s="114"/>
      <c r="F689" s="114"/>
      <c r="G689" s="114"/>
      <c r="H689" s="104">
        <v>4070001</v>
      </c>
      <c r="I689" s="104">
        <v>2492</v>
      </c>
      <c r="J689" s="104">
        <v>1460</v>
      </c>
      <c r="K689" s="104">
        <v>105</v>
      </c>
      <c r="L689" s="104">
        <v>1355</v>
      </c>
      <c r="M689" s="104">
        <v>2807.444</v>
      </c>
      <c r="N689" s="104" t="s">
        <v>24</v>
      </c>
      <c r="O689" s="104" t="s">
        <v>25</v>
      </c>
      <c r="P689" s="104" t="s">
        <v>26</v>
      </c>
      <c r="Q689" s="104">
        <v>46119.8013888889</v>
      </c>
      <c r="R689" s="104">
        <v>46119.8055555556</v>
      </c>
      <c r="S689" s="104">
        <v>46119.8597222222</v>
      </c>
      <c r="T689" s="104" t="s">
        <v>452</v>
      </c>
    </row>
    <row r="690" s="102" customFormat="1" ht="15" spans="1:20">
      <c r="A690" s="104" t="s">
        <v>22</v>
      </c>
      <c r="B690" s="104" t="s">
        <v>311</v>
      </c>
      <c r="C690" s="104" t="s">
        <v>927</v>
      </c>
      <c r="D690" s="104" t="s">
        <v>51</v>
      </c>
      <c r="E690" s="114"/>
      <c r="F690" s="114"/>
      <c r="G690" s="104">
        <v>25500099202506</v>
      </c>
      <c r="H690" s="104">
        <v>4070001</v>
      </c>
      <c r="I690" s="104">
        <v>988</v>
      </c>
      <c r="J690" s="104">
        <v>974</v>
      </c>
      <c r="K690" s="104">
        <v>0</v>
      </c>
      <c r="L690" s="104">
        <v>974</v>
      </c>
      <c r="M690" s="104">
        <v>1245.013</v>
      </c>
      <c r="N690" s="104" t="s">
        <v>24</v>
      </c>
      <c r="O690" s="104" t="s">
        <v>25</v>
      </c>
      <c r="P690" s="104" t="s">
        <v>26</v>
      </c>
      <c r="Q690" s="104">
        <v>46119.8020833333</v>
      </c>
      <c r="R690" s="104">
        <v>46119.8055555556</v>
      </c>
      <c r="S690" s="104">
        <v>46119.8597222222</v>
      </c>
      <c r="T690" s="104" t="s">
        <v>452</v>
      </c>
    </row>
    <row r="691" s="102" customFormat="1" ht="15" spans="1:20">
      <c r="A691" s="104" t="s">
        <v>22</v>
      </c>
      <c r="B691" s="104" t="s">
        <v>236</v>
      </c>
      <c r="C691" s="114"/>
      <c r="D691" s="114"/>
      <c r="E691" s="114"/>
      <c r="F691" s="114"/>
      <c r="G691" s="114"/>
      <c r="H691" s="104">
        <v>4074816</v>
      </c>
      <c r="I691" s="104">
        <v>1612</v>
      </c>
      <c r="J691" s="104">
        <v>1612</v>
      </c>
      <c r="K691" s="104">
        <v>30</v>
      </c>
      <c r="L691" s="104">
        <v>1582</v>
      </c>
      <c r="M691" s="104">
        <v>881.92</v>
      </c>
      <c r="N691" s="104" t="s">
        <v>24</v>
      </c>
      <c r="O691" s="104" t="s">
        <v>25</v>
      </c>
      <c r="P691" s="104" t="s">
        <v>26</v>
      </c>
      <c r="Q691" s="104">
        <v>46119.80625</v>
      </c>
      <c r="R691" s="104">
        <v>46119.80625</v>
      </c>
      <c r="S691" s="104">
        <v>46119.8618055556</v>
      </c>
      <c r="T691" s="104" t="s">
        <v>191</v>
      </c>
    </row>
    <row r="692" s="102" customFormat="1" ht="15" spans="1:20">
      <c r="A692" s="104" t="s">
        <v>22</v>
      </c>
      <c r="B692" s="104" t="s">
        <v>232</v>
      </c>
      <c r="C692" s="104" t="s">
        <v>928</v>
      </c>
      <c r="D692" s="104" t="s">
        <v>65</v>
      </c>
      <c r="E692" s="114"/>
      <c r="F692" s="114"/>
      <c r="G692" s="114"/>
      <c r="H692" s="104">
        <v>4070001</v>
      </c>
      <c r="I692" s="104">
        <v>6061</v>
      </c>
      <c r="J692" s="104">
        <v>5106</v>
      </c>
      <c r="K692" s="104">
        <v>96</v>
      </c>
      <c r="L692" s="104">
        <v>5010</v>
      </c>
      <c r="M692" s="104">
        <v>6687.151</v>
      </c>
      <c r="N692" s="104" t="s">
        <v>24</v>
      </c>
      <c r="O692" s="104" t="s">
        <v>25</v>
      </c>
      <c r="P692" s="104" t="s">
        <v>26</v>
      </c>
      <c r="Q692" s="104">
        <v>46119.8145833333</v>
      </c>
      <c r="R692" s="104">
        <v>46119.8159722222</v>
      </c>
      <c r="S692" s="104">
        <v>46119.8625</v>
      </c>
      <c r="T692" s="104" t="s">
        <v>878</v>
      </c>
    </row>
    <row r="693" s="102" customFormat="1" ht="15" spans="1:20">
      <c r="A693" s="104" t="s">
        <v>22</v>
      </c>
      <c r="B693" s="104" t="s">
        <v>261</v>
      </c>
      <c r="C693" s="104" t="s">
        <v>929</v>
      </c>
      <c r="D693" s="104" t="s">
        <v>44</v>
      </c>
      <c r="E693" s="114"/>
      <c r="F693" s="114"/>
      <c r="G693" s="104">
        <v>25646625500071</v>
      </c>
      <c r="H693" s="104">
        <v>4070001</v>
      </c>
      <c r="I693" s="104">
        <v>2057</v>
      </c>
      <c r="J693" s="104">
        <v>1735</v>
      </c>
      <c r="K693" s="104">
        <v>7</v>
      </c>
      <c r="L693" s="104">
        <v>1728</v>
      </c>
      <c r="M693" s="104">
        <v>2528.832</v>
      </c>
      <c r="N693" s="104" t="s">
        <v>24</v>
      </c>
      <c r="O693" s="104" t="s">
        <v>25</v>
      </c>
      <c r="P693" s="104" t="s">
        <v>26</v>
      </c>
      <c r="Q693" s="104">
        <v>46119.8069444444</v>
      </c>
      <c r="R693" s="104">
        <v>46119.8159722222</v>
      </c>
      <c r="S693" s="104">
        <v>46119.8625</v>
      </c>
      <c r="T693" s="104" t="s">
        <v>878</v>
      </c>
    </row>
    <row r="694" s="102" customFormat="1" ht="15" spans="1:20">
      <c r="A694" s="104" t="s">
        <v>22</v>
      </c>
      <c r="B694" s="104" t="s">
        <v>332</v>
      </c>
      <c r="C694" s="104" t="s">
        <v>930</v>
      </c>
      <c r="D694" s="104" t="s">
        <v>334</v>
      </c>
      <c r="E694" s="114"/>
      <c r="F694" s="114"/>
      <c r="G694" s="114"/>
      <c r="H694" s="104">
        <v>4070001</v>
      </c>
      <c r="I694" s="104">
        <v>4572</v>
      </c>
      <c r="J694" s="104">
        <v>3778</v>
      </c>
      <c r="K694" s="104">
        <v>19</v>
      </c>
      <c r="L694" s="104">
        <v>3753</v>
      </c>
      <c r="M694" s="104">
        <v>2439.091</v>
      </c>
      <c r="N694" s="104" t="s">
        <v>24</v>
      </c>
      <c r="O694" s="104" t="s">
        <v>25</v>
      </c>
      <c r="P694" s="104" t="s">
        <v>26</v>
      </c>
      <c r="Q694" s="104">
        <v>46119.8104166667</v>
      </c>
      <c r="R694" s="104">
        <v>46119.8159722222</v>
      </c>
      <c r="S694" s="104">
        <v>46119.8618055556</v>
      </c>
      <c r="T694" s="104" t="s">
        <v>586</v>
      </c>
    </row>
    <row r="695" s="102" customFormat="1" ht="15" spans="1:20">
      <c r="A695" s="104" t="s">
        <v>22</v>
      </c>
      <c r="B695" s="104" t="s">
        <v>57</v>
      </c>
      <c r="C695" s="104" t="s">
        <v>931</v>
      </c>
      <c r="D695" s="104" t="s">
        <v>321</v>
      </c>
      <c r="E695" s="114"/>
      <c r="F695" s="114"/>
      <c r="G695" s="114"/>
      <c r="H695" s="104">
        <v>4070001</v>
      </c>
      <c r="I695" s="104">
        <v>69</v>
      </c>
      <c r="J695" s="104">
        <v>61</v>
      </c>
      <c r="K695" s="104">
        <v>0</v>
      </c>
      <c r="L695" s="104">
        <v>61</v>
      </c>
      <c r="M695" s="104">
        <v>64.28</v>
      </c>
      <c r="N695" s="104" t="s">
        <v>24</v>
      </c>
      <c r="O695" s="104" t="s">
        <v>25</v>
      </c>
      <c r="P695" s="104" t="s">
        <v>26</v>
      </c>
      <c r="Q695" s="104">
        <v>46119.4944444444</v>
      </c>
      <c r="R695" s="104">
        <v>46119.4972222222</v>
      </c>
      <c r="S695" s="104">
        <v>46119.5958333333</v>
      </c>
      <c r="T695" s="104" t="s">
        <v>280</v>
      </c>
    </row>
    <row r="696" s="102" customFormat="1" ht="15" spans="1:20">
      <c r="A696" s="104" t="s">
        <v>22</v>
      </c>
      <c r="B696" s="104" t="s">
        <v>53</v>
      </c>
      <c r="C696" s="104" t="s">
        <v>932</v>
      </c>
      <c r="D696" s="104" t="s">
        <v>55</v>
      </c>
      <c r="E696" s="114"/>
      <c r="F696" s="114"/>
      <c r="G696" s="114"/>
      <c r="H696" s="104">
        <v>4070001</v>
      </c>
      <c r="I696" s="104">
        <v>146</v>
      </c>
      <c r="J696" s="104">
        <v>45</v>
      </c>
      <c r="K696" s="104">
        <v>4</v>
      </c>
      <c r="L696" s="104">
        <v>41</v>
      </c>
      <c r="M696" s="104">
        <v>62.448</v>
      </c>
      <c r="N696" s="104" t="s">
        <v>24</v>
      </c>
      <c r="O696" s="104" t="s">
        <v>25</v>
      </c>
      <c r="P696" s="104" t="s">
        <v>26</v>
      </c>
      <c r="Q696" s="104">
        <v>46119.4951388889</v>
      </c>
      <c r="R696" s="104">
        <v>46119.4972222222</v>
      </c>
      <c r="S696" s="104">
        <v>46119.525</v>
      </c>
      <c r="T696" s="104" t="s">
        <v>395</v>
      </c>
    </row>
    <row r="697" s="102" customFormat="1" ht="15" spans="1:20">
      <c r="A697" s="104" t="s">
        <v>22</v>
      </c>
      <c r="B697" s="104" t="s">
        <v>31</v>
      </c>
      <c r="C697" s="114"/>
      <c r="D697" s="114"/>
      <c r="E697" s="114"/>
      <c r="F697" s="114"/>
      <c r="G697" s="114"/>
      <c r="H697" s="104">
        <v>40701</v>
      </c>
      <c r="I697" s="104">
        <v>3</v>
      </c>
      <c r="J697" s="104">
        <v>2</v>
      </c>
      <c r="K697" s="104">
        <v>0</v>
      </c>
      <c r="L697" s="104">
        <v>2</v>
      </c>
      <c r="M697" s="104">
        <v>1.232</v>
      </c>
      <c r="N697" s="104" t="s">
        <v>24</v>
      </c>
      <c r="O697" s="104" t="s">
        <v>25</v>
      </c>
      <c r="P697" s="104" t="s">
        <v>26</v>
      </c>
      <c r="Q697" s="104">
        <v>46119.4652777778</v>
      </c>
      <c r="R697" s="104">
        <v>46119.5</v>
      </c>
      <c r="S697" s="104">
        <v>46119.8583333333</v>
      </c>
      <c r="T697" s="104" t="s">
        <v>753</v>
      </c>
    </row>
    <row r="698" s="102" customFormat="1" ht="15" spans="1:20">
      <c r="A698" s="104" t="s">
        <v>22</v>
      </c>
      <c r="B698" s="104" t="s">
        <v>72</v>
      </c>
      <c r="C698" s="104" t="s">
        <v>933</v>
      </c>
      <c r="D698" s="104" t="s">
        <v>74</v>
      </c>
      <c r="E698" s="114"/>
      <c r="F698" s="114"/>
      <c r="G698" s="114"/>
      <c r="H698" s="104">
        <v>4070001</v>
      </c>
      <c r="I698" s="104">
        <v>182</v>
      </c>
      <c r="J698" s="104">
        <v>75</v>
      </c>
      <c r="K698" s="104">
        <v>14</v>
      </c>
      <c r="L698" s="104">
        <v>61</v>
      </c>
      <c r="M698" s="104">
        <v>90.766</v>
      </c>
      <c r="N698" s="104" t="s">
        <v>24</v>
      </c>
      <c r="O698" s="104" t="s">
        <v>25</v>
      </c>
      <c r="P698" s="104" t="s">
        <v>26</v>
      </c>
      <c r="Q698" s="104">
        <v>46119.50625</v>
      </c>
      <c r="R698" s="104">
        <v>46119.5069444444</v>
      </c>
      <c r="S698" s="104">
        <v>46119.5256944444</v>
      </c>
      <c r="T698" s="104" t="s">
        <v>571</v>
      </c>
    </row>
    <row r="699" s="102" customFormat="1" ht="15" spans="1:20">
      <c r="A699" s="104" t="s">
        <v>22</v>
      </c>
      <c r="B699" s="104" t="s">
        <v>47</v>
      </c>
      <c r="C699" s="114"/>
      <c r="D699" s="114"/>
      <c r="E699" s="114"/>
      <c r="F699" s="114"/>
      <c r="G699" s="114"/>
      <c r="H699" s="104">
        <v>40701</v>
      </c>
      <c r="I699" s="104">
        <v>6</v>
      </c>
      <c r="J699" s="104">
        <v>3</v>
      </c>
      <c r="K699" s="104">
        <v>1</v>
      </c>
      <c r="L699" s="104">
        <v>2</v>
      </c>
      <c r="M699" s="104">
        <v>0.227</v>
      </c>
      <c r="N699" s="104" t="s">
        <v>24</v>
      </c>
      <c r="O699" s="104" t="s">
        <v>25</v>
      </c>
      <c r="P699" s="104" t="s">
        <v>26</v>
      </c>
      <c r="Q699" s="104">
        <v>46119.4652777778</v>
      </c>
      <c r="R699" s="104">
        <v>46119.5083333333</v>
      </c>
      <c r="S699" s="104">
        <v>46119.5972222222</v>
      </c>
      <c r="T699" s="104" t="s">
        <v>191</v>
      </c>
    </row>
    <row r="700" s="102" customFormat="1" ht="15" spans="1:20">
      <c r="A700" s="104" t="s">
        <v>22</v>
      </c>
      <c r="B700" s="104" t="s">
        <v>188</v>
      </c>
      <c r="C700" s="104" t="s">
        <v>934</v>
      </c>
      <c r="D700" s="104" t="s">
        <v>190</v>
      </c>
      <c r="E700" s="114"/>
      <c r="F700" s="114"/>
      <c r="G700" s="114"/>
      <c r="H700" s="104">
        <v>4070001</v>
      </c>
      <c r="I700" s="104">
        <v>2448</v>
      </c>
      <c r="J700" s="104">
        <v>2448</v>
      </c>
      <c r="K700" s="104">
        <v>6</v>
      </c>
      <c r="L700" s="104">
        <v>2442</v>
      </c>
      <c r="M700" s="104">
        <v>4529.597</v>
      </c>
      <c r="N700" s="104" t="s">
        <v>24</v>
      </c>
      <c r="O700" s="104" t="s">
        <v>25</v>
      </c>
      <c r="P700" s="104" t="s">
        <v>26</v>
      </c>
      <c r="Q700" s="104">
        <v>46119.5111111111</v>
      </c>
      <c r="R700" s="104">
        <v>46119.5125</v>
      </c>
      <c r="S700" s="104">
        <v>46119.5958333333</v>
      </c>
      <c r="T700" s="104" t="s">
        <v>287</v>
      </c>
    </row>
    <row r="701" s="102" customFormat="1" ht="15" spans="1:20">
      <c r="A701" s="104" t="s">
        <v>22</v>
      </c>
      <c r="B701" s="104" t="s">
        <v>164</v>
      </c>
      <c r="C701" s="104" t="s">
        <v>935</v>
      </c>
      <c r="D701" s="104" t="s">
        <v>166</v>
      </c>
      <c r="E701" s="114"/>
      <c r="F701" s="114"/>
      <c r="G701" s="114"/>
      <c r="H701" s="104">
        <v>4070001</v>
      </c>
      <c r="I701" s="104">
        <v>5676</v>
      </c>
      <c r="J701" s="104">
        <v>5676</v>
      </c>
      <c r="K701" s="104">
        <v>366</v>
      </c>
      <c r="L701" s="104">
        <v>5310</v>
      </c>
      <c r="M701" s="104">
        <v>8998.799</v>
      </c>
      <c r="N701" s="104" t="s">
        <v>24</v>
      </c>
      <c r="O701" s="104" t="s">
        <v>25</v>
      </c>
      <c r="P701" s="104" t="s">
        <v>26</v>
      </c>
      <c r="Q701" s="104">
        <v>46119.5159722222</v>
      </c>
      <c r="R701" s="104">
        <v>46119.5166666667</v>
      </c>
      <c r="S701" s="104">
        <v>46119.5965277778</v>
      </c>
      <c r="T701" s="104" t="s">
        <v>916</v>
      </c>
    </row>
    <row r="702" s="102" customFormat="1" ht="15" spans="1:20">
      <c r="A702" s="104" t="s">
        <v>22</v>
      </c>
      <c r="B702" s="104" t="s">
        <v>184</v>
      </c>
      <c r="C702" s="104" t="s">
        <v>936</v>
      </c>
      <c r="D702" s="104" t="s">
        <v>186</v>
      </c>
      <c r="E702" s="114"/>
      <c r="F702" s="114"/>
      <c r="G702" s="114"/>
      <c r="H702" s="104">
        <v>4070001</v>
      </c>
      <c r="I702" s="104">
        <v>1579</v>
      </c>
      <c r="J702" s="104">
        <v>1496</v>
      </c>
      <c r="K702" s="104">
        <v>8</v>
      </c>
      <c r="L702" s="104">
        <v>1488</v>
      </c>
      <c r="M702" s="104">
        <v>1188.356</v>
      </c>
      <c r="N702" s="104" t="s">
        <v>24</v>
      </c>
      <c r="O702" s="104" t="s">
        <v>25</v>
      </c>
      <c r="P702" s="104" t="s">
        <v>26</v>
      </c>
      <c r="Q702" s="104">
        <v>46119.5166666667</v>
      </c>
      <c r="R702" s="104">
        <v>46119.5173611111</v>
      </c>
      <c r="S702" s="104">
        <v>46119.5951388889</v>
      </c>
      <c r="T702" s="104" t="s">
        <v>605</v>
      </c>
    </row>
    <row r="703" s="102" customFormat="1" ht="15" spans="1:20">
      <c r="A703" s="104" t="s">
        <v>22</v>
      </c>
      <c r="B703" s="104" t="s">
        <v>180</v>
      </c>
      <c r="C703" s="104" t="s">
        <v>937</v>
      </c>
      <c r="D703" s="104" t="s">
        <v>182</v>
      </c>
      <c r="E703" s="114"/>
      <c r="F703" s="114"/>
      <c r="G703" s="114"/>
      <c r="H703" s="104">
        <v>4070001</v>
      </c>
      <c r="I703" s="104">
        <v>1571</v>
      </c>
      <c r="J703" s="104">
        <v>1059</v>
      </c>
      <c r="K703" s="104">
        <v>471</v>
      </c>
      <c r="L703" s="104">
        <v>588</v>
      </c>
      <c r="M703" s="104">
        <v>2083.818</v>
      </c>
      <c r="N703" s="104" t="s">
        <v>24</v>
      </c>
      <c r="O703" s="104" t="s">
        <v>25</v>
      </c>
      <c r="P703" s="104" t="s">
        <v>26</v>
      </c>
      <c r="Q703" s="104">
        <v>46119.5208333333</v>
      </c>
      <c r="R703" s="104">
        <v>46119.5222222222</v>
      </c>
      <c r="S703" s="104">
        <v>46119.525</v>
      </c>
      <c r="T703" s="104" t="s">
        <v>558</v>
      </c>
    </row>
    <row r="704" s="102" customFormat="1" ht="15" spans="1:20">
      <c r="A704" s="104" t="s">
        <v>22</v>
      </c>
      <c r="B704" s="104" t="s">
        <v>23</v>
      </c>
      <c r="C704" s="104" t="s">
        <v>938</v>
      </c>
      <c r="D704" s="104" t="s">
        <v>193</v>
      </c>
      <c r="E704" s="114"/>
      <c r="F704" s="114"/>
      <c r="G704" s="114"/>
      <c r="H704" s="104">
        <v>4070001</v>
      </c>
      <c r="I704" s="104">
        <v>995</v>
      </c>
      <c r="J704" s="104">
        <v>995</v>
      </c>
      <c r="K704" s="104">
        <v>0</v>
      </c>
      <c r="L704" s="104">
        <v>995</v>
      </c>
      <c r="M704" s="104">
        <v>1232.08</v>
      </c>
      <c r="N704" s="104" t="s">
        <v>24</v>
      </c>
      <c r="O704" s="104" t="s">
        <v>25</v>
      </c>
      <c r="P704" s="104" t="s">
        <v>26</v>
      </c>
      <c r="Q704" s="104">
        <v>46119.5347222222</v>
      </c>
      <c r="R704" s="104">
        <v>46119.5347222222</v>
      </c>
      <c r="S704" s="104">
        <v>46119.5979166667</v>
      </c>
      <c r="T704" s="104" t="s">
        <v>939</v>
      </c>
    </row>
    <row r="705" s="102" customFormat="1" ht="15" spans="1:20">
      <c r="A705" s="104" t="s">
        <v>22</v>
      </c>
      <c r="B705" s="104" t="s">
        <v>91</v>
      </c>
      <c r="C705" s="104" t="s">
        <v>940</v>
      </c>
      <c r="D705" s="104" t="s">
        <v>93</v>
      </c>
      <c r="E705" s="114"/>
      <c r="F705" s="114"/>
      <c r="G705" s="104">
        <v>12345678900000</v>
      </c>
      <c r="H705" s="104">
        <v>4070003</v>
      </c>
      <c r="I705" s="104">
        <v>1778</v>
      </c>
      <c r="J705" s="104">
        <v>1778</v>
      </c>
      <c r="K705" s="104">
        <v>1</v>
      </c>
      <c r="L705" s="104">
        <v>1777</v>
      </c>
      <c r="M705" s="104">
        <v>4189.639</v>
      </c>
      <c r="N705" s="104" t="s">
        <v>24</v>
      </c>
      <c r="O705" s="104" t="s">
        <v>25</v>
      </c>
      <c r="P705" s="104" t="s">
        <v>26</v>
      </c>
      <c r="Q705" s="104">
        <v>46119.5215277778</v>
      </c>
      <c r="R705" s="104">
        <v>46119.5361111111</v>
      </c>
      <c r="S705" s="104">
        <v>46119.5972222222</v>
      </c>
      <c r="T705" s="104" t="s">
        <v>604</v>
      </c>
    </row>
    <row r="706" s="102" customFormat="1" ht="15" spans="1:20">
      <c r="A706" s="104" t="s">
        <v>22</v>
      </c>
      <c r="B706" s="104" t="s">
        <v>47</v>
      </c>
      <c r="C706" s="114"/>
      <c r="D706" s="114"/>
      <c r="E706" s="114"/>
      <c r="F706" s="114"/>
      <c r="G706" s="114"/>
      <c r="H706" s="104">
        <v>40701</v>
      </c>
      <c r="I706" s="104">
        <v>12</v>
      </c>
      <c r="J706" s="104">
        <v>5</v>
      </c>
      <c r="K706" s="104">
        <v>0</v>
      </c>
      <c r="L706" s="104">
        <v>5</v>
      </c>
      <c r="M706" s="104">
        <v>7.876</v>
      </c>
      <c r="N706" s="104" t="s">
        <v>24</v>
      </c>
      <c r="O706" s="104" t="s">
        <v>25</v>
      </c>
      <c r="P706" s="104" t="s">
        <v>26</v>
      </c>
      <c r="Q706" s="104">
        <v>46119.4652777778</v>
      </c>
      <c r="R706" s="104">
        <v>46119.5416666667</v>
      </c>
      <c r="S706" s="104">
        <v>46119.5972222222</v>
      </c>
      <c r="T706" s="104" t="s">
        <v>191</v>
      </c>
    </row>
    <row r="707" s="102" customFormat="1" ht="15" spans="1:20">
      <c r="A707" s="104" t="s">
        <v>22</v>
      </c>
      <c r="B707" s="104" t="s">
        <v>197</v>
      </c>
      <c r="C707" s="104" t="s">
        <v>941</v>
      </c>
      <c r="D707" s="104" t="s">
        <v>199</v>
      </c>
      <c r="E707" s="114"/>
      <c r="F707" s="114"/>
      <c r="G707" s="104">
        <v>11111111111111</v>
      </c>
      <c r="H707" s="104">
        <v>4070001</v>
      </c>
      <c r="I707" s="104">
        <v>5225</v>
      </c>
      <c r="J707" s="104">
        <v>4994</v>
      </c>
      <c r="K707" s="104">
        <v>28</v>
      </c>
      <c r="L707" s="104">
        <v>4966</v>
      </c>
      <c r="M707" s="104">
        <v>3188.114</v>
      </c>
      <c r="N707" s="104" t="s">
        <v>24</v>
      </c>
      <c r="O707" s="104" t="s">
        <v>25</v>
      </c>
      <c r="P707" s="104" t="s">
        <v>26</v>
      </c>
      <c r="Q707" s="104">
        <v>46119.55</v>
      </c>
      <c r="R707" s="104">
        <v>46119.5534722222</v>
      </c>
      <c r="S707" s="104">
        <v>46119.5951388889</v>
      </c>
      <c r="T707" s="104" t="s">
        <v>537</v>
      </c>
    </row>
    <row r="708" s="102" customFormat="1" ht="15" spans="1:20">
      <c r="A708" s="104" t="s">
        <v>22</v>
      </c>
      <c r="B708" s="104" t="s">
        <v>201</v>
      </c>
      <c r="C708" s="104" t="s">
        <v>942</v>
      </c>
      <c r="D708" s="104" t="s">
        <v>385</v>
      </c>
      <c r="E708" s="104" t="s">
        <v>386</v>
      </c>
      <c r="F708" s="104" t="s">
        <v>387</v>
      </c>
      <c r="G708" s="114"/>
      <c r="H708" s="104">
        <v>4070001</v>
      </c>
      <c r="I708" s="104">
        <v>13624</v>
      </c>
      <c r="J708" s="104">
        <v>2922</v>
      </c>
      <c r="K708" s="104">
        <v>3</v>
      </c>
      <c r="L708" s="104">
        <v>2919</v>
      </c>
      <c r="M708" s="104">
        <v>10020.368</v>
      </c>
      <c r="N708" s="104" t="s">
        <v>24</v>
      </c>
      <c r="O708" s="104" t="s">
        <v>70</v>
      </c>
      <c r="P708" s="104" t="s">
        <v>26</v>
      </c>
      <c r="Q708" s="104">
        <v>46119.4659722222</v>
      </c>
      <c r="R708" s="104">
        <v>46119.5979166667</v>
      </c>
      <c r="S708" s="104">
        <v>46119.6784722222</v>
      </c>
      <c r="T708" s="104" t="s">
        <v>290</v>
      </c>
    </row>
    <row r="709" s="102" customFormat="1" ht="15" spans="1:20">
      <c r="A709" s="104" t="s">
        <v>22</v>
      </c>
      <c r="B709" s="104" t="s">
        <v>207</v>
      </c>
      <c r="C709" s="104" t="s">
        <v>943</v>
      </c>
      <c r="D709" s="104" t="s">
        <v>203</v>
      </c>
      <c r="E709" s="104" t="s">
        <v>204</v>
      </c>
      <c r="F709" s="104" t="s">
        <v>205</v>
      </c>
      <c r="G709" s="114"/>
      <c r="H709" s="104">
        <v>4070001</v>
      </c>
      <c r="I709" s="104">
        <v>15727</v>
      </c>
      <c r="J709" s="104">
        <v>2733</v>
      </c>
      <c r="K709" s="104">
        <v>2</v>
      </c>
      <c r="L709" s="104">
        <v>2731</v>
      </c>
      <c r="M709" s="104">
        <v>10022.474</v>
      </c>
      <c r="N709" s="104" t="s">
        <v>24</v>
      </c>
      <c r="O709" s="104" t="s">
        <v>70</v>
      </c>
      <c r="P709" s="104" t="s">
        <v>26</v>
      </c>
      <c r="Q709" s="104">
        <v>46119.53125</v>
      </c>
      <c r="R709" s="104">
        <v>46119.5979166667</v>
      </c>
      <c r="S709" s="104">
        <v>46119.6784722222</v>
      </c>
      <c r="T709" s="104" t="s">
        <v>290</v>
      </c>
    </row>
    <row r="710" s="102" customFormat="1" ht="15" spans="1:20">
      <c r="A710" s="104" t="s">
        <v>22</v>
      </c>
      <c r="B710" s="104" t="s">
        <v>342</v>
      </c>
      <c r="C710" s="104" t="s">
        <v>944</v>
      </c>
      <c r="D710" s="104" t="s">
        <v>504</v>
      </c>
      <c r="E710" s="104" t="s">
        <v>505</v>
      </c>
      <c r="F710" s="104" t="s">
        <v>506</v>
      </c>
      <c r="G710" s="114"/>
      <c r="H710" s="104">
        <v>4070001</v>
      </c>
      <c r="I710" s="104">
        <v>13747</v>
      </c>
      <c r="J710" s="104">
        <v>2723</v>
      </c>
      <c r="K710" s="104">
        <v>122</v>
      </c>
      <c r="L710" s="104">
        <v>2601</v>
      </c>
      <c r="M710" s="104">
        <v>8966.899</v>
      </c>
      <c r="N710" s="104" t="s">
        <v>24</v>
      </c>
      <c r="O710" s="104" t="s">
        <v>70</v>
      </c>
      <c r="P710" s="104" t="s">
        <v>26</v>
      </c>
      <c r="Q710" s="104">
        <v>46119.6722222222</v>
      </c>
      <c r="R710" s="104">
        <v>46119.6784722222</v>
      </c>
      <c r="S710" s="104">
        <v>46119.7381944444</v>
      </c>
      <c r="T710" s="104" t="s">
        <v>462</v>
      </c>
    </row>
    <row r="711" s="102" customFormat="1" ht="15" spans="1:20">
      <c r="A711" s="104" t="s">
        <v>22</v>
      </c>
      <c r="B711" s="104" t="s">
        <v>81</v>
      </c>
      <c r="C711" s="114"/>
      <c r="D711" s="114"/>
      <c r="E711" s="114"/>
      <c r="F711" s="114"/>
      <c r="G711" s="114"/>
      <c r="H711" s="104">
        <v>40701</v>
      </c>
      <c r="I711" s="104">
        <v>105</v>
      </c>
      <c r="J711" s="104">
        <v>20</v>
      </c>
      <c r="K711" s="104">
        <v>0</v>
      </c>
      <c r="L711" s="104">
        <v>20</v>
      </c>
      <c r="M711" s="104">
        <v>63.413</v>
      </c>
      <c r="N711" s="104" t="s">
        <v>24</v>
      </c>
      <c r="O711" s="104" t="s">
        <v>25</v>
      </c>
      <c r="P711" s="104" t="s">
        <v>26</v>
      </c>
      <c r="Q711" s="104">
        <v>46119.7145833333</v>
      </c>
      <c r="R711" s="104">
        <v>46119.7145833333</v>
      </c>
      <c r="S711" s="104">
        <v>46119.8590277778</v>
      </c>
      <c r="T711" s="104" t="s">
        <v>888</v>
      </c>
    </row>
    <row r="712" s="102" customFormat="1" ht="15" spans="1:20">
      <c r="A712" s="104" t="s">
        <v>22</v>
      </c>
      <c r="B712" s="104" t="s">
        <v>81</v>
      </c>
      <c r="C712" s="114"/>
      <c r="D712" s="114"/>
      <c r="E712" s="114"/>
      <c r="F712" s="114"/>
      <c r="G712" s="114"/>
      <c r="H712" s="104">
        <v>4073813</v>
      </c>
      <c r="I712" s="104">
        <v>8</v>
      </c>
      <c r="J712" s="104">
        <v>3</v>
      </c>
      <c r="K712" s="104">
        <v>0</v>
      </c>
      <c r="L712" s="104">
        <v>3</v>
      </c>
      <c r="M712" s="104">
        <v>5.156</v>
      </c>
      <c r="N712" s="104" t="s">
        <v>24</v>
      </c>
      <c r="O712" s="104" t="s">
        <v>25</v>
      </c>
      <c r="P712" s="104" t="s">
        <v>26</v>
      </c>
      <c r="Q712" s="104">
        <v>46119.7145833333</v>
      </c>
      <c r="R712" s="104">
        <v>46119.7145833333</v>
      </c>
      <c r="S712" s="104">
        <v>46119.8590277778</v>
      </c>
      <c r="T712" s="104" t="s">
        <v>888</v>
      </c>
    </row>
    <row r="713" s="102" customFormat="1" ht="15" spans="1:20">
      <c r="A713" s="104" t="s">
        <v>22</v>
      </c>
      <c r="B713" s="104" t="s">
        <v>81</v>
      </c>
      <c r="C713" s="114"/>
      <c r="D713" s="114"/>
      <c r="E713" s="114"/>
      <c r="F713" s="114"/>
      <c r="G713" s="114"/>
      <c r="H713" s="104">
        <v>4073698</v>
      </c>
      <c r="I713" s="104">
        <v>15</v>
      </c>
      <c r="J713" s="104">
        <v>15</v>
      </c>
      <c r="K713" s="104">
        <v>1</v>
      </c>
      <c r="L713" s="104">
        <v>14</v>
      </c>
      <c r="M713" s="104">
        <v>6.82</v>
      </c>
      <c r="N713" s="104" t="s">
        <v>24</v>
      </c>
      <c r="O713" s="104" t="s">
        <v>25</v>
      </c>
      <c r="P713" s="104" t="s">
        <v>26</v>
      </c>
      <c r="Q713" s="104">
        <v>46119.7145833333</v>
      </c>
      <c r="R713" s="104">
        <v>46119.7145833333</v>
      </c>
      <c r="S713" s="104">
        <v>46119.8590277778</v>
      </c>
      <c r="T713" s="104" t="s">
        <v>888</v>
      </c>
    </row>
    <row r="714" s="102" customFormat="1" ht="15" spans="1:20">
      <c r="A714" s="104" t="s">
        <v>22</v>
      </c>
      <c r="B714" s="104" t="s">
        <v>81</v>
      </c>
      <c r="C714" s="114"/>
      <c r="D714" s="114"/>
      <c r="E714" s="114"/>
      <c r="F714" s="114"/>
      <c r="G714" s="114"/>
      <c r="H714" s="104">
        <v>4073800</v>
      </c>
      <c r="I714" s="104">
        <v>69</v>
      </c>
      <c r="J714" s="104">
        <v>6</v>
      </c>
      <c r="K714" s="104">
        <v>1</v>
      </c>
      <c r="L714" s="104">
        <v>5</v>
      </c>
      <c r="M714" s="104">
        <v>20.803</v>
      </c>
      <c r="N714" s="104" t="s">
        <v>24</v>
      </c>
      <c r="O714" s="104" t="s">
        <v>25</v>
      </c>
      <c r="P714" s="104" t="s">
        <v>26</v>
      </c>
      <c r="Q714" s="104">
        <v>46119.7145833333</v>
      </c>
      <c r="R714" s="104">
        <v>46119.7145833333</v>
      </c>
      <c r="S714" s="104">
        <v>46119.8590277778</v>
      </c>
      <c r="T714" s="104" t="s">
        <v>888</v>
      </c>
    </row>
    <row r="715" s="102" customFormat="1" ht="15" spans="1:20">
      <c r="A715" s="104" t="s">
        <v>22</v>
      </c>
      <c r="B715" s="104" t="s">
        <v>129</v>
      </c>
      <c r="C715" s="114"/>
      <c r="D715" s="104" t="s">
        <v>29</v>
      </c>
      <c r="E715" s="114"/>
      <c r="F715" s="114"/>
      <c r="G715" s="114"/>
      <c r="H715" s="104">
        <v>4081846</v>
      </c>
      <c r="I715" s="104">
        <v>172</v>
      </c>
      <c r="J715" s="104">
        <v>163</v>
      </c>
      <c r="K715" s="104">
        <v>0</v>
      </c>
      <c r="L715" s="104">
        <v>163</v>
      </c>
      <c r="M715" s="104">
        <v>0</v>
      </c>
      <c r="N715" s="104" t="s">
        <v>24</v>
      </c>
      <c r="O715" s="104" t="s">
        <v>25</v>
      </c>
      <c r="P715" s="104" t="s">
        <v>26</v>
      </c>
      <c r="Q715" s="104">
        <v>46120.2159722222</v>
      </c>
      <c r="R715" s="104">
        <v>46120.2159722222</v>
      </c>
      <c r="S715" s="104">
        <v>46120.28125</v>
      </c>
      <c r="T715" s="104" t="s">
        <v>661</v>
      </c>
    </row>
    <row r="716" s="102" customFormat="1" ht="15" spans="1:20">
      <c r="A716" s="104" t="s">
        <v>22</v>
      </c>
      <c r="B716" s="104" t="s">
        <v>28</v>
      </c>
      <c r="C716" s="114"/>
      <c r="D716" s="104" t="s">
        <v>29</v>
      </c>
      <c r="E716" s="114"/>
      <c r="F716" s="114"/>
      <c r="G716" s="114"/>
      <c r="H716" s="104">
        <v>4082115</v>
      </c>
      <c r="I716" s="104">
        <v>0</v>
      </c>
      <c r="J716" s="104">
        <v>90</v>
      </c>
      <c r="K716" s="104">
        <v>1</v>
      </c>
      <c r="L716" s="104">
        <v>89</v>
      </c>
      <c r="M716" s="104">
        <v>0</v>
      </c>
      <c r="N716" s="104" t="s">
        <v>24</v>
      </c>
      <c r="O716" s="104" t="s">
        <v>25</v>
      </c>
      <c r="P716" s="104" t="s">
        <v>26</v>
      </c>
      <c r="Q716" s="104">
        <v>46120.23125</v>
      </c>
      <c r="R716" s="104">
        <v>46120.23125</v>
      </c>
      <c r="S716" s="104">
        <v>46120.28125</v>
      </c>
      <c r="T716" s="104" t="s">
        <v>724</v>
      </c>
    </row>
    <row r="717" s="102" customFormat="1" ht="15" spans="1:20">
      <c r="A717" s="104" t="s">
        <v>22</v>
      </c>
      <c r="B717" s="104" t="s">
        <v>132</v>
      </c>
      <c r="C717" s="104" t="s">
        <v>945</v>
      </c>
      <c r="D717" s="104" t="s">
        <v>134</v>
      </c>
      <c r="E717" s="114"/>
      <c r="F717" s="114"/>
      <c r="G717" s="114"/>
      <c r="H717" s="104">
        <v>4070001</v>
      </c>
      <c r="I717" s="104">
        <v>898</v>
      </c>
      <c r="J717" s="104">
        <v>784</v>
      </c>
      <c r="K717" s="104">
        <v>1</v>
      </c>
      <c r="L717" s="104">
        <v>783</v>
      </c>
      <c r="M717" s="104">
        <v>2922.1</v>
      </c>
      <c r="N717" s="104" t="s">
        <v>24</v>
      </c>
      <c r="O717" s="104" t="s">
        <v>70</v>
      </c>
      <c r="P717" s="104" t="s">
        <v>26</v>
      </c>
      <c r="Q717" s="104">
        <v>46120.2715277778</v>
      </c>
      <c r="R717" s="104">
        <v>46120.2715277778</v>
      </c>
      <c r="S717" s="104">
        <v>46120.28125</v>
      </c>
      <c r="T717" s="104" t="s">
        <v>135</v>
      </c>
    </row>
    <row r="718" s="102" customFormat="1" ht="15" spans="1:20">
      <c r="A718" s="104" t="s">
        <v>22</v>
      </c>
      <c r="B718" s="104" t="s">
        <v>28</v>
      </c>
      <c r="C718" s="114"/>
      <c r="D718" s="104" t="s">
        <v>29</v>
      </c>
      <c r="E718" s="114"/>
      <c r="F718" s="114"/>
      <c r="G718" s="114"/>
      <c r="H718" s="104">
        <v>4082116</v>
      </c>
      <c r="I718" s="104">
        <v>0</v>
      </c>
      <c r="J718" s="104">
        <v>26</v>
      </c>
      <c r="K718" s="104">
        <v>0</v>
      </c>
      <c r="L718" s="104">
        <v>26</v>
      </c>
      <c r="M718" s="104">
        <v>0</v>
      </c>
      <c r="N718" s="104" t="s">
        <v>24</v>
      </c>
      <c r="O718" s="104" t="s">
        <v>25</v>
      </c>
      <c r="P718" s="104" t="s">
        <v>26</v>
      </c>
      <c r="Q718" s="104">
        <v>46120.2736111111</v>
      </c>
      <c r="R718" s="104">
        <v>46120.2736111111</v>
      </c>
      <c r="S718" s="104">
        <v>46120.28125</v>
      </c>
      <c r="T718" s="104" t="s">
        <v>381</v>
      </c>
    </row>
    <row r="719" s="102" customFormat="1" ht="15" spans="1:20">
      <c r="A719" s="104" t="s">
        <v>22</v>
      </c>
      <c r="B719" s="104" t="s">
        <v>138</v>
      </c>
      <c r="C719" s="104" t="s">
        <v>946</v>
      </c>
      <c r="D719" s="104" t="s">
        <v>140</v>
      </c>
      <c r="E719" s="114"/>
      <c r="F719" s="114"/>
      <c r="G719" s="114"/>
      <c r="H719" s="104">
        <v>4080001</v>
      </c>
      <c r="I719" s="104">
        <v>3734</v>
      </c>
      <c r="J719" s="104">
        <v>1012</v>
      </c>
      <c r="K719" s="104">
        <v>0</v>
      </c>
      <c r="L719" s="104">
        <v>1012</v>
      </c>
      <c r="M719" s="104">
        <v>3827.906</v>
      </c>
      <c r="N719" s="104" t="s">
        <v>24</v>
      </c>
      <c r="O719" s="104" t="s">
        <v>70</v>
      </c>
      <c r="P719" s="104" t="s">
        <v>271</v>
      </c>
      <c r="Q719" s="104">
        <v>46120.3027777778</v>
      </c>
      <c r="R719" s="104">
        <v>46120.3034722222</v>
      </c>
      <c r="S719" s="104">
        <v>46120.3347222222</v>
      </c>
      <c r="T719" s="104" t="s">
        <v>471</v>
      </c>
    </row>
    <row r="720" s="102" customFormat="1" ht="15" spans="1:20">
      <c r="A720" s="104" t="s">
        <v>22</v>
      </c>
      <c r="B720" s="104" t="s">
        <v>148</v>
      </c>
      <c r="C720" s="104" t="s">
        <v>947</v>
      </c>
      <c r="D720" s="104" t="s">
        <v>150</v>
      </c>
      <c r="E720" s="104" t="s">
        <v>789</v>
      </c>
      <c r="F720" s="104" t="s">
        <v>790</v>
      </c>
      <c r="G720" s="114"/>
      <c r="H720" s="104">
        <v>4070001</v>
      </c>
      <c r="I720" s="104">
        <v>6692</v>
      </c>
      <c r="J720" s="104">
        <v>1329</v>
      </c>
      <c r="K720" s="104">
        <v>1</v>
      </c>
      <c r="L720" s="104">
        <v>1328</v>
      </c>
      <c r="M720" s="104">
        <v>5245.975</v>
      </c>
      <c r="N720" s="104" t="s">
        <v>24</v>
      </c>
      <c r="O720" s="104" t="s">
        <v>70</v>
      </c>
      <c r="P720" s="104" t="s">
        <v>271</v>
      </c>
      <c r="Q720" s="104">
        <v>46120.3513888889</v>
      </c>
      <c r="R720" s="104">
        <v>46120.35625</v>
      </c>
      <c r="S720" s="104">
        <v>46120.3715277778</v>
      </c>
      <c r="T720" s="104" t="s">
        <v>128</v>
      </c>
    </row>
    <row r="721" s="102" customFormat="1" ht="30" spans="1:20">
      <c r="A721" s="104" t="s">
        <v>22</v>
      </c>
      <c r="B721" s="104" t="s">
        <v>154</v>
      </c>
      <c r="C721" s="114"/>
      <c r="D721" s="104" t="s">
        <v>29</v>
      </c>
      <c r="E721" s="114"/>
      <c r="F721" s="114"/>
      <c r="G721" s="114"/>
      <c r="H721" s="104">
        <v>4081023</v>
      </c>
      <c r="I721" s="104">
        <v>406</v>
      </c>
      <c r="J721" s="104">
        <v>406</v>
      </c>
      <c r="K721" s="104">
        <v>0</v>
      </c>
      <c r="L721" s="104">
        <v>406</v>
      </c>
      <c r="M721" s="104">
        <v>307.287</v>
      </c>
      <c r="N721" s="104" t="s">
        <v>24</v>
      </c>
      <c r="O721" s="104" t="s">
        <v>25</v>
      </c>
      <c r="P721" s="104" t="s">
        <v>155</v>
      </c>
      <c r="Q721" s="104">
        <v>46120.3715277778</v>
      </c>
      <c r="R721" s="104">
        <v>46120.3715277778</v>
      </c>
      <c r="S721" s="114"/>
      <c r="T721" s="114"/>
    </row>
    <row r="722" s="102" customFormat="1" ht="15" spans="1:20">
      <c r="A722" s="104" t="s">
        <v>22</v>
      </c>
      <c r="B722" s="104" t="s">
        <v>142</v>
      </c>
      <c r="C722" s="104" t="s">
        <v>948</v>
      </c>
      <c r="D722" s="104" t="s">
        <v>516</v>
      </c>
      <c r="E722" s="104" t="s">
        <v>517</v>
      </c>
      <c r="F722" s="104" t="s">
        <v>518</v>
      </c>
      <c r="G722" s="114"/>
      <c r="H722" s="104">
        <v>4080001</v>
      </c>
      <c r="I722" s="104">
        <v>16333</v>
      </c>
      <c r="J722" s="104">
        <v>3817</v>
      </c>
      <c r="K722" s="104">
        <v>3</v>
      </c>
      <c r="L722" s="104">
        <v>3814</v>
      </c>
      <c r="M722" s="104">
        <v>12969.435</v>
      </c>
      <c r="N722" s="104" t="s">
        <v>24</v>
      </c>
      <c r="O722" s="104" t="s">
        <v>70</v>
      </c>
      <c r="P722" s="104" t="s">
        <v>271</v>
      </c>
      <c r="Q722" s="104">
        <v>46120.4083333333</v>
      </c>
      <c r="R722" s="104">
        <v>46120.4145833333</v>
      </c>
      <c r="S722" s="104">
        <v>46120.4451388889</v>
      </c>
      <c r="T722" s="104" t="s">
        <v>459</v>
      </c>
    </row>
    <row r="723" s="102" customFormat="1" ht="15" spans="1:20">
      <c r="A723" s="104" t="s">
        <v>22</v>
      </c>
      <c r="B723" s="104" t="s">
        <v>159</v>
      </c>
      <c r="C723" s="104" t="s">
        <v>949</v>
      </c>
      <c r="D723" s="104" t="s">
        <v>161</v>
      </c>
      <c r="E723" s="114"/>
      <c r="F723" s="114"/>
      <c r="G723" s="114"/>
      <c r="H723" s="104">
        <v>4080001</v>
      </c>
      <c r="I723" s="104">
        <v>500</v>
      </c>
      <c r="J723" s="104">
        <v>500</v>
      </c>
      <c r="K723" s="104">
        <v>14</v>
      </c>
      <c r="L723" s="104">
        <v>486</v>
      </c>
      <c r="M723" s="104">
        <v>0</v>
      </c>
      <c r="N723" s="104" t="s">
        <v>24</v>
      </c>
      <c r="O723" s="104" t="s">
        <v>70</v>
      </c>
      <c r="P723" s="104" t="s">
        <v>271</v>
      </c>
      <c r="Q723" s="104">
        <v>46120.4194444444</v>
      </c>
      <c r="R723" s="104">
        <v>46120.4215277778</v>
      </c>
      <c r="S723" s="104">
        <v>46120.4395833333</v>
      </c>
      <c r="T723" s="104" t="s">
        <v>547</v>
      </c>
    </row>
    <row r="724" s="102" customFormat="1" ht="15" spans="1:20">
      <c r="A724" s="104" t="s">
        <v>22</v>
      </c>
      <c r="B724" s="104" t="s">
        <v>23</v>
      </c>
      <c r="C724" s="114"/>
      <c r="D724" s="114"/>
      <c r="E724" s="114"/>
      <c r="F724" s="114"/>
      <c r="G724" s="114"/>
      <c r="H724" s="104">
        <v>4087325</v>
      </c>
      <c r="I724" s="104">
        <v>53</v>
      </c>
      <c r="J724" s="104">
        <v>1</v>
      </c>
      <c r="K724" s="104">
        <v>0</v>
      </c>
      <c r="L724" s="104">
        <v>1</v>
      </c>
      <c r="M724" s="104">
        <v>2.65</v>
      </c>
      <c r="N724" s="104" t="s">
        <v>24</v>
      </c>
      <c r="O724" s="104" t="s">
        <v>25</v>
      </c>
      <c r="P724" s="104" t="s">
        <v>271</v>
      </c>
      <c r="Q724" s="104">
        <v>46120.425</v>
      </c>
      <c r="R724" s="104">
        <v>46120.425</v>
      </c>
      <c r="S724" s="104">
        <v>46120.4444444444</v>
      </c>
      <c r="T724" s="104" t="s">
        <v>406</v>
      </c>
    </row>
    <row r="725" s="102" customFormat="1" ht="15" spans="1:20">
      <c r="A725" s="104" t="s">
        <v>22</v>
      </c>
      <c r="B725" s="104" t="s">
        <v>28</v>
      </c>
      <c r="C725" s="114"/>
      <c r="D725" s="104" t="s">
        <v>29</v>
      </c>
      <c r="E725" s="114"/>
      <c r="F725" s="114"/>
      <c r="G725" s="114"/>
      <c r="H725" s="104">
        <v>4082117</v>
      </c>
      <c r="I725" s="104">
        <v>0</v>
      </c>
      <c r="J725" s="104">
        <v>140</v>
      </c>
      <c r="K725" s="104">
        <v>0</v>
      </c>
      <c r="L725" s="104">
        <v>140</v>
      </c>
      <c r="M725" s="104">
        <v>0</v>
      </c>
      <c r="N725" s="104" t="s">
        <v>24</v>
      </c>
      <c r="O725" s="104" t="s">
        <v>25</v>
      </c>
      <c r="P725" s="104" t="s">
        <v>271</v>
      </c>
      <c r="Q725" s="104">
        <v>46120.48125</v>
      </c>
      <c r="R725" s="104">
        <v>46120.48125</v>
      </c>
      <c r="S725" s="104">
        <v>46120.5381944444</v>
      </c>
      <c r="T725" s="104" t="s">
        <v>281</v>
      </c>
    </row>
    <row r="726" s="102" customFormat="1" ht="15" spans="1:20">
      <c r="A726" s="104" t="s">
        <v>22</v>
      </c>
      <c r="B726" s="104" t="s">
        <v>33</v>
      </c>
      <c r="C726" s="114"/>
      <c r="D726" s="114"/>
      <c r="E726" s="114"/>
      <c r="F726" s="114"/>
      <c r="G726" s="114"/>
      <c r="H726" s="104">
        <v>40801</v>
      </c>
      <c r="I726" s="104">
        <v>21</v>
      </c>
      <c r="J726" s="104">
        <v>9</v>
      </c>
      <c r="K726" s="104">
        <v>0</v>
      </c>
      <c r="L726" s="104">
        <v>9</v>
      </c>
      <c r="M726" s="104">
        <v>22.299</v>
      </c>
      <c r="N726" s="104" t="s">
        <v>24</v>
      </c>
      <c r="O726" s="104" t="s">
        <v>25</v>
      </c>
      <c r="P726" s="104" t="s">
        <v>271</v>
      </c>
      <c r="Q726" s="104">
        <v>46120.4854166667</v>
      </c>
      <c r="R726" s="104">
        <v>46120.4854166667</v>
      </c>
      <c r="S726" s="104">
        <v>46120.7430555556</v>
      </c>
      <c r="T726" s="104" t="s">
        <v>116</v>
      </c>
    </row>
    <row r="727" s="102" customFormat="1" ht="15" spans="1:20">
      <c r="A727" s="104" t="s">
        <v>22</v>
      </c>
      <c r="B727" s="104" t="s">
        <v>31</v>
      </c>
      <c r="C727" s="114"/>
      <c r="D727" s="114"/>
      <c r="E727" s="114"/>
      <c r="F727" s="114"/>
      <c r="G727" s="114"/>
      <c r="H727" s="104">
        <v>4083362</v>
      </c>
      <c r="I727" s="104">
        <v>115</v>
      </c>
      <c r="J727" s="104">
        <v>7</v>
      </c>
      <c r="K727" s="104">
        <v>2</v>
      </c>
      <c r="L727" s="104">
        <v>5</v>
      </c>
      <c r="M727" s="104">
        <v>34.598</v>
      </c>
      <c r="N727" s="104" t="s">
        <v>24</v>
      </c>
      <c r="O727" s="104" t="s">
        <v>25</v>
      </c>
      <c r="P727" s="104" t="s">
        <v>271</v>
      </c>
      <c r="Q727" s="104">
        <v>46120.4854166667</v>
      </c>
      <c r="R727" s="104">
        <v>46120.4854166667</v>
      </c>
      <c r="S727" s="104">
        <v>46120.5381944444</v>
      </c>
      <c r="T727" s="104" t="s">
        <v>950</v>
      </c>
    </row>
    <row r="728" s="102" customFormat="1" ht="15" spans="1:20">
      <c r="A728" s="104" t="s">
        <v>22</v>
      </c>
      <c r="B728" s="104" t="s">
        <v>31</v>
      </c>
      <c r="C728" s="114"/>
      <c r="D728" s="114"/>
      <c r="E728" s="114"/>
      <c r="F728" s="114"/>
      <c r="G728" s="114"/>
      <c r="H728" s="104">
        <v>40801</v>
      </c>
      <c r="I728" s="104">
        <v>2</v>
      </c>
      <c r="J728" s="104">
        <v>2</v>
      </c>
      <c r="K728" s="104">
        <v>0</v>
      </c>
      <c r="L728" s="104">
        <v>2</v>
      </c>
      <c r="M728" s="104">
        <v>0.258</v>
      </c>
      <c r="N728" s="104" t="s">
        <v>24</v>
      </c>
      <c r="O728" s="104" t="s">
        <v>25</v>
      </c>
      <c r="P728" s="104" t="s">
        <v>271</v>
      </c>
      <c r="Q728" s="104">
        <v>46120.4854166667</v>
      </c>
      <c r="R728" s="104">
        <v>46120.4854166667</v>
      </c>
      <c r="S728" s="104">
        <v>46120.7430555556</v>
      </c>
      <c r="T728" s="104" t="s">
        <v>116</v>
      </c>
    </row>
    <row r="729" s="102" customFormat="1" ht="15" spans="1:20">
      <c r="A729" s="104" t="s">
        <v>22</v>
      </c>
      <c r="B729" s="104" t="s">
        <v>47</v>
      </c>
      <c r="C729" s="114"/>
      <c r="D729" s="114"/>
      <c r="E729" s="114"/>
      <c r="F729" s="114"/>
      <c r="G729" s="114"/>
      <c r="H729" s="104">
        <v>40801</v>
      </c>
      <c r="I729" s="104">
        <v>4</v>
      </c>
      <c r="J729" s="104">
        <v>3</v>
      </c>
      <c r="K729" s="104">
        <v>1</v>
      </c>
      <c r="L729" s="104">
        <v>2</v>
      </c>
      <c r="M729" s="104">
        <v>0.382</v>
      </c>
      <c r="N729" s="104" t="s">
        <v>24</v>
      </c>
      <c r="O729" s="104" t="s">
        <v>25</v>
      </c>
      <c r="P729" s="104" t="s">
        <v>271</v>
      </c>
      <c r="Q729" s="104">
        <v>46120.4861111111</v>
      </c>
      <c r="R729" s="104">
        <v>46120.4861111111</v>
      </c>
      <c r="S729" s="104">
        <v>46120.5388888889</v>
      </c>
      <c r="T729" s="104" t="s">
        <v>464</v>
      </c>
    </row>
    <row r="730" s="102" customFormat="1" ht="15" spans="1:20">
      <c r="A730" s="104" t="s">
        <v>22</v>
      </c>
      <c r="B730" s="104" t="s">
        <v>35</v>
      </c>
      <c r="C730" s="114"/>
      <c r="D730" s="114"/>
      <c r="E730" s="114"/>
      <c r="F730" s="114"/>
      <c r="G730" s="114"/>
      <c r="H730" s="104">
        <v>40801</v>
      </c>
      <c r="I730" s="104">
        <v>19</v>
      </c>
      <c r="J730" s="104">
        <v>2</v>
      </c>
      <c r="K730" s="104">
        <v>1</v>
      </c>
      <c r="L730" s="104">
        <v>1</v>
      </c>
      <c r="M730" s="104">
        <v>0.232</v>
      </c>
      <c r="N730" s="104" t="s">
        <v>24</v>
      </c>
      <c r="O730" s="104" t="s">
        <v>25</v>
      </c>
      <c r="P730" s="104" t="s">
        <v>271</v>
      </c>
      <c r="Q730" s="104">
        <v>46120.4861111111</v>
      </c>
      <c r="R730" s="104">
        <v>46120.4861111111</v>
      </c>
      <c r="S730" s="104">
        <v>46120.5388888889</v>
      </c>
      <c r="T730" s="104" t="s">
        <v>950</v>
      </c>
    </row>
    <row r="731" s="102" customFormat="1" ht="15" spans="1:20">
      <c r="A731" s="104" t="s">
        <v>22</v>
      </c>
      <c r="B731" s="104" t="s">
        <v>127</v>
      </c>
      <c r="C731" s="114"/>
      <c r="D731" s="104" t="s">
        <v>29</v>
      </c>
      <c r="E731" s="114"/>
      <c r="F731" s="114"/>
      <c r="G731" s="114"/>
      <c r="H731" s="104">
        <v>4081871</v>
      </c>
      <c r="I731" s="104">
        <v>0</v>
      </c>
      <c r="J731" s="104">
        <v>3</v>
      </c>
      <c r="K731" s="104">
        <v>2</v>
      </c>
      <c r="L731" s="104">
        <v>1</v>
      </c>
      <c r="M731" s="104">
        <v>0</v>
      </c>
      <c r="N731" s="104" t="s">
        <v>24</v>
      </c>
      <c r="O731" s="104" t="s">
        <v>25</v>
      </c>
      <c r="P731" s="104" t="s">
        <v>271</v>
      </c>
      <c r="Q731" s="104">
        <v>46120.4861111111</v>
      </c>
      <c r="R731" s="104">
        <v>46120.4861111111</v>
      </c>
      <c r="S731" s="104">
        <v>46120.5388888889</v>
      </c>
      <c r="T731" s="104" t="s">
        <v>950</v>
      </c>
    </row>
    <row r="732" s="102" customFormat="1" ht="15" spans="1:20">
      <c r="A732" s="104" t="s">
        <v>22</v>
      </c>
      <c r="B732" s="104" t="s">
        <v>49</v>
      </c>
      <c r="C732" s="104" t="s">
        <v>951</v>
      </c>
      <c r="D732" s="104" t="s">
        <v>51</v>
      </c>
      <c r="E732" s="114"/>
      <c r="F732" s="114"/>
      <c r="G732" s="114"/>
      <c r="H732" s="104">
        <v>4080001</v>
      </c>
      <c r="I732" s="104">
        <v>43</v>
      </c>
      <c r="J732" s="104">
        <v>28</v>
      </c>
      <c r="K732" s="104">
        <v>3</v>
      </c>
      <c r="L732" s="104">
        <v>25</v>
      </c>
      <c r="M732" s="104">
        <v>112.495</v>
      </c>
      <c r="N732" s="104" t="s">
        <v>24</v>
      </c>
      <c r="O732" s="104" t="s">
        <v>25</v>
      </c>
      <c r="P732" s="104" t="s">
        <v>271</v>
      </c>
      <c r="Q732" s="104">
        <v>46120.4854166667</v>
      </c>
      <c r="R732" s="104">
        <v>46120.4861111111</v>
      </c>
      <c r="S732" s="104">
        <v>46120.5388888889</v>
      </c>
      <c r="T732" s="104" t="s">
        <v>162</v>
      </c>
    </row>
    <row r="733" s="102" customFormat="1" ht="15" spans="1:20">
      <c r="A733" s="104" t="s">
        <v>22</v>
      </c>
      <c r="B733" s="104" t="s">
        <v>42</v>
      </c>
      <c r="C733" s="104" t="s">
        <v>952</v>
      </c>
      <c r="D733" s="104" t="s">
        <v>44</v>
      </c>
      <c r="E733" s="114"/>
      <c r="F733" s="114"/>
      <c r="G733" s="114"/>
      <c r="H733" s="104">
        <v>4080001</v>
      </c>
      <c r="I733" s="104">
        <v>975</v>
      </c>
      <c r="J733" s="104">
        <v>742</v>
      </c>
      <c r="K733" s="104">
        <v>8</v>
      </c>
      <c r="L733" s="104">
        <v>734</v>
      </c>
      <c r="M733" s="104">
        <v>790.878</v>
      </c>
      <c r="N733" s="104" t="s">
        <v>24</v>
      </c>
      <c r="O733" s="104" t="s">
        <v>25</v>
      </c>
      <c r="P733" s="104" t="s">
        <v>271</v>
      </c>
      <c r="Q733" s="104">
        <v>46120.4847222222</v>
      </c>
      <c r="R733" s="104">
        <v>46120.4868055556</v>
      </c>
      <c r="S733" s="104">
        <v>46120.5388888889</v>
      </c>
      <c r="T733" s="104" t="s">
        <v>162</v>
      </c>
    </row>
    <row r="734" s="102" customFormat="1" ht="15" spans="1:20">
      <c r="A734" s="104" t="s">
        <v>22</v>
      </c>
      <c r="B734" s="104" t="s">
        <v>53</v>
      </c>
      <c r="C734" s="104" t="s">
        <v>953</v>
      </c>
      <c r="D734" s="104" t="s">
        <v>55</v>
      </c>
      <c r="E734" s="114"/>
      <c r="F734" s="114"/>
      <c r="G734" s="114"/>
      <c r="H734" s="104">
        <v>4080001</v>
      </c>
      <c r="I734" s="104">
        <v>60</v>
      </c>
      <c r="J734" s="104">
        <v>18</v>
      </c>
      <c r="K734" s="104">
        <v>3</v>
      </c>
      <c r="L734" s="104">
        <v>15</v>
      </c>
      <c r="M734" s="104">
        <v>55.244</v>
      </c>
      <c r="N734" s="104" t="s">
        <v>24</v>
      </c>
      <c r="O734" s="104" t="s">
        <v>25</v>
      </c>
      <c r="P734" s="104" t="s">
        <v>271</v>
      </c>
      <c r="Q734" s="104">
        <v>46120.4805555556</v>
      </c>
      <c r="R734" s="104">
        <v>46120.4868055556</v>
      </c>
      <c r="S734" s="104">
        <v>46120.5395833333</v>
      </c>
      <c r="T734" s="104" t="s">
        <v>162</v>
      </c>
    </row>
    <row r="735" s="102" customFormat="1" ht="15" spans="1:20">
      <c r="A735" s="104" t="s">
        <v>22</v>
      </c>
      <c r="B735" s="104" t="s">
        <v>302</v>
      </c>
      <c r="C735" s="104" t="s">
        <v>954</v>
      </c>
      <c r="D735" s="104" t="s">
        <v>74</v>
      </c>
      <c r="E735" s="114"/>
      <c r="F735" s="114"/>
      <c r="G735" s="114"/>
      <c r="H735" s="104">
        <v>4070001</v>
      </c>
      <c r="I735" s="104">
        <v>1392</v>
      </c>
      <c r="J735" s="104">
        <v>1363</v>
      </c>
      <c r="K735" s="104">
        <v>11</v>
      </c>
      <c r="L735" s="104">
        <v>1352</v>
      </c>
      <c r="M735" s="104">
        <v>1777.954</v>
      </c>
      <c r="N735" s="104" t="s">
        <v>24</v>
      </c>
      <c r="O735" s="104" t="s">
        <v>25</v>
      </c>
      <c r="P735" s="104" t="s">
        <v>26</v>
      </c>
      <c r="Q735" s="104">
        <v>46119.8076388889</v>
      </c>
      <c r="R735" s="104">
        <v>46119.8159722222</v>
      </c>
      <c r="S735" s="104">
        <v>46119.8611111111</v>
      </c>
      <c r="T735" s="104" t="s">
        <v>730</v>
      </c>
    </row>
    <row r="736" s="102" customFormat="1" ht="15" spans="1:20">
      <c r="A736" s="104" t="s">
        <v>22</v>
      </c>
      <c r="B736" s="104" t="s">
        <v>314</v>
      </c>
      <c r="C736" s="104" t="s">
        <v>955</v>
      </c>
      <c r="D736" s="104" t="s">
        <v>293</v>
      </c>
      <c r="E736" s="114"/>
      <c r="F736" s="114"/>
      <c r="G736" s="114"/>
      <c r="H736" s="104">
        <v>4070001</v>
      </c>
      <c r="I736" s="104">
        <v>24</v>
      </c>
      <c r="J736" s="104">
        <v>8</v>
      </c>
      <c r="K736" s="104">
        <v>3</v>
      </c>
      <c r="L736" s="104">
        <v>5</v>
      </c>
      <c r="M736" s="104">
        <v>15.723</v>
      </c>
      <c r="N736" s="104" t="s">
        <v>24</v>
      </c>
      <c r="O736" s="104" t="s">
        <v>25</v>
      </c>
      <c r="P736" s="104" t="s">
        <v>26</v>
      </c>
      <c r="Q736" s="104">
        <v>46119.8131944444</v>
      </c>
      <c r="R736" s="104">
        <v>46119.8159722222</v>
      </c>
      <c r="S736" s="104">
        <v>46119.8611111111</v>
      </c>
      <c r="T736" s="104" t="s">
        <v>730</v>
      </c>
    </row>
    <row r="737" s="102" customFormat="1" ht="15" spans="1:20">
      <c r="A737" s="104" t="s">
        <v>22</v>
      </c>
      <c r="B737" s="104" t="s">
        <v>324</v>
      </c>
      <c r="C737" s="104" t="s">
        <v>956</v>
      </c>
      <c r="D737" s="104" t="s">
        <v>326</v>
      </c>
      <c r="E737" s="114"/>
      <c r="F737" s="114"/>
      <c r="G737" s="114"/>
      <c r="H737" s="104">
        <v>4070001</v>
      </c>
      <c r="I737" s="104">
        <v>3685</v>
      </c>
      <c r="J737" s="104">
        <v>2733</v>
      </c>
      <c r="K737" s="104">
        <v>678</v>
      </c>
      <c r="L737" s="104">
        <v>2055</v>
      </c>
      <c r="M737" s="104">
        <v>3201.226</v>
      </c>
      <c r="N737" s="104" t="s">
        <v>24</v>
      </c>
      <c r="O737" s="104" t="s">
        <v>25</v>
      </c>
      <c r="P737" s="104" t="s">
        <v>26</v>
      </c>
      <c r="Q737" s="104">
        <v>46119.81875</v>
      </c>
      <c r="R737" s="104">
        <v>46119.8291666667</v>
      </c>
      <c r="S737" s="104">
        <v>46119.8597222222</v>
      </c>
      <c r="T737" s="104" t="s">
        <v>471</v>
      </c>
    </row>
    <row r="738" s="102" customFormat="1" ht="15" spans="1:20">
      <c r="A738" s="104" t="s">
        <v>22</v>
      </c>
      <c r="B738" s="104" t="s">
        <v>212</v>
      </c>
      <c r="C738" s="104" t="s">
        <v>957</v>
      </c>
      <c r="D738" s="104" t="s">
        <v>321</v>
      </c>
      <c r="E738" s="114"/>
      <c r="F738" s="114"/>
      <c r="G738" s="114"/>
      <c r="H738" s="104">
        <v>4070001</v>
      </c>
      <c r="I738" s="104">
        <v>1392</v>
      </c>
      <c r="J738" s="104">
        <v>1392</v>
      </c>
      <c r="K738" s="104">
        <v>22</v>
      </c>
      <c r="L738" s="104">
        <v>1370</v>
      </c>
      <c r="M738" s="104">
        <v>2126.759</v>
      </c>
      <c r="N738" s="104" t="s">
        <v>24</v>
      </c>
      <c r="O738" s="104" t="s">
        <v>25</v>
      </c>
      <c r="P738" s="104" t="s">
        <v>26</v>
      </c>
      <c r="Q738" s="104">
        <v>46119.8229166667</v>
      </c>
      <c r="R738" s="104">
        <v>46119.8291666667</v>
      </c>
      <c r="S738" s="104">
        <v>46119.8625</v>
      </c>
      <c r="T738" s="104" t="s">
        <v>811</v>
      </c>
    </row>
    <row r="739" s="102" customFormat="1" ht="15" spans="1:20">
      <c r="A739" s="104" t="s">
        <v>22</v>
      </c>
      <c r="B739" s="104" t="s">
        <v>299</v>
      </c>
      <c r="C739" s="104" t="s">
        <v>958</v>
      </c>
      <c r="D739" s="104" t="s">
        <v>174</v>
      </c>
      <c r="E739" s="114"/>
      <c r="F739" s="114"/>
      <c r="G739" s="114"/>
      <c r="H739" s="104">
        <v>4070001</v>
      </c>
      <c r="I739" s="104">
        <v>4</v>
      </c>
      <c r="J739" s="104">
        <v>4</v>
      </c>
      <c r="K739" s="104">
        <v>1</v>
      </c>
      <c r="L739" s="104">
        <v>3</v>
      </c>
      <c r="M739" s="104">
        <v>1.2</v>
      </c>
      <c r="N739" s="104" t="s">
        <v>24</v>
      </c>
      <c r="O739" s="104" t="s">
        <v>25</v>
      </c>
      <c r="P739" s="104" t="s">
        <v>26</v>
      </c>
      <c r="Q739" s="104">
        <v>46119.8402777778</v>
      </c>
      <c r="R739" s="104">
        <v>46119.8430555556</v>
      </c>
      <c r="S739" s="104">
        <v>46119.8611111111</v>
      </c>
      <c r="T739" s="104" t="s">
        <v>547</v>
      </c>
    </row>
    <row r="740" s="102" customFormat="1" ht="15" spans="1:20">
      <c r="A740" s="104" t="s">
        <v>22</v>
      </c>
      <c r="B740" s="104" t="s">
        <v>336</v>
      </c>
      <c r="C740" s="104" t="s">
        <v>959</v>
      </c>
      <c r="D740" s="104" t="s">
        <v>190</v>
      </c>
      <c r="E740" s="114"/>
      <c r="F740" s="114"/>
      <c r="G740" s="114"/>
      <c r="H740" s="104">
        <v>4070001</v>
      </c>
      <c r="I740" s="104">
        <v>7089</v>
      </c>
      <c r="J740" s="104">
        <v>7089</v>
      </c>
      <c r="K740" s="104">
        <v>250</v>
      </c>
      <c r="L740" s="104">
        <v>6839</v>
      </c>
      <c r="M740" s="104">
        <v>5369.599</v>
      </c>
      <c r="N740" s="104" t="s">
        <v>24</v>
      </c>
      <c r="O740" s="104" t="s">
        <v>25</v>
      </c>
      <c r="P740" s="104" t="s">
        <v>26</v>
      </c>
      <c r="Q740" s="104">
        <v>46119.8409722222</v>
      </c>
      <c r="R740" s="104">
        <v>46119.8430555556</v>
      </c>
      <c r="S740" s="104">
        <v>46119.8625</v>
      </c>
      <c r="T740" s="104" t="s">
        <v>571</v>
      </c>
    </row>
    <row r="741" s="102" customFormat="1" ht="15" spans="1:20">
      <c r="A741" s="104" t="s">
        <v>22</v>
      </c>
      <c r="B741" s="104" t="s">
        <v>229</v>
      </c>
      <c r="C741" s="104" t="s">
        <v>960</v>
      </c>
      <c r="D741" s="104" t="s">
        <v>627</v>
      </c>
      <c r="E741" s="114"/>
      <c r="F741" s="104" t="s">
        <v>79</v>
      </c>
      <c r="G741" s="114"/>
      <c r="H741" s="104">
        <v>4070001</v>
      </c>
      <c r="I741" s="104">
        <v>7819</v>
      </c>
      <c r="J741" s="104">
        <v>7779</v>
      </c>
      <c r="K741" s="104">
        <v>3188</v>
      </c>
      <c r="L741" s="104">
        <v>4591</v>
      </c>
      <c r="M741" s="104">
        <v>10083.579</v>
      </c>
      <c r="N741" s="104" t="s">
        <v>24</v>
      </c>
      <c r="O741" s="104" t="s">
        <v>25</v>
      </c>
      <c r="P741" s="104" t="s">
        <v>26</v>
      </c>
      <c r="Q741" s="104">
        <v>46119.8513888889</v>
      </c>
      <c r="R741" s="104">
        <v>46119.8541666667</v>
      </c>
      <c r="S741" s="104">
        <v>46119.8625</v>
      </c>
      <c r="T741" s="104" t="s">
        <v>787</v>
      </c>
    </row>
    <row r="742" s="102" customFormat="1" ht="15" spans="1:20">
      <c r="A742" s="104" t="s">
        <v>22</v>
      </c>
      <c r="B742" s="104" t="s">
        <v>127</v>
      </c>
      <c r="C742" s="114"/>
      <c r="D742" s="104" t="s">
        <v>29</v>
      </c>
      <c r="E742" s="114"/>
      <c r="F742" s="114"/>
      <c r="G742" s="114"/>
      <c r="H742" s="104">
        <v>4071867</v>
      </c>
      <c r="I742" s="104">
        <v>10</v>
      </c>
      <c r="J742" s="104">
        <v>1</v>
      </c>
      <c r="K742" s="104">
        <v>0</v>
      </c>
      <c r="L742" s="104">
        <v>1</v>
      </c>
      <c r="M742" s="104">
        <v>0</v>
      </c>
      <c r="N742" s="104" t="s">
        <v>24</v>
      </c>
      <c r="O742" s="104" t="s">
        <v>25</v>
      </c>
      <c r="P742" s="104" t="s">
        <v>26</v>
      </c>
      <c r="Q742" s="104">
        <v>46119.86875</v>
      </c>
      <c r="R742" s="104">
        <v>46119.86875</v>
      </c>
      <c r="S742" s="104">
        <v>46120.2819444444</v>
      </c>
      <c r="T742" s="104" t="s">
        <v>961</v>
      </c>
    </row>
    <row r="743" s="102" customFormat="1" ht="15" spans="1:20">
      <c r="A743" s="104" t="s">
        <v>22</v>
      </c>
      <c r="B743" s="104" t="s">
        <v>223</v>
      </c>
      <c r="C743" s="104" t="s">
        <v>962</v>
      </c>
      <c r="D743" s="104" t="s">
        <v>329</v>
      </c>
      <c r="E743" s="114"/>
      <c r="F743" s="114"/>
      <c r="G743" s="104" t="s">
        <v>963</v>
      </c>
      <c r="H743" s="104">
        <v>4070001</v>
      </c>
      <c r="I743" s="104">
        <v>2807</v>
      </c>
      <c r="J743" s="104">
        <v>2807</v>
      </c>
      <c r="K743" s="104">
        <v>13</v>
      </c>
      <c r="L743" s="104">
        <v>2794</v>
      </c>
      <c r="M743" s="104">
        <v>1180.842</v>
      </c>
      <c r="N743" s="104" t="s">
        <v>24</v>
      </c>
      <c r="O743" s="104" t="s">
        <v>25</v>
      </c>
      <c r="P743" s="104" t="s">
        <v>26</v>
      </c>
      <c r="Q743" s="104">
        <v>46119.86875</v>
      </c>
      <c r="R743" s="104">
        <v>46119.86875</v>
      </c>
      <c r="S743" s="104">
        <v>46120.2819444444</v>
      </c>
      <c r="T743" s="104" t="s">
        <v>961</v>
      </c>
    </row>
    <row r="744" s="102" customFormat="1" ht="15" spans="1:20">
      <c r="A744" s="104" t="s">
        <v>22</v>
      </c>
      <c r="B744" s="104" t="s">
        <v>127</v>
      </c>
      <c r="C744" s="114"/>
      <c r="D744" s="104" t="s">
        <v>29</v>
      </c>
      <c r="E744" s="114"/>
      <c r="F744" s="114"/>
      <c r="G744" s="114"/>
      <c r="H744" s="104">
        <v>4071868</v>
      </c>
      <c r="I744" s="104">
        <v>1</v>
      </c>
      <c r="J744" s="104">
        <v>2</v>
      </c>
      <c r="K744" s="104">
        <v>0</v>
      </c>
      <c r="L744" s="104">
        <v>2</v>
      </c>
      <c r="M744" s="104">
        <v>0.02</v>
      </c>
      <c r="N744" s="104" t="s">
        <v>24</v>
      </c>
      <c r="O744" s="104" t="s">
        <v>25</v>
      </c>
      <c r="P744" s="104" t="s">
        <v>26</v>
      </c>
      <c r="Q744" s="104">
        <v>46119.8958333333</v>
      </c>
      <c r="R744" s="104">
        <v>46119.8958333333</v>
      </c>
      <c r="S744" s="104">
        <v>46120.2819444444</v>
      </c>
      <c r="T744" s="104" t="s">
        <v>964</v>
      </c>
    </row>
    <row r="745" s="102" customFormat="1" ht="15" spans="1:20">
      <c r="A745" s="104" t="s">
        <v>22</v>
      </c>
      <c r="B745" s="104" t="s">
        <v>107</v>
      </c>
      <c r="C745" s="104" t="s">
        <v>965</v>
      </c>
      <c r="D745" s="104" t="s">
        <v>529</v>
      </c>
      <c r="E745" s="104" t="s">
        <v>530</v>
      </c>
      <c r="F745" s="104" t="s">
        <v>531</v>
      </c>
      <c r="G745" s="114"/>
      <c r="H745" s="104">
        <v>4070001</v>
      </c>
      <c r="I745" s="104">
        <v>17410</v>
      </c>
      <c r="J745" s="104">
        <v>3135</v>
      </c>
      <c r="K745" s="104">
        <v>21</v>
      </c>
      <c r="L745" s="104">
        <v>3114</v>
      </c>
      <c r="M745" s="104">
        <v>11100.877</v>
      </c>
      <c r="N745" s="104" t="s">
        <v>24</v>
      </c>
      <c r="O745" s="104" t="s">
        <v>70</v>
      </c>
      <c r="P745" s="104" t="s">
        <v>26</v>
      </c>
      <c r="Q745" s="104">
        <v>46119.7652777778</v>
      </c>
      <c r="R745" s="104">
        <v>46119.9402777778</v>
      </c>
      <c r="S745" s="104">
        <v>46120.0041666667</v>
      </c>
      <c r="T745" s="104" t="s">
        <v>446</v>
      </c>
    </row>
    <row r="746" s="102" customFormat="1" ht="15" spans="1:20">
      <c r="A746" s="104" t="s">
        <v>22</v>
      </c>
      <c r="B746" s="104" t="s">
        <v>527</v>
      </c>
      <c r="C746" s="104" t="s">
        <v>966</v>
      </c>
      <c r="D746" s="104" t="s">
        <v>374</v>
      </c>
      <c r="E746" s="104" t="s">
        <v>375</v>
      </c>
      <c r="F746" s="104" t="s">
        <v>376</v>
      </c>
      <c r="G746" s="114"/>
      <c r="H746" s="104">
        <v>4070001</v>
      </c>
      <c r="I746" s="104">
        <v>17549</v>
      </c>
      <c r="J746" s="104">
        <v>2423</v>
      </c>
      <c r="K746" s="104">
        <v>1</v>
      </c>
      <c r="L746" s="104">
        <v>2422</v>
      </c>
      <c r="M746" s="104">
        <v>9616.418</v>
      </c>
      <c r="N746" s="104" t="s">
        <v>24</v>
      </c>
      <c r="O746" s="104" t="s">
        <v>70</v>
      </c>
      <c r="P746" s="104" t="s">
        <v>26</v>
      </c>
      <c r="Q746" s="104">
        <v>46119.8590277778</v>
      </c>
      <c r="R746" s="104">
        <v>46119.9541666667</v>
      </c>
      <c r="S746" s="104">
        <v>46120.0041666667</v>
      </c>
      <c r="T746" s="104" t="s">
        <v>724</v>
      </c>
    </row>
    <row r="747" s="102" customFormat="1" ht="15" spans="1:20">
      <c r="A747" s="104" t="s">
        <v>22</v>
      </c>
      <c r="B747" s="104" t="s">
        <v>99</v>
      </c>
      <c r="C747" s="104" t="s">
        <v>99</v>
      </c>
      <c r="D747" s="104" t="s">
        <v>29</v>
      </c>
      <c r="E747" s="114"/>
      <c r="F747" s="114"/>
      <c r="G747" s="114"/>
      <c r="H747" s="104" t="s">
        <v>99</v>
      </c>
      <c r="I747" s="104">
        <v>8409</v>
      </c>
      <c r="J747" s="104">
        <v>8409</v>
      </c>
      <c r="K747" s="104">
        <v>0</v>
      </c>
      <c r="L747" s="104">
        <v>22</v>
      </c>
      <c r="M747" s="104">
        <v>13021.765</v>
      </c>
      <c r="N747" s="104" t="s">
        <v>24</v>
      </c>
      <c r="O747" s="104" t="s">
        <v>25</v>
      </c>
      <c r="P747" s="104" t="s">
        <v>967</v>
      </c>
      <c r="Q747" s="114"/>
      <c r="R747" s="104">
        <v>46120</v>
      </c>
      <c r="S747" s="114"/>
      <c r="T747" s="114"/>
    </row>
    <row r="748" s="102" customFormat="1" ht="15" spans="1:20">
      <c r="A748" s="104" t="s">
        <v>22</v>
      </c>
      <c r="B748" s="104" t="s">
        <v>362</v>
      </c>
      <c r="C748" s="114"/>
      <c r="D748" s="114"/>
      <c r="E748" s="114"/>
      <c r="F748" s="114"/>
      <c r="G748" s="114"/>
      <c r="H748" s="104" t="s">
        <v>97</v>
      </c>
      <c r="I748" s="104">
        <v>156442</v>
      </c>
      <c r="J748" s="104">
        <v>6071</v>
      </c>
      <c r="K748" s="104">
        <v>0</v>
      </c>
      <c r="L748" s="104">
        <v>6071</v>
      </c>
      <c r="M748" s="104">
        <v>77722.906</v>
      </c>
      <c r="N748" s="104" t="s">
        <v>24</v>
      </c>
      <c r="O748" s="104" t="s">
        <v>70</v>
      </c>
      <c r="P748" s="104" t="s">
        <v>968</v>
      </c>
      <c r="Q748" s="114"/>
      <c r="R748" s="104">
        <v>46120</v>
      </c>
      <c r="S748" s="114"/>
      <c r="T748" s="114"/>
    </row>
    <row r="749" s="102" customFormat="1" ht="15" spans="1:20">
      <c r="A749" s="104" t="s">
        <v>22</v>
      </c>
      <c r="B749" s="104" t="s">
        <v>357</v>
      </c>
      <c r="C749" s="104" t="s">
        <v>969</v>
      </c>
      <c r="D749" s="104" t="s">
        <v>359</v>
      </c>
      <c r="E749" s="104" t="s">
        <v>970</v>
      </c>
      <c r="F749" s="104" t="s">
        <v>971</v>
      </c>
      <c r="G749" s="114"/>
      <c r="H749" s="104">
        <v>4070001</v>
      </c>
      <c r="I749" s="104">
        <v>20167</v>
      </c>
      <c r="J749" s="104">
        <v>2891</v>
      </c>
      <c r="K749" s="104">
        <v>2</v>
      </c>
      <c r="L749" s="104">
        <v>2889</v>
      </c>
      <c r="M749" s="104">
        <v>11290.708</v>
      </c>
      <c r="N749" s="104" t="s">
        <v>24</v>
      </c>
      <c r="O749" s="104" t="s">
        <v>70</v>
      </c>
      <c r="P749" s="104" t="s">
        <v>26</v>
      </c>
      <c r="Q749" s="104">
        <v>46120.0041666667</v>
      </c>
      <c r="R749" s="104">
        <v>46120.00625</v>
      </c>
      <c r="S749" s="104">
        <v>46120.1319444444</v>
      </c>
      <c r="T749" s="104" t="s">
        <v>876</v>
      </c>
    </row>
    <row r="750" s="102" customFormat="1" ht="15" spans="1:20">
      <c r="A750" s="104" t="s">
        <v>22</v>
      </c>
      <c r="B750" s="104" t="s">
        <v>113</v>
      </c>
      <c r="C750" s="104" t="s">
        <v>972</v>
      </c>
      <c r="D750" s="104" t="s">
        <v>115</v>
      </c>
      <c r="E750" s="114"/>
      <c r="F750" s="114"/>
      <c r="G750" s="114"/>
      <c r="H750" s="104">
        <v>4070001</v>
      </c>
      <c r="I750" s="104">
        <v>1041</v>
      </c>
      <c r="J750" s="104">
        <v>381</v>
      </c>
      <c r="K750" s="104">
        <v>1</v>
      </c>
      <c r="L750" s="104">
        <v>380</v>
      </c>
      <c r="M750" s="104">
        <v>1253.463</v>
      </c>
      <c r="N750" s="104" t="s">
        <v>24</v>
      </c>
      <c r="O750" s="104" t="s">
        <v>70</v>
      </c>
      <c r="P750" s="104" t="s">
        <v>26</v>
      </c>
      <c r="Q750" s="104">
        <v>46120.13125</v>
      </c>
      <c r="R750" s="104">
        <v>46120.1326388889</v>
      </c>
      <c r="S750" s="104">
        <v>46120.1409722222</v>
      </c>
      <c r="T750" s="104" t="s">
        <v>787</v>
      </c>
    </row>
    <row r="751" s="102" customFormat="1" ht="15" spans="1:20">
      <c r="A751" s="104" t="s">
        <v>22</v>
      </c>
      <c r="B751" s="104" t="s">
        <v>117</v>
      </c>
      <c r="C751" s="104" t="s">
        <v>973</v>
      </c>
      <c r="D751" s="104" t="s">
        <v>371</v>
      </c>
      <c r="E751" s="114"/>
      <c r="F751" s="114"/>
      <c r="G751" s="114"/>
      <c r="H751" s="104">
        <v>4080001</v>
      </c>
      <c r="I751" s="104">
        <v>4850</v>
      </c>
      <c r="J751" s="104">
        <v>1550</v>
      </c>
      <c r="K751" s="104">
        <v>2</v>
      </c>
      <c r="L751" s="104">
        <v>1548</v>
      </c>
      <c r="M751" s="104">
        <v>5611.54</v>
      </c>
      <c r="N751" s="104" t="s">
        <v>24</v>
      </c>
      <c r="O751" s="104" t="s">
        <v>70</v>
      </c>
      <c r="P751" s="104" t="s">
        <v>26</v>
      </c>
      <c r="Q751" s="104">
        <v>46120.1458333333</v>
      </c>
      <c r="R751" s="104">
        <v>46120.1465277778</v>
      </c>
      <c r="S751" s="104">
        <v>46120.2125</v>
      </c>
      <c r="T751" s="104" t="s">
        <v>741</v>
      </c>
    </row>
    <row r="752" s="102" customFormat="1" ht="15" spans="1:20">
      <c r="A752" s="104" t="s">
        <v>22</v>
      </c>
      <c r="B752" s="104" t="s">
        <v>121</v>
      </c>
      <c r="C752" s="104" t="s">
        <v>974</v>
      </c>
      <c r="D752" s="104" t="s">
        <v>144</v>
      </c>
      <c r="E752" s="104" t="s">
        <v>145</v>
      </c>
      <c r="F752" s="104" t="s">
        <v>146</v>
      </c>
      <c r="G752" s="114"/>
      <c r="H752" s="104">
        <v>4080001</v>
      </c>
      <c r="I752" s="104">
        <v>15853</v>
      </c>
      <c r="J752" s="104">
        <v>3944</v>
      </c>
      <c r="K752" s="104">
        <v>1</v>
      </c>
      <c r="L752" s="104">
        <v>3943</v>
      </c>
      <c r="M752" s="104">
        <v>13970.921</v>
      </c>
      <c r="N752" s="104" t="s">
        <v>24</v>
      </c>
      <c r="O752" s="104" t="s">
        <v>70</v>
      </c>
      <c r="P752" s="104" t="s">
        <v>26</v>
      </c>
      <c r="Q752" s="104">
        <v>46120.1888888889</v>
      </c>
      <c r="R752" s="104">
        <v>46120.1902777778</v>
      </c>
      <c r="S752" s="104">
        <v>46120.2402777778</v>
      </c>
      <c r="T752" s="104" t="s">
        <v>377</v>
      </c>
    </row>
    <row r="753" s="102" customFormat="1" ht="15" spans="1:20">
      <c r="A753" s="104" t="s">
        <v>22</v>
      </c>
      <c r="B753" s="104" t="s">
        <v>127</v>
      </c>
      <c r="C753" s="114"/>
      <c r="D753" s="104" t="s">
        <v>29</v>
      </c>
      <c r="E753" s="114"/>
      <c r="F753" s="114"/>
      <c r="G753" s="114"/>
      <c r="H753" s="104">
        <v>4081870</v>
      </c>
      <c r="I753" s="104">
        <v>47</v>
      </c>
      <c r="J753" s="104">
        <v>12</v>
      </c>
      <c r="K753" s="104">
        <v>0</v>
      </c>
      <c r="L753" s="104">
        <v>12</v>
      </c>
      <c r="M753" s="104">
        <v>3.698</v>
      </c>
      <c r="N753" s="104" t="s">
        <v>24</v>
      </c>
      <c r="O753" s="104" t="s">
        <v>25</v>
      </c>
      <c r="P753" s="104" t="s">
        <v>26</v>
      </c>
      <c r="Q753" s="104">
        <v>46120.2131944444</v>
      </c>
      <c r="R753" s="104">
        <v>46120.2131944444</v>
      </c>
      <c r="S753" s="104">
        <v>46120.2819444444</v>
      </c>
      <c r="T753" s="104" t="s">
        <v>179</v>
      </c>
    </row>
    <row r="754" s="102" customFormat="1" ht="15" spans="1:20">
      <c r="A754" s="104" t="s">
        <v>22</v>
      </c>
      <c r="B754" s="104" t="s">
        <v>197</v>
      </c>
      <c r="C754" s="104" t="s">
        <v>975</v>
      </c>
      <c r="D754" s="104" t="s">
        <v>422</v>
      </c>
      <c r="E754" s="114"/>
      <c r="F754" s="114"/>
      <c r="G754" s="114"/>
      <c r="H754" s="104">
        <v>4080001</v>
      </c>
      <c r="I754" s="104">
        <v>6261</v>
      </c>
      <c r="J754" s="104">
        <v>5976</v>
      </c>
      <c r="K754" s="104">
        <v>39</v>
      </c>
      <c r="L754" s="104">
        <v>5937</v>
      </c>
      <c r="M754" s="104">
        <v>4488.3</v>
      </c>
      <c r="N754" s="104" t="s">
        <v>24</v>
      </c>
      <c r="O754" s="104" t="s">
        <v>25</v>
      </c>
      <c r="P754" s="104" t="s">
        <v>271</v>
      </c>
      <c r="Q754" s="104">
        <v>46120.5506944444</v>
      </c>
      <c r="R754" s="104">
        <v>46120.5527777778</v>
      </c>
      <c r="S754" s="104">
        <v>46120.5666666667</v>
      </c>
      <c r="T754" s="104" t="s">
        <v>533</v>
      </c>
    </row>
    <row r="755" s="102" customFormat="1" ht="30" spans="1:20">
      <c r="A755" s="104" t="s">
        <v>22</v>
      </c>
      <c r="B755" s="104" t="s">
        <v>154</v>
      </c>
      <c r="C755" s="114"/>
      <c r="D755" s="104" t="s">
        <v>29</v>
      </c>
      <c r="E755" s="114"/>
      <c r="F755" s="114"/>
      <c r="G755" s="114"/>
      <c r="H755" s="104">
        <v>4081024</v>
      </c>
      <c r="I755" s="104">
        <v>2</v>
      </c>
      <c r="J755" s="104">
        <v>2</v>
      </c>
      <c r="K755" s="104">
        <v>0</v>
      </c>
      <c r="L755" s="104">
        <v>2</v>
      </c>
      <c r="M755" s="104">
        <v>9.98</v>
      </c>
      <c r="N755" s="104" t="s">
        <v>24</v>
      </c>
      <c r="O755" s="104" t="s">
        <v>25</v>
      </c>
      <c r="P755" s="104" t="s">
        <v>155</v>
      </c>
      <c r="Q755" s="104">
        <v>46120.6111111111</v>
      </c>
      <c r="R755" s="104">
        <v>46120.6111111111</v>
      </c>
      <c r="S755" s="114"/>
      <c r="T755" s="114"/>
    </row>
    <row r="756" s="102" customFormat="1" ht="15" spans="1:20">
      <c r="A756" s="104" t="s">
        <v>22</v>
      </c>
      <c r="B756" s="104" t="s">
        <v>201</v>
      </c>
      <c r="C756" s="104" t="s">
        <v>976</v>
      </c>
      <c r="D756" s="104" t="s">
        <v>123</v>
      </c>
      <c r="E756" s="104" t="s">
        <v>124</v>
      </c>
      <c r="F756" s="104" t="s">
        <v>125</v>
      </c>
      <c r="G756" s="114"/>
      <c r="H756" s="104">
        <v>4080001</v>
      </c>
      <c r="I756" s="104">
        <v>14143</v>
      </c>
      <c r="J756" s="104">
        <v>2491</v>
      </c>
      <c r="K756" s="104">
        <v>6</v>
      </c>
      <c r="L756" s="104">
        <v>2485</v>
      </c>
      <c r="M756" s="104">
        <v>8959.96</v>
      </c>
      <c r="N756" s="104" t="s">
        <v>24</v>
      </c>
      <c r="O756" s="104" t="s">
        <v>70</v>
      </c>
      <c r="P756" s="104" t="s">
        <v>271</v>
      </c>
      <c r="Q756" s="104">
        <v>46120.4784722222</v>
      </c>
      <c r="R756" s="104">
        <v>46120.6194444444</v>
      </c>
      <c r="S756" s="104">
        <v>46120.6819444444</v>
      </c>
      <c r="T756" s="104" t="s">
        <v>448</v>
      </c>
    </row>
    <row r="757" s="102" customFormat="1" ht="15" spans="1:20">
      <c r="A757" s="104" t="s">
        <v>22</v>
      </c>
      <c r="B757" s="104" t="s">
        <v>207</v>
      </c>
      <c r="C757" s="104" t="s">
        <v>977</v>
      </c>
      <c r="D757" s="104" t="s">
        <v>203</v>
      </c>
      <c r="E757" s="104" t="s">
        <v>204</v>
      </c>
      <c r="F757" s="104" t="s">
        <v>205</v>
      </c>
      <c r="G757" s="114"/>
      <c r="H757" s="104">
        <v>4080001</v>
      </c>
      <c r="I757" s="104">
        <v>15440</v>
      </c>
      <c r="J757" s="104">
        <v>2857</v>
      </c>
      <c r="K757" s="104">
        <v>4</v>
      </c>
      <c r="L757" s="104">
        <v>2853</v>
      </c>
      <c r="M757" s="104">
        <v>10130.93</v>
      </c>
      <c r="N757" s="104" t="s">
        <v>24</v>
      </c>
      <c r="O757" s="104" t="s">
        <v>70</v>
      </c>
      <c r="P757" s="104" t="s">
        <v>271</v>
      </c>
      <c r="Q757" s="104">
        <v>46120.5895833333</v>
      </c>
      <c r="R757" s="104">
        <v>46120.6201388889</v>
      </c>
      <c r="S757" s="104">
        <v>46120.6819444444</v>
      </c>
      <c r="T757" s="104" t="s">
        <v>448</v>
      </c>
    </row>
    <row r="758" s="102" customFormat="1" ht="15" spans="1:20">
      <c r="A758" s="104" t="s">
        <v>22</v>
      </c>
      <c r="B758" s="104" t="s">
        <v>219</v>
      </c>
      <c r="C758" s="104" t="s">
        <v>978</v>
      </c>
      <c r="D758" s="104" t="s">
        <v>221</v>
      </c>
      <c r="E758" s="114"/>
      <c r="F758" s="114"/>
      <c r="G758" s="104">
        <v>11111111111111</v>
      </c>
      <c r="H758" s="104">
        <v>4080002</v>
      </c>
      <c r="I758" s="104">
        <v>3850</v>
      </c>
      <c r="J758" s="104">
        <v>3850</v>
      </c>
      <c r="K758" s="104">
        <v>7</v>
      </c>
      <c r="L758" s="104">
        <v>3843</v>
      </c>
      <c r="M758" s="104">
        <v>2296.34</v>
      </c>
      <c r="N758" s="104" t="s">
        <v>24</v>
      </c>
      <c r="O758" s="104" t="s">
        <v>25</v>
      </c>
      <c r="P758" s="104" t="s">
        <v>271</v>
      </c>
      <c r="Q758" s="104">
        <v>46120.7013888889</v>
      </c>
      <c r="R758" s="104">
        <v>46120.7104166667</v>
      </c>
      <c r="S758" s="104">
        <v>46120.74375</v>
      </c>
      <c r="T758" s="104" t="s">
        <v>153</v>
      </c>
    </row>
    <row r="759" s="102" customFormat="1" ht="15" spans="1:20">
      <c r="A759" s="104" t="s">
        <v>22</v>
      </c>
      <c r="B759" s="104" t="s">
        <v>219</v>
      </c>
      <c r="C759" s="104" t="s">
        <v>979</v>
      </c>
      <c r="D759" s="104" t="s">
        <v>248</v>
      </c>
      <c r="E759" s="114"/>
      <c r="F759" s="114"/>
      <c r="G759" s="104">
        <v>11111111111111</v>
      </c>
      <c r="H759" s="104">
        <v>4080003</v>
      </c>
      <c r="I759" s="104">
        <v>3796</v>
      </c>
      <c r="J759" s="104">
        <v>3796</v>
      </c>
      <c r="K759" s="104">
        <v>19</v>
      </c>
      <c r="L759" s="104">
        <v>3777</v>
      </c>
      <c r="M759" s="104">
        <v>3656.98</v>
      </c>
      <c r="N759" s="104" t="s">
        <v>24</v>
      </c>
      <c r="O759" s="104" t="s">
        <v>25</v>
      </c>
      <c r="P759" s="104" t="s">
        <v>271</v>
      </c>
      <c r="Q759" s="104">
        <v>46120.7118055556</v>
      </c>
      <c r="R759" s="104">
        <v>46120.7131944444</v>
      </c>
      <c r="S759" s="104">
        <v>46120.74375</v>
      </c>
      <c r="T759" s="104" t="s">
        <v>471</v>
      </c>
    </row>
    <row r="760" s="102" customFormat="1" ht="15" spans="1:20">
      <c r="A760" s="104" t="s">
        <v>22</v>
      </c>
      <c r="B760" s="104" t="s">
        <v>236</v>
      </c>
      <c r="C760" s="114"/>
      <c r="D760" s="114"/>
      <c r="E760" s="114"/>
      <c r="F760" s="114"/>
      <c r="G760" s="114"/>
      <c r="H760" s="104">
        <v>4084817</v>
      </c>
      <c r="I760" s="104">
        <v>1155</v>
      </c>
      <c r="J760" s="104">
        <v>1155</v>
      </c>
      <c r="K760" s="104">
        <v>1148</v>
      </c>
      <c r="L760" s="104">
        <v>7</v>
      </c>
      <c r="M760" s="104">
        <v>463.81</v>
      </c>
      <c r="N760" s="104" t="s">
        <v>24</v>
      </c>
      <c r="O760" s="104" t="s">
        <v>25</v>
      </c>
      <c r="P760" s="104" t="s">
        <v>271</v>
      </c>
      <c r="Q760" s="104">
        <v>46120.7166666667</v>
      </c>
      <c r="R760" s="104">
        <v>46120.7166666667</v>
      </c>
      <c r="S760" s="104">
        <v>46120.7430555556</v>
      </c>
      <c r="T760" s="104" t="s">
        <v>980</v>
      </c>
    </row>
    <row r="761" s="102" customFormat="1" ht="15" spans="1:20">
      <c r="A761" s="104" t="s">
        <v>22</v>
      </c>
      <c r="B761" s="104" t="s">
        <v>236</v>
      </c>
      <c r="C761" s="114"/>
      <c r="D761" s="114"/>
      <c r="E761" s="114"/>
      <c r="F761" s="114"/>
      <c r="G761" s="114"/>
      <c r="H761" s="104">
        <v>4084818</v>
      </c>
      <c r="I761" s="104">
        <v>296</v>
      </c>
      <c r="J761" s="104">
        <v>296</v>
      </c>
      <c r="K761" s="104">
        <v>0</v>
      </c>
      <c r="L761" s="104">
        <v>296</v>
      </c>
      <c r="M761" s="104">
        <v>655.53</v>
      </c>
      <c r="N761" s="104" t="s">
        <v>24</v>
      </c>
      <c r="O761" s="104" t="s">
        <v>25</v>
      </c>
      <c r="P761" s="104" t="s">
        <v>271</v>
      </c>
      <c r="Q761" s="104">
        <v>46120.7166666667</v>
      </c>
      <c r="R761" s="104">
        <v>46120.7166666667</v>
      </c>
      <c r="S761" s="104">
        <v>46120.7430555556</v>
      </c>
      <c r="T761" s="104" t="s">
        <v>980</v>
      </c>
    </row>
    <row r="762" s="102" customFormat="1" ht="15" spans="1:20">
      <c r="A762" s="104" t="s">
        <v>22</v>
      </c>
      <c r="B762" s="104" t="s">
        <v>90</v>
      </c>
      <c r="C762" s="114"/>
      <c r="D762" s="114"/>
      <c r="E762" s="114"/>
      <c r="F762" s="114"/>
      <c r="G762" s="114"/>
      <c r="H762" s="104">
        <v>40801</v>
      </c>
      <c r="I762" s="104">
        <v>8</v>
      </c>
      <c r="J762" s="104">
        <v>1</v>
      </c>
      <c r="K762" s="104">
        <v>0</v>
      </c>
      <c r="L762" s="104">
        <v>1</v>
      </c>
      <c r="M762" s="104">
        <v>0.16</v>
      </c>
      <c r="N762" s="104" t="s">
        <v>24</v>
      </c>
      <c r="O762" s="104" t="s">
        <v>25</v>
      </c>
      <c r="P762" s="104" t="s">
        <v>271</v>
      </c>
      <c r="Q762" s="104">
        <v>46120.7166666667</v>
      </c>
      <c r="R762" s="104">
        <v>46120.7166666667</v>
      </c>
      <c r="S762" s="104">
        <v>46120.7430555556</v>
      </c>
      <c r="T762" s="104" t="s">
        <v>980</v>
      </c>
    </row>
    <row r="763" s="102" customFormat="1" ht="15" spans="1:20">
      <c r="A763" s="104" t="s">
        <v>22</v>
      </c>
      <c r="B763" s="104" t="s">
        <v>81</v>
      </c>
      <c r="C763" s="114"/>
      <c r="D763" s="114"/>
      <c r="E763" s="114"/>
      <c r="F763" s="114"/>
      <c r="G763" s="114"/>
      <c r="H763" s="104">
        <v>4083651</v>
      </c>
      <c r="I763" s="104">
        <v>26</v>
      </c>
      <c r="J763" s="104">
        <v>18</v>
      </c>
      <c r="K763" s="104">
        <v>0</v>
      </c>
      <c r="L763" s="104">
        <v>18</v>
      </c>
      <c r="M763" s="104">
        <v>22.477</v>
      </c>
      <c r="N763" s="104" t="s">
        <v>24</v>
      </c>
      <c r="O763" s="104" t="s">
        <v>25</v>
      </c>
      <c r="P763" s="104" t="s">
        <v>271</v>
      </c>
      <c r="Q763" s="104">
        <v>46120.7173611111</v>
      </c>
      <c r="R763" s="104">
        <v>46120.7173611111</v>
      </c>
      <c r="S763" s="104">
        <v>46120.74375</v>
      </c>
      <c r="T763" s="104" t="s">
        <v>980</v>
      </c>
    </row>
    <row r="764" s="102" customFormat="1" ht="15" spans="1:20">
      <c r="A764" s="104" t="s">
        <v>22</v>
      </c>
      <c r="B764" s="104" t="s">
        <v>81</v>
      </c>
      <c r="C764" s="114"/>
      <c r="D764" s="114"/>
      <c r="E764" s="114"/>
      <c r="F764" s="114"/>
      <c r="G764" s="114"/>
      <c r="H764" s="104">
        <v>4083566</v>
      </c>
      <c r="I764" s="104">
        <v>14</v>
      </c>
      <c r="J764" s="104">
        <v>11</v>
      </c>
      <c r="K764" s="104">
        <v>0</v>
      </c>
      <c r="L764" s="104">
        <v>11</v>
      </c>
      <c r="M764" s="104">
        <v>10.87</v>
      </c>
      <c r="N764" s="104" t="s">
        <v>24</v>
      </c>
      <c r="O764" s="104" t="s">
        <v>25</v>
      </c>
      <c r="P764" s="104" t="s">
        <v>271</v>
      </c>
      <c r="Q764" s="104">
        <v>46120.7173611111</v>
      </c>
      <c r="R764" s="104">
        <v>46120.7173611111</v>
      </c>
      <c r="S764" s="104">
        <v>46120.74375</v>
      </c>
      <c r="T764" s="104" t="s">
        <v>980</v>
      </c>
    </row>
    <row r="765" s="102" customFormat="1" ht="15" spans="1:20">
      <c r="A765" s="104" t="s">
        <v>22</v>
      </c>
      <c r="B765" s="104" t="s">
        <v>81</v>
      </c>
      <c r="C765" s="114"/>
      <c r="D765" s="114"/>
      <c r="E765" s="114"/>
      <c r="F765" s="114"/>
      <c r="G765" s="114"/>
      <c r="H765" s="104">
        <v>40801</v>
      </c>
      <c r="I765" s="104">
        <v>88</v>
      </c>
      <c r="J765" s="104">
        <v>17</v>
      </c>
      <c r="K765" s="104">
        <v>0</v>
      </c>
      <c r="L765" s="104">
        <v>17</v>
      </c>
      <c r="M765" s="104">
        <v>5.06</v>
      </c>
      <c r="N765" s="104" t="s">
        <v>24</v>
      </c>
      <c r="O765" s="104" t="s">
        <v>25</v>
      </c>
      <c r="P765" s="104" t="s">
        <v>271</v>
      </c>
      <c r="Q765" s="104">
        <v>46120.7173611111</v>
      </c>
      <c r="R765" s="104">
        <v>46120.7173611111</v>
      </c>
      <c r="S765" s="104">
        <v>46120.74375</v>
      </c>
      <c r="T765" s="104" t="s">
        <v>980</v>
      </c>
    </row>
    <row r="766" s="102" customFormat="1" ht="15" spans="1:20">
      <c r="A766" s="104" t="s">
        <v>22</v>
      </c>
      <c r="B766" s="104" t="s">
        <v>81</v>
      </c>
      <c r="C766" s="114"/>
      <c r="D766" s="114"/>
      <c r="E766" s="114"/>
      <c r="F766" s="114"/>
      <c r="G766" s="114"/>
      <c r="H766" s="104">
        <v>4083801</v>
      </c>
      <c r="I766" s="104">
        <v>79</v>
      </c>
      <c r="J766" s="104">
        <v>7</v>
      </c>
      <c r="K766" s="104">
        <v>2</v>
      </c>
      <c r="L766" s="104">
        <v>5</v>
      </c>
      <c r="M766" s="104">
        <v>25.6</v>
      </c>
      <c r="N766" s="104" t="s">
        <v>24</v>
      </c>
      <c r="O766" s="104" t="s">
        <v>25</v>
      </c>
      <c r="P766" s="104" t="s">
        <v>271</v>
      </c>
      <c r="Q766" s="104">
        <v>46120.7173611111</v>
      </c>
      <c r="R766" s="104">
        <v>46120.7173611111</v>
      </c>
      <c r="S766" s="104">
        <v>46120.74375</v>
      </c>
      <c r="T766" s="104" t="s">
        <v>980</v>
      </c>
    </row>
    <row r="767" s="102" customFormat="1" ht="15" spans="1:20">
      <c r="A767" s="104" t="s">
        <v>22</v>
      </c>
      <c r="B767" s="104" t="s">
        <v>81</v>
      </c>
      <c r="C767" s="114"/>
      <c r="D767" s="114"/>
      <c r="E767" s="114"/>
      <c r="F767" s="114"/>
      <c r="G767" s="114"/>
      <c r="H767" s="104">
        <v>4083814</v>
      </c>
      <c r="I767" s="104">
        <v>11</v>
      </c>
      <c r="J767" s="104">
        <v>4</v>
      </c>
      <c r="K767" s="104">
        <v>0</v>
      </c>
      <c r="L767" s="104">
        <v>4</v>
      </c>
      <c r="M767" s="104">
        <v>12.961</v>
      </c>
      <c r="N767" s="104" t="s">
        <v>24</v>
      </c>
      <c r="O767" s="104" t="s">
        <v>25</v>
      </c>
      <c r="P767" s="104" t="s">
        <v>271</v>
      </c>
      <c r="Q767" s="104">
        <v>46120.7173611111</v>
      </c>
      <c r="R767" s="104">
        <v>46120.7173611111</v>
      </c>
      <c r="S767" s="104">
        <v>46120.74375</v>
      </c>
      <c r="T767" s="104" t="s">
        <v>980</v>
      </c>
    </row>
    <row r="768" s="102" customFormat="1" ht="15" spans="1:20">
      <c r="A768" s="104" t="s">
        <v>22</v>
      </c>
      <c r="B768" s="104" t="s">
        <v>81</v>
      </c>
      <c r="C768" s="114"/>
      <c r="D768" s="114"/>
      <c r="E768" s="114"/>
      <c r="F768" s="114"/>
      <c r="G768" s="114"/>
      <c r="H768" s="104">
        <v>4083699</v>
      </c>
      <c r="I768" s="104">
        <v>23</v>
      </c>
      <c r="J768" s="104">
        <v>23</v>
      </c>
      <c r="K768" s="104">
        <v>0</v>
      </c>
      <c r="L768" s="104">
        <v>23</v>
      </c>
      <c r="M768" s="104">
        <v>7.011</v>
      </c>
      <c r="N768" s="104" t="s">
        <v>24</v>
      </c>
      <c r="O768" s="104" t="s">
        <v>25</v>
      </c>
      <c r="P768" s="104" t="s">
        <v>271</v>
      </c>
      <c r="Q768" s="104">
        <v>46120.7173611111</v>
      </c>
      <c r="R768" s="104">
        <v>46120.7173611111</v>
      </c>
      <c r="S768" s="104">
        <v>46120.74375</v>
      </c>
      <c r="T768" s="104" t="s">
        <v>980</v>
      </c>
    </row>
    <row r="769" s="102" customFormat="1" ht="15" spans="1:20">
      <c r="A769" s="104" t="s">
        <v>22</v>
      </c>
      <c r="B769" s="104" t="s">
        <v>33</v>
      </c>
      <c r="C769" s="114"/>
      <c r="D769" s="114"/>
      <c r="E769" s="114"/>
      <c r="F769" s="114"/>
      <c r="G769" s="114"/>
      <c r="H769" s="104">
        <v>4083284</v>
      </c>
      <c r="I769" s="104">
        <v>20</v>
      </c>
      <c r="J769" s="104">
        <v>6</v>
      </c>
      <c r="K769" s="104">
        <v>3</v>
      </c>
      <c r="L769" s="104">
        <v>3</v>
      </c>
      <c r="M769" s="104">
        <v>11.763</v>
      </c>
      <c r="N769" s="104" t="s">
        <v>24</v>
      </c>
      <c r="O769" s="104" t="s">
        <v>25</v>
      </c>
      <c r="P769" s="104" t="s">
        <v>271</v>
      </c>
      <c r="Q769" s="104">
        <v>46120.7173611111</v>
      </c>
      <c r="R769" s="104">
        <v>46120.7173611111</v>
      </c>
      <c r="S769" s="104">
        <v>46120.7430555556</v>
      </c>
      <c r="T769" s="104" t="s">
        <v>116</v>
      </c>
    </row>
    <row r="770" s="102" customFormat="1" ht="15" spans="1:20">
      <c r="A770" s="104" t="s">
        <v>22</v>
      </c>
      <c r="B770" s="104" t="s">
        <v>33</v>
      </c>
      <c r="C770" s="114"/>
      <c r="D770" s="114"/>
      <c r="E770" s="114"/>
      <c r="F770" s="114"/>
      <c r="G770" s="114"/>
      <c r="H770" s="104">
        <v>40801</v>
      </c>
      <c r="I770" s="104">
        <v>9</v>
      </c>
      <c r="J770" s="104">
        <v>4</v>
      </c>
      <c r="K770" s="104">
        <v>3</v>
      </c>
      <c r="L770" s="104">
        <v>1</v>
      </c>
      <c r="M770" s="104">
        <v>2.806</v>
      </c>
      <c r="N770" s="104" t="s">
        <v>24</v>
      </c>
      <c r="O770" s="104" t="s">
        <v>25</v>
      </c>
      <c r="P770" s="104" t="s">
        <v>271</v>
      </c>
      <c r="Q770" s="104">
        <v>46120.4854166667</v>
      </c>
      <c r="R770" s="104">
        <v>46120.7173611111</v>
      </c>
      <c r="S770" s="104">
        <v>46120.7430555556</v>
      </c>
      <c r="T770" s="104" t="s">
        <v>116</v>
      </c>
    </row>
    <row r="771" s="102" customFormat="1" ht="15" spans="1:20">
      <c r="A771" s="104" t="s">
        <v>22</v>
      </c>
      <c r="B771" s="104" t="s">
        <v>87</v>
      </c>
      <c r="C771" s="114"/>
      <c r="D771" s="114"/>
      <c r="E771" s="114"/>
      <c r="F771" s="114"/>
      <c r="G771" s="114"/>
      <c r="H771" s="104">
        <v>40801</v>
      </c>
      <c r="I771" s="104">
        <v>50</v>
      </c>
      <c r="J771" s="104">
        <v>26</v>
      </c>
      <c r="K771" s="104">
        <v>0</v>
      </c>
      <c r="L771" s="104">
        <v>26</v>
      </c>
      <c r="M771" s="104">
        <v>36.512</v>
      </c>
      <c r="N771" s="104" t="s">
        <v>24</v>
      </c>
      <c r="O771" s="104" t="s">
        <v>25</v>
      </c>
      <c r="P771" s="104" t="s">
        <v>271</v>
      </c>
      <c r="Q771" s="104">
        <v>46120.7173611111</v>
      </c>
      <c r="R771" s="104">
        <v>46120.7173611111</v>
      </c>
      <c r="S771" s="104">
        <v>46120.7430555556</v>
      </c>
      <c r="T771" s="104" t="s">
        <v>116</v>
      </c>
    </row>
    <row r="772" s="102" customFormat="1" ht="15" spans="1:20">
      <c r="A772" s="104" t="s">
        <v>22</v>
      </c>
      <c r="B772" s="104" t="s">
        <v>31</v>
      </c>
      <c r="C772" s="114"/>
      <c r="D772" s="114"/>
      <c r="E772" s="114"/>
      <c r="F772" s="114"/>
      <c r="G772" s="114"/>
      <c r="H772" s="104">
        <v>40801</v>
      </c>
      <c r="I772" s="104">
        <v>7</v>
      </c>
      <c r="J772" s="104">
        <v>5</v>
      </c>
      <c r="K772" s="104">
        <v>0</v>
      </c>
      <c r="L772" s="104">
        <v>5</v>
      </c>
      <c r="M772" s="104">
        <v>0.448</v>
      </c>
      <c r="N772" s="104" t="s">
        <v>24</v>
      </c>
      <c r="O772" s="104" t="s">
        <v>25</v>
      </c>
      <c r="P772" s="104" t="s">
        <v>271</v>
      </c>
      <c r="Q772" s="104">
        <v>46120.4854166667</v>
      </c>
      <c r="R772" s="104">
        <v>46120.7180555556</v>
      </c>
      <c r="S772" s="104">
        <v>46120.7430555556</v>
      </c>
      <c r="T772" s="104" t="s">
        <v>116</v>
      </c>
    </row>
    <row r="773" s="102" customFormat="1" ht="15" spans="1:20">
      <c r="A773" s="104" t="s">
        <v>22</v>
      </c>
      <c r="B773" s="104" t="s">
        <v>83</v>
      </c>
      <c r="C773" s="114"/>
      <c r="D773" s="114"/>
      <c r="E773" s="114"/>
      <c r="F773" s="114"/>
      <c r="G773" s="114"/>
      <c r="H773" s="104">
        <v>4083653</v>
      </c>
      <c r="I773" s="104">
        <v>55</v>
      </c>
      <c r="J773" s="104">
        <v>12</v>
      </c>
      <c r="K773" s="104">
        <v>4</v>
      </c>
      <c r="L773" s="104">
        <v>8</v>
      </c>
      <c r="M773" s="104">
        <v>14.558</v>
      </c>
      <c r="N773" s="104" t="s">
        <v>24</v>
      </c>
      <c r="O773" s="104" t="s">
        <v>25</v>
      </c>
      <c r="P773" s="104" t="s">
        <v>271</v>
      </c>
      <c r="Q773" s="104">
        <v>46120.7180555556</v>
      </c>
      <c r="R773" s="104">
        <v>46120.7180555556</v>
      </c>
      <c r="S773" s="104">
        <v>46120.7430555556</v>
      </c>
      <c r="T773" s="104" t="s">
        <v>116</v>
      </c>
    </row>
    <row r="774" s="102" customFormat="1" ht="15" spans="1:20">
      <c r="A774" s="104" t="s">
        <v>22</v>
      </c>
      <c r="B774" s="104" t="s">
        <v>175</v>
      </c>
      <c r="C774" s="104" t="s">
        <v>981</v>
      </c>
      <c r="D774" s="104" t="s">
        <v>177</v>
      </c>
      <c r="E774" s="114"/>
      <c r="F774" s="114"/>
      <c r="G774" s="104">
        <v>11111111111111</v>
      </c>
      <c r="H774" s="104">
        <v>4080003</v>
      </c>
      <c r="I774" s="104">
        <v>2739</v>
      </c>
      <c r="J774" s="104">
        <v>2739</v>
      </c>
      <c r="K774" s="104">
        <v>3</v>
      </c>
      <c r="L774" s="104">
        <v>2736</v>
      </c>
      <c r="M774" s="104">
        <v>6155.52</v>
      </c>
      <c r="N774" s="104" t="s">
        <v>24</v>
      </c>
      <c r="O774" s="104" t="s">
        <v>25</v>
      </c>
      <c r="P774" s="104" t="s">
        <v>271</v>
      </c>
      <c r="Q774" s="104">
        <v>46120.4631944444</v>
      </c>
      <c r="R774" s="104">
        <v>46120.4868055556</v>
      </c>
      <c r="S774" s="104">
        <v>46120.5395833333</v>
      </c>
      <c r="T774" s="104" t="s">
        <v>162</v>
      </c>
    </row>
    <row r="775" s="102" customFormat="1" ht="15" spans="1:20">
      <c r="A775" s="104" t="s">
        <v>22</v>
      </c>
      <c r="B775" s="104" t="s">
        <v>67</v>
      </c>
      <c r="C775" s="104" t="s">
        <v>982</v>
      </c>
      <c r="D775" s="104" t="s">
        <v>69</v>
      </c>
      <c r="E775" s="114"/>
      <c r="F775" s="114"/>
      <c r="G775" s="114"/>
      <c r="H775" s="104">
        <v>4080001</v>
      </c>
      <c r="I775" s="104">
        <v>1191</v>
      </c>
      <c r="J775" s="104">
        <v>258</v>
      </c>
      <c r="K775" s="104">
        <v>2</v>
      </c>
      <c r="L775" s="104">
        <v>256</v>
      </c>
      <c r="M775" s="104">
        <v>700.103</v>
      </c>
      <c r="N775" s="104" t="s">
        <v>24</v>
      </c>
      <c r="O775" s="104" t="s">
        <v>70</v>
      </c>
      <c r="P775" s="104" t="s">
        <v>271</v>
      </c>
      <c r="Q775" s="104">
        <v>46120.4895833333</v>
      </c>
      <c r="R775" s="104">
        <v>46120.49375</v>
      </c>
      <c r="S775" s="104">
        <v>46120.4986111111</v>
      </c>
      <c r="T775" s="104" t="s">
        <v>728</v>
      </c>
    </row>
    <row r="776" s="102" customFormat="1" ht="15" spans="1:20">
      <c r="A776" s="104" t="s">
        <v>22</v>
      </c>
      <c r="B776" s="104" t="s">
        <v>36</v>
      </c>
      <c r="C776" s="104" t="s">
        <v>983</v>
      </c>
      <c r="D776" s="104" t="s">
        <v>38</v>
      </c>
      <c r="E776" s="114"/>
      <c r="F776" s="114"/>
      <c r="G776" s="114"/>
      <c r="H776" s="104">
        <v>4080001</v>
      </c>
      <c r="I776" s="104">
        <v>637</v>
      </c>
      <c r="J776" s="104">
        <v>637</v>
      </c>
      <c r="K776" s="104">
        <v>0</v>
      </c>
      <c r="L776" s="104">
        <v>637</v>
      </c>
      <c r="M776" s="104">
        <v>454.372</v>
      </c>
      <c r="N776" s="104" t="s">
        <v>24</v>
      </c>
      <c r="O776" s="104" t="s">
        <v>25</v>
      </c>
      <c r="P776" s="104" t="s">
        <v>271</v>
      </c>
      <c r="Q776" s="104">
        <v>46120.4895833333</v>
      </c>
      <c r="R776" s="104">
        <v>46120.49375</v>
      </c>
      <c r="S776" s="104">
        <v>46120.5395833333</v>
      </c>
      <c r="T776" s="104" t="s">
        <v>586</v>
      </c>
    </row>
    <row r="777" s="102" customFormat="1" ht="15" spans="1:20">
      <c r="A777" s="104" t="s">
        <v>22</v>
      </c>
      <c r="B777" s="104" t="s">
        <v>168</v>
      </c>
      <c r="C777" s="104" t="s">
        <v>984</v>
      </c>
      <c r="D777" s="104" t="s">
        <v>293</v>
      </c>
      <c r="E777" s="114"/>
      <c r="F777" s="114"/>
      <c r="G777" s="114"/>
      <c r="H777" s="104">
        <v>4080001</v>
      </c>
      <c r="I777" s="104">
        <v>524</v>
      </c>
      <c r="J777" s="104">
        <v>445</v>
      </c>
      <c r="K777" s="104">
        <v>9</v>
      </c>
      <c r="L777" s="104">
        <v>436</v>
      </c>
      <c r="M777" s="104">
        <v>576.57</v>
      </c>
      <c r="N777" s="104" t="s">
        <v>24</v>
      </c>
      <c r="O777" s="104" t="s">
        <v>25</v>
      </c>
      <c r="P777" s="104" t="s">
        <v>271</v>
      </c>
      <c r="Q777" s="104">
        <v>46120.4909722222</v>
      </c>
      <c r="R777" s="104">
        <v>46120.49375</v>
      </c>
      <c r="S777" s="104">
        <v>46120.5395833333</v>
      </c>
      <c r="T777" s="104" t="s">
        <v>586</v>
      </c>
    </row>
    <row r="778" s="102" customFormat="1" ht="15" spans="1:20">
      <c r="A778" s="104" t="s">
        <v>22</v>
      </c>
      <c r="B778" s="104" t="s">
        <v>63</v>
      </c>
      <c r="C778" s="104" t="s">
        <v>985</v>
      </c>
      <c r="D778" s="104" t="s">
        <v>65</v>
      </c>
      <c r="E778" s="114"/>
      <c r="F778" s="114"/>
      <c r="G778" s="114"/>
      <c r="H778" s="104">
        <v>4080001</v>
      </c>
      <c r="I778" s="104">
        <v>683</v>
      </c>
      <c r="J778" s="104">
        <v>682</v>
      </c>
      <c r="K778" s="104">
        <v>5</v>
      </c>
      <c r="L778" s="104">
        <v>677</v>
      </c>
      <c r="M778" s="104">
        <v>750.825</v>
      </c>
      <c r="N778" s="104" t="s">
        <v>24</v>
      </c>
      <c r="O778" s="104" t="s">
        <v>25</v>
      </c>
      <c r="P778" s="104" t="s">
        <v>271</v>
      </c>
      <c r="Q778" s="104">
        <v>46120.4895833333</v>
      </c>
      <c r="R778" s="104">
        <v>46120.4944444444</v>
      </c>
      <c r="S778" s="104">
        <v>46120.5402777778</v>
      </c>
      <c r="T778" s="104" t="s">
        <v>586</v>
      </c>
    </row>
    <row r="779" s="102" customFormat="1" ht="15" spans="1:20">
      <c r="A779" s="104" t="s">
        <v>22</v>
      </c>
      <c r="B779" s="104" t="s">
        <v>31</v>
      </c>
      <c r="C779" s="114"/>
      <c r="D779" s="114"/>
      <c r="E779" s="114"/>
      <c r="F779" s="114"/>
      <c r="G779" s="114"/>
      <c r="H779" s="104">
        <v>40801</v>
      </c>
      <c r="I779" s="104">
        <v>1</v>
      </c>
      <c r="J779" s="104">
        <v>1</v>
      </c>
      <c r="K779" s="104">
        <v>0</v>
      </c>
      <c r="L779" s="104">
        <v>1</v>
      </c>
      <c r="M779" s="104">
        <v>0.045</v>
      </c>
      <c r="N779" s="104" t="s">
        <v>24</v>
      </c>
      <c r="O779" s="104" t="s">
        <v>25</v>
      </c>
      <c r="P779" s="104" t="s">
        <v>271</v>
      </c>
      <c r="Q779" s="104">
        <v>46120.4854166667</v>
      </c>
      <c r="R779" s="104">
        <v>46120.4944444444</v>
      </c>
      <c r="S779" s="104">
        <v>46120.7430555556</v>
      </c>
      <c r="T779" s="104" t="s">
        <v>116</v>
      </c>
    </row>
    <row r="780" s="102" customFormat="1" ht="15" spans="1:20">
      <c r="A780" s="104" t="s">
        <v>22</v>
      </c>
      <c r="B780" s="104" t="s">
        <v>57</v>
      </c>
      <c r="C780" s="104" t="s">
        <v>986</v>
      </c>
      <c r="D780" s="104" t="s">
        <v>214</v>
      </c>
      <c r="E780" s="114"/>
      <c r="F780" s="114"/>
      <c r="G780" s="114"/>
      <c r="H780" s="104">
        <v>4080001</v>
      </c>
      <c r="I780" s="104">
        <v>55</v>
      </c>
      <c r="J780" s="104">
        <v>49</v>
      </c>
      <c r="K780" s="104">
        <v>7</v>
      </c>
      <c r="L780" s="104">
        <v>42</v>
      </c>
      <c r="M780" s="104">
        <v>46.278</v>
      </c>
      <c r="N780" s="104" t="s">
        <v>24</v>
      </c>
      <c r="O780" s="104" t="s">
        <v>25</v>
      </c>
      <c r="P780" s="104" t="s">
        <v>271</v>
      </c>
      <c r="Q780" s="104">
        <v>46120.4944444444</v>
      </c>
      <c r="R780" s="104">
        <v>46120.4944444444</v>
      </c>
      <c r="S780" s="104">
        <v>46120.5402777778</v>
      </c>
      <c r="T780" s="104" t="s">
        <v>586</v>
      </c>
    </row>
    <row r="781" s="102" customFormat="1" ht="15" spans="1:20">
      <c r="A781" s="104" t="s">
        <v>22</v>
      </c>
      <c r="B781" s="104" t="s">
        <v>39</v>
      </c>
      <c r="C781" s="104" t="s">
        <v>987</v>
      </c>
      <c r="D781" s="104" t="s">
        <v>41</v>
      </c>
      <c r="E781" s="114"/>
      <c r="F781" s="114"/>
      <c r="G781" s="114"/>
      <c r="H781" s="104">
        <v>4080001</v>
      </c>
      <c r="I781" s="104">
        <v>352</v>
      </c>
      <c r="J781" s="104">
        <v>18</v>
      </c>
      <c r="K781" s="104">
        <v>7</v>
      </c>
      <c r="L781" s="104">
        <v>11</v>
      </c>
      <c r="M781" s="104">
        <v>152.581</v>
      </c>
      <c r="N781" s="104" t="s">
        <v>24</v>
      </c>
      <c r="O781" s="104" t="s">
        <v>25</v>
      </c>
      <c r="P781" s="104" t="s">
        <v>271</v>
      </c>
      <c r="Q781" s="104">
        <v>46120.4965277778</v>
      </c>
      <c r="R781" s="104">
        <v>46120.4972222222</v>
      </c>
      <c r="S781" s="104">
        <v>46120.5409722222</v>
      </c>
      <c r="T781" s="104" t="s">
        <v>456</v>
      </c>
    </row>
    <row r="782" s="102" customFormat="1" ht="15" spans="1:20">
      <c r="A782" s="104" t="s">
        <v>22</v>
      </c>
      <c r="B782" s="104" t="s">
        <v>76</v>
      </c>
      <c r="C782" s="104" t="s">
        <v>988</v>
      </c>
      <c r="D782" s="104" t="s">
        <v>627</v>
      </c>
      <c r="E782" s="114"/>
      <c r="F782" s="104" t="s">
        <v>79</v>
      </c>
      <c r="G782" s="114"/>
      <c r="H782" s="104">
        <v>4080001</v>
      </c>
      <c r="I782" s="104">
        <v>1719</v>
      </c>
      <c r="J782" s="104">
        <v>1503</v>
      </c>
      <c r="K782" s="104">
        <v>13</v>
      </c>
      <c r="L782" s="104">
        <v>1490</v>
      </c>
      <c r="M782" s="104">
        <v>3305.174</v>
      </c>
      <c r="N782" s="104" t="s">
        <v>24</v>
      </c>
      <c r="O782" s="104" t="s">
        <v>25</v>
      </c>
      <c r="P782" s="104" t="s">
        <v>271</v>
      </c>
      <c r="Q782" s="104">
        <v>46120.4972222222</v>
      </c>
      <c r="R782" s="104">
        <v>46120.5048611111</v>
      </c>
      <c r="S782" s="104">
        <v>46120.5395833333</v>
      </c>
      <c r="T782" s="104" t="s">
        <v>538</v>
      </c>
    </row>
    <row r="783" s="102" customFormat="1" ht="15" spans="1:20">
      <c r="A783" s="104" t="s">
        <v>22</v>
      </c>
      <c r="B783" s="104" t="s">
        <v>164</v>
      </c>
      <c r="C783" s="104" t="s">
        <v>989</v>
      </c>
      <c r="D783" s="104" t="s">
        <v>166</v>
      </c>
      <c r="E783" s="114"/>
      <c r="F783" s="114"/>
      <c r="G783" s="114"/>
      <c r="H783" s="104">
        <v>4080001</v>
      </c>
      <c r="I783" s="104">
        <v>7928</v>
      </c>
      <c r="J783" s="104">
        <v>7928</v>
      </c>
      <c r="K783" s="104">
        <v>7</v>
      </c>
      <c r="L783" s="104">
        <v>7921</v>
      </c>
      <c r="M783" s="104">
        <v>15227.186</v>
      </c>
      <c r="N783" s="104" t="s">
        <v>24</v>
      </c>
      <c r="O783" s="104" t="s">
        <v>25</v>
      </c>
      <c r="P783" s="104" t="s">
        <v>271</v>
      </c>
      <c r="Q783" s="104">
        <v>46120.4881944444</v>
      </c>
      <c r="R783" s="104">
        <v>46120.5076388889</v>
      </c>
      <c r="S783" s="104">
        <v>46120.5409722222</v>
      </c>
      <c r="T783" s="104" t="s">
        <v>153</v>
      </c>
    </row>
    <row r="784" s="102" customFormat="1" ht="15" spans="1:20">
      <c r="A784" s="104" t="s">
        <v>22</v>
      </c>
      <c r="B784" s="104" t="s">
        <v>188</v>
      </c>
      <c r="C784" s="104" t="s">
        <v>990</v>
      </c>
      <c r="D784" s="104" t="s">
        <v>991</v>
      </c>
      <c r="E784" s="114"/>
      <c r="F784" s="114"/>
      <c r="G784" s="114"/>
      <c r="H784" s="104">
        <v>4080001</v>
      </c>
      <c r="I784" s="104">
        <v>2174</v>
      </c>
      <c r="J784" s="104">
        <v>2161</v>
      </c>
      <c r="K784" s="104">
        <v>10</v>
      </c>
      <c r="L784" s="104">
        <v>2151</v>
      </c>
      <c r="M784" s="104">
        <v>4057.754</v>
      </c>
      <c r="N784" s="104" t="s">
        <v>24</v>
      </c>
      <c r="O784" s="104" t="s">
        <v>25</v>
      </c>
      <c r="P784" s="104" t="s">
        <v>271</v>
      </c>
      <c r="Q784" s="104">
        <v>46120.5076388889</v>
      </c>
      <c r="R784" s="104">
        <v>46120.5083333333</v>
      </c>
      <c r="S784" s="104">
        <v>46120.5659722222</v>
      </c>
      <c r="T784" s="104" t="s">
        <v>283</v>
      </c>
    </row>
    <row r="785" s="102" customFormat="1" ht="15" spans="1:20">
      <c r="A785" s="104" t="s">
        <v>22</v>
      </c>
      <c r="B785" s="104" t="s">
        <v>72</v>
      </c>
      <c r="C785" s="104" t="s">
        <v>992</v>
      </c>
      <c r="D785" s="104" t="s">
        <v>74</v>
      </c>
      <c r="E785" s="114"/>
      <c r="F785" s="114"/>
      <c r="G785" s="114"/>
      <c r="H785" s="104">
        <v>4080001</v>
      </c>
      <c r="I785" s="104">
        <v>454</v>
      </c>
      <c r="J785" s="104">
        <v>324</v>
      </c>
      <c r="K785" s="104">
        <v>9</v>
      </c>
      <c r="L785" s="104">
        <v>315</v>
      </c>
      <c r="M785" s="104">
        <v>643.728</v>
      </c>
      <c r="N785" s="104" t="s">
        <v>24</v>
      </c>
      <c r="O785" s="104" t="s">
        <v>25</v>
      </c>
      <c r="P785" s="104" t="s">
        <v>271</v>
      </c>
      <c r="Q785" s="104">
        <v>46120.5083333333</v>
      </c>
      <c r="R785" s="104">
        <v>46120.5097222222</v>
      </c>
      <c r="S785" s="104">
        <v>46120.5409722222</v>
      </c>
      <c r="T785" s="104" t="s">
        <v>510</v>
      </c>
    </row>
    <row r="786" s="102" customFormat="1" ht="15" spans="1:20">
      <c r="A786" s="104" t="s">
        <v>22</v>
      </c>
      <c r="B786" s="104" t="s">
        <v>31</v>
      </c>
      <c r="C786" s="114"/>
      <c r="D786" s="114"/>
      <c r="E786" s="114"/>
      <c r="F786" s="114"/>
      <c r="G786" s="114"/>
      <c r="H786" s="104">
        <v>40801</v>
      </c>
      <c r="I786" s="104">
        <v>2</v>
      </c>
      <c r="J786" s="104">
        <v>2</v>
      </c>
      <c r="K786" s="104">
        <v>0</v>
      </c>
      <c r="L786" s="104">
        <v>2</v>
      </c>
      <c r="M786" s="104">
        <v>3.509</v>
      </c>
      <c r="N786" s="104" t="s">
        <v>24</v>
      </c>
      <c r="O786" s="104" t="s">
        <v>25</v>
      </c>
      <c r="P786" s="104" t="s">
        <v>271</v>
      </c>
      <c r="Q786" s="104">
        <v>46120.4854166667</v>
      </c>
      <c r="R786" s="104">
        <v>46120.5104166667</v>
      </c>
      <c r="S786" s="104">
        <v>46120.7430555556</v>
      </c>
      <c r="T786" s="104" t="s">
        <v>116</v>
      </c>
    </row>
    <row r="787" s="102" customFormat="1" ht="15" spans="1:20">
      <c r="A787" s="104" t="s">
        <v>22</v>
      </c>
      <c r="B787" s="104" t="s">
        <v>180</v>
      </c>
      <c r="C787" s="104" t="s">
        <v>993</v>
      </c>
      <c r="D787" s="104" t="s">
        <v>182</v>
      </c>
      <c r="E787" s="114"/>
      <c r="F787" s="114"/>
      <c r="G787" s="114"/>
      <c r="H787" s="104">
        <v>4080001</v>
      </c>
      <c r="I787" s="104">
        <v>1344</v>
      </c>
      <c r="J787" s="104">
        <v>946</v>
      </c>
      <c r="K787" s="104">
        <v>368</v>
      </c>
      <c r="L787" s="104">
        <v>578</v>
      </c>
      <c r="M787" s="104">
        <v>1891.16</v>
      </c>
      <c r="N787" s="104" t="s">
        <v>24</v>
      </c>
      <c r="O787" s="104" t="s">
        <v>25</v>
      </c>
      <c r="P787" s="104" t="s">
        <v>271</v>
      </c>
      <c r="Q787" s="104">
        <v>46120.5118055556</v>
      </c>
      <c r="R787" s="104">
        <v>46120.5118055556</v>
      </c>
      <c r="S787" s="104">
        <v>46120.5416666667</v>
      </c>
      <c r="T787" s="104" t="s">
        <v>815</v>
      </c>
    </row>
    <row r="788" s="102" customFormat="1" ht="15" spans="1:20">
      <c r="A788" s="104" t="s">
        <v>22</v>
      </c>
      <c r="B788" s="104" t="s">
        <v>172</v>
      </c>
      <c r="C788" s="104" t="s">
        <v>994</v>
      </c>
      <c r="D788" s="104" t="s">
        <v>174</v>
      </c>
      <c r="E788" s="114"/>
      <c r="F788" s="114"/>
      <c r="G788" s="114"/>
      <c r="H788" s="104">
        <v>4080001</v>
      </c>
      <c r="I788" s="104">
        <v>122</v>
      </c>
      <c r="J788" s="104">
        <v>79</v>
      </c>
      <c r="K788" s="104">
        <v>11</v>
      </c>
      <c r="L788" s="104">
        <v>68</v>
      </c>
      <c r="M788" s="104">
        <v>109.618</v>
      </c>
      <c r="N788" s="104" t="s">
        <v>24</v>
      </c>
      <c r="O788" s="104" t="s">
        <v>25</v>
      </c>
      <c r="P788" s="104" t="s">
        <v>271</v>
      </c>
      <c r="Q788" s="104">
        <v>46120.5118055556</v>
      </c>
      <c r="R788" s="104">
        <v>46120.5118055556</v>
      </c>
      <c r="S788" s="104">
        <v>46120.5416666667</v>
      </c>
      <c r="T788" s="104" t="s">
        <v>815</v>
      </c>
    </row>
    <row r="789" s="102" customFormat="1" ht="15" spans="1:20">
      <c r="A789" s="104" t="s">
        <v>22</v>
      </c>
      <c r="B789" s="104" t="s">
        <v>184</v>
      </c>
      <c r="C789" s="104" t="s">
        <v>995</v>
      </c>
      <c r="D789" s="104" t="s">
        <v>186</v>
      </c>
      <c r="E789" s="114"/>
      <c r="F789" s="114"/>
      <c r="G789" s="114"/>
      <c r="H789" s="104">
        <v>4080001</v>
      </c>
      <c r="I789" s="104">
        <v>1927</v>
      </c>
      <c r="J789" s="104">
        <v>1867</v>
      </c>
      <c r="K789" s="104">
        <v>11</v>
      </c>
      <c r="L789" s="104">
        <v>1856</v>
      </c>
      <c r="M789" s="104">
        <v>1489.955</v>
      </c>
      <c r="N789" s="104" t="s">
        <v>24</v>
      </c>
      <c r="O789" s="104" t="s">
        <v>25</v>
      </c>
      <c r="P789" s="104" t="s">
        <v>271</v>
      </c>
      <c r="Q789" s="104">
        <v>46120.5145833333</v>
      </c>
      <c r="R789" s="104">
        <v>46120.5166666667</v>
      </c>
      <c r="S789" s="104">
        <v>46120.5416666667</v>
      </c>
      <c r="T789" s="104" t="s">
        <v>116</v>
      </c>
    </row>
    <row r="790" s="102" customFormat="1" ht="15" spans="1:20">
      <c r="A790" s="104" t="s">
        <v>22</v>
      </c>
      <c r="B790" s="104" t="s">
        <v>47</v>
      </c>
      <c r="C790" s="114"/>
      <c r="D790" s="114"/>
      <c r="E790" s="114"/>
      <c r="F790" s="114"/>
      <c r="G790" s="114"/>
      <c r="H790" s="104">
        <v>40801</v>
      </c>
      <c r="I790" s="104">
        <v>30</v>
      </c>
      <c r="J790" s="104">
        <v>5</v>
      </c>
      <c r="K790" s="104">
        <v>0</v>
      </c>
      <c r="L790" s="104">
        <v>5</v>
      </c>
      <c r="M790" s="104">
        <v>14.848</v>
      </c>
      <c r="N790" s="104" t="s">
        <v>24</v>
      </c>
      <c r="O790" s="104" t="s">
        <v>25</v>
      </c>
      <c r="P790" s="104" t="s">
        <v>271</v>
      </c>
      <c r="Q790" s="104">
        <v>46120.4861111111</v>
      </c>
      <c r="R790" s="104">
        <v>46120.5215277778</v>
      </c>
      <c r="S790" s="104">
        <v>46120.5388888889</v>
      </c>
      <c r="T790" s="104" t="s">
        <v>464</v>
      </c>
    </row>
    <row r="791" s="102" customFormat="1" ht="15" spans="1:20">
      <c r="A791" s="104" t="s">
        <v>22</v>
      </c>
      <c r="B791" s="104" t="s">
        <v>23</v>
      </c>
      <c r="C791" s="104" t="s">
        <v>996</v>
      </c>
      <c r="D791" s="104" t="s">
        <v>193</v>
      </c>
      <c r="E791" s="114"/>
      <c r="F791" s="114"/>
      <c r="G791" s="114"/>
      <c r="H791" s="104">
        <v>4080001</v>
      </c>
      <c r="I791" s="104">
        <v>676</v>
      </c>
      <c r="J791" s="104">
        <v>676</v>
      </c>
      <c r="K791" s="104">
        <v>1</v>
      </c>
      <c r="L791" s="104">
        <v>675</v>
      </c>
      <c r="M791" s="104">
        <v>903.91</v>
      </c>
      <c r="N791" s="104" t="s">
        <v>24</v>
      </c>
      <c r="O791" s="104" t="s">
        <v>25</v>
      </c>
      <c r="P791" s="104" t="s">
        <v>271</v>
      </c>
      <c r="Q791" s="104">
        <v>46120.5208333333</v>
      </c>
      <c r="R791" s="104">
        <v>46120.5291666667</v>
      </c>
      <c r="S791" s="104">
        <v>46120.5416666667</v>
      </c>
      <c r="T791" s="104" t="s">
        <v>393</v>
      </c>
    </row>
    <row r="792" s="102" customFormat="1" ht="15" spans="1:20">
      <c r="A792" s="104" t="s">
        <v>22</v>
      </c>
      <c r="B792" s="104" t="s">
        <v>33</v>
      </c>
      <c r="C792" s="114"/>
      <c r="D792" s="114"/>
      <c r="E792" s="114"/>
      <c r="F792" s="114"/>
      <c r="G792" s="114"/>
      <c r="H792" s="104">
        <v>40801</v>
      </c>
      <c r="I792" s="104">
        <v>3</v>
      </c>
      <c r="J792" s="104">
        <v>3</v>
      </c>
      <c r="K792" s="104">
        <v>0</v>
      </c>
      <c r="L792" s="104">
        <v>3</v>
      </c>
      <c r="M792" s="104">
        <v>21.118</v>
      </c>
      <c r="N792" s="104" t="s">
        <v>24</v>
      </c>
      <c r="O792" s="104" t="s">
        <v>25</v>
      </c>
      <c r="P792" s="104" t="s">
        <v>271</v>
      </c>
      <c r="Q792" s="104">
        <v>46120.4854166667</v>
      </c>
      <c r="R792" s="104">
        <v>46120.5291666667</v>
      </c>
      <c r="S792" s="104">
        <v>46120.7430555556</v>
      </c>
      <c r="T792" s="104" t="s">
        <v>116</v>
      </c>
    </row>
    <row r="793" s="102" customFormat="1" ht="15" spans="1:20">
      <c r="A793" s="104" t="s">
        <v>22</v>
      </c>
      <c r="B793" s="104" t="s">
        <v>91</v>
      </c>
      <c r="C793" s="104" t="s">
        <v>997</v>
      </c>
      <c r="D793" s="104" t="s">
        <v>93</v>
      </c>
      <c r="E793" s="114"/>
      <c r="F793" s="114"/>
      <c r="G793" s="104">
        <v>12345678900000</v>
      </c>
      <c r="H793" s="104">
        <v>4080003</v>
      </c>
      <c r="I793" s="104">
        <v>1831</v>
      </c>
      <c r="J793" s="104">
        <v>1831</v>
      </c>
      <c r="K793" s="104">
        <v>38</v>
      </c>
      <c r="L793" s="104">
        <v>1793</v>
      </c>
      <c r="M793" s="104">
        <v>4302.487</v>
      </c>
      <c r="N793" s="104" t="s">
        <v>24</v>
      </c>
      <c r="O793" s="104" t="s">
        <v>25</v>
      </c>
      <c r="P793" s="104" t="s">
        <v>271</v>
      </c>
      <c r="Q793" s="104">
        <v>46120.5402777778</v>
      </c>
      <c r="R793" s="104">
        <v>46120.5444444444</v>
      </c>
      <c r="S793" s="104">
        <v>46120.5666666667</v>
      </c>
      <c r="T793" s="104" t="s">
        <v>474</v>
      </c>
    </row>
    <row r="794" s="102" customFormat="1" ht="15" spans="1:20">
      <c r="A794" s="104" t="s">
        <v>22</v>
      </c>
      <c r="B794" s="104" t="s">
        <v>83</v>
      </c>
      <c r="C794" s="114"/>
      <c r="D794" s="114"/>
      <c r="E794" s="114"/>
      <c r="F794" s="114"/>
      <c r="G794" s="114"/>
      <c r="H794" s="104">
        <v>4083738</v>
      </c>
      <c r="I794" s="104">
        <v>1</v>
      </c>
      <c r="J794" s="104">
        <v>1</v>
      </c>
      <c r="K794" s="104">
        <v>1</v>
      </c>
      <c r="L794" s="104">
        <v>0</v>
      </c>
      <c r="M794" s="104">
        <v>0.299</v>
      </c>
      <c r="N794" s="104" t="s">
        <v>24</v>
      </c>
      <c r="O794" s="104" t="s">
        <v>25</v>
      </c>
      <c r="P794" s="104" t="s">
        <v>271</v>
      </c>
      <c r="Q794" s="104">
        <v>46120.7180555556</v>
      </c>
      <c r="R794" s="104">
        <v>46120.7180555556</v>
      </c>
      <c r="S794" s="104">
        <v>46120.7430555556</v>
      </c>
      <c r="T794" s="104" t="s">
        <v>116</v>
      </c>
    </row>
    <row r="795" s="102" customFormat="1" ht="15" spans="1:20">
      <c r="A795" s="104" t="s">
        <v>22</v>
      </c>
      <c r="B795" s="104" t="s">
        <v>83</v>
      </c>
      <c r="C795" s="114"/>
      <c r="D795" s="114"/>
      <c r="E795" s="114"/>
      <c r="F795" s="114"/>
      <c r="G795" s="114"/>
      <c r="H795" s="104">
        <v>40801</v>
      </c>
      <c r="I795" s="104">
        <v>55</v>
      </c>
      <c r="J795" s="104">
        <v>15</v>
      </c>
      <c r="K795" s="104">
        <v>0</v>
      </c>
      <c r="L795" s="104">
        <v>15</v>
      </c>
      <c r="M795" s="104">
        <v>6.299</v>
      </c>
      <c r="N795" s="104" t="s">
        <v>24</v>
      </c>
      <c r="O795" s="104" t="s">
        <v>25</v>
      </c>
      <c r="P795" s="104" t="s">
        <v>271</v>
      </c>
      <c r="Q795" s="104">
        <v>46120.7180555556</v>
      </c>
      <c r="R795" s="104">
        <v>46120.7180555556</v>
      </c>
      <c r="S795" s="104">
        <v>46120.9069444444</v>
      </c>
      <c r="T795" s="104" t="s">
        <v>331</v>
      </c>
    </row>
    <row r="796" s="102" customFormat="1" ht="15" spans="1:20">
      <c r="A796" s="104" t="s">
        <v>22</v>
      </c>
      <c r="B796" s="104" t="s">
        <v>86</v>
      </c>
      <c r="C796" s="114"/>
      <c r="D796" s="114"/>
      <c r="E796" s="114"/>
      <c r="F796" s="114"/>
      <c r="G796" s="114"/>
      <c r="H796" s="104">
        <v>40801</v>
      </c>
      <c r="I796" s="104">
        <v>91</v>
      </c>
      <c r="J796" s="104">
        <v>17</v>
      </c>
      <c r="K796" s="104">
        <v>1</v>
      </c>
      <c r="L796" s="104">
        <v>16</v>
      </c>
      <c r="M796" s="104">
        <v>23.901</v>
      </c>
      <c r="N796" s="104" t="s">
        <v>24</v>
      </c>
      <c r="O796" s="104" t="s">
        <v>25</v>
      </c>
      <c r="P796" s="104" t="s">
        <v>271</v>
      </c>
      <c r="Q796" s="104">
        <v>46120.7180555556</v>
      </c>
      <c r="R796" s="104">
        <v>46120.7180555556</v>
      </c>
      <c r="S796" s="104">
        <v>46120.9069444444</v>
      </c>
      <c r="T796" s="104" t="s">
        <v>331</v>
      </c>
    </row>
    <row r="797" s="102" customFormat="1" ht="15" spans="1:20">
      <c r="A797" s="104" t="s">
        <v>22</v>
      </c>
      <c r="B797" s="104" t="s">
        <v>89</v>
      </c>
      <c r="C797" s="114"/>
      <c r="D797" s="114"/>
      <c r="E797" s="114"/>
      <c r="F797" s="114"/>
      <c r="G797" s="114"/>
      <c r="H797" s="104">
        <v>40801</v>
      </c>
      <c r="I797" s="104">
        <v>39</v>
      </c>
      <c r="J797" s="104">
        <v>6</v>
      </c>
      <c r="K797" s="104">
        <v>0</v>
      </c>
      <c r="L797" s="104">
        <v>6</v>
      </c>
      <c r="M797" s="104">
        <v>7.358</v>
      </c>
      <c r="N797" s="104" t="s">
        <v>24</v>
      </c>
      <c r="O797" s="104" t="s">
        <v>25</v>
      </c>
      <c r="P797" s="104" t="s">
        <v>271</v>
      </c>
      <c r="Q797" s="104">
        <v>46120.7180555556</v>
      </c>
      <c r="R797" s="104">
        <v>46120.7180555556</v>
      </c>
      <c r="S797" s="104">
        <v>46120.9069444444</v>
      </c>
      <c r="T797" s="104" t="s">
        <v>331</v>
      </c>
    </row>
    <row r="798" s="102" customFormat="1" ht="15" spans="1:20">
      <c r="A798" s="104" t="s">
        <v>22</v>
      </c>
      <c r="B798" s="104" t="s">
        <v>175</v>
      </c>
      <c r="C798" s="104" t="s">
        <v>998</v>
      </c>
      <c r="D798" s="104" t="s">
        <v>177</v>
      </c>
      <c r="E798" s="114"/>
      <c r="F798" s="114"/>
      <c r="G798" s="104">
        <v>11111111111111</v>
      </c>
      <c r="H798" s="104">
        <v>4080002</v>
      </c>
      <c r="I798" s="104">
        <v>2336</v>
      </c>
      <c r="J798" s="104">
        <v>2336</v>
      </c>
      <c r="K798" s="104">
        <v>3</v>
      </c>
      <c r="L798" s="104">
        <v>2333</v>
      </c>
      <c r="M798" s="104">
        <v>5008.08</v>
      </c>
      <c r="N798" s="104" t="s">
        <v>24</v>
      </c>
      <c r="O798" s="104" t="s">
        <v>25</v>
      </c>
      <c r="P798" s="104" t="s">
        <v>271</v>
      </c>
      <c r="Q798" s="104">
        <v>46120.725</v>
      </c>
      <c r="R798" s="104">
        <v>46120.7277777778</v>
      </c>
      <c r="S798" s="104">
        <v>46120.9069444444</v>
      </c>
      <c r="T798" s="104" t="s">
        <v>318</v>
      </c>
    </row>
    <row r="799" s="102" customFormat="1" ht="15" spans="1:20">
      <c r="A799" s="104" t="s">
        <v>22</v>
      </c>
      <c r="B799" s="104" t="s">
        <v>83</v>
      </c>
      <c r="C799" s="114"/>
      <c r="D799" s="114"/>
      <c r="E799" s="114"/>
      <c r="F799" s="114"/>
      <c r="G799" s="114"/>
      <c r="H799" s="104">
        <v>40801</v>
      </c>
      <c r="I799" s="104">
        <v>48</v>
      </c>
      <c r="J799" s="104">
        <v>10</v>
      </c>
      <c r="K799" s="104">
        <v>0</v>
      </c>
      <c r="L799" s="104">
        <v>10</v>
      </c>
      <c r="M799" s="104">
        <v>8.303</v>
      </c>
      <c r="N799" s="104" t="s">
        <v>24</v>
      </c>
      <c r="O799" s="104" t="s">
        <v>25</v>
      </c>
      <c r="P799" s="104" t="s">
        <v>271</v>
      </c>
      <c r="Q799" s="104">
        <v>46120.7180555556</v>
      </c>
      <c r="R799" s="104">
        <v>46120.7444444444</v>
      </c>
      <c r="S799" s="104">
        <v>46120.9069444444</v>
      </c>
      <c r="T799" s="104" t="s">
        <v>331</v>
      </c>
    </row>
    <row r="800" s="102" customFormat="1" ht="15" spans="1:20">
      <c r="A800" s="104" t="s">
        <v>22</v>
      </c>
      <c r="B800" s="104" t="s">
        <v>86</v>
      </c>
      <c r="C800" s="114"/>
      <c r="D800" s="114"/>
      <c r="E800" s="114"/>
      <c r="F800" s="114"/>
      <c r="G800" s="114"/>
      <c r="H800" s="104">
        <v>40801</v>
      </c>
      <c r="I800" s="104">
        <v>16</v>
      </c>
      <c r="J800" s="104">
        <v>12</v>
      </c>
      <c r="K800" s="104">
        <v>0</v>
      </c>
      <c r="L800" s="104">
        <v>12</v>
      </c>
      <c r="M800" s="104">
        <v>16.993</v>
      </c>
      <c r="N800" s="104" t="s">
        <v>24</v>
      </c>
      <c r="O800" s="104" t="s">
        <v>25</v>
      </c>
      <c r="P800" s="104" t="s">
        <v>271</v>
      </c>
      <c r="Q800" s="104">
        <v>46120.7180555556</v>
      </c>
      <c r="R800" s="104">
        <v>46120.7444444444</v>
      </c>
      <c r="S800" s="104">
        <v>46120.9069444444</v>
      </c>
      <c r="T800" s="104" t="s">
        <v>331</v>
      </c>
    </row>
    <row r="801" s="102" customFormat="1" ht="15" spans="1:20">
      <c r="A801" s="104" t="s">
        <v>22</v>
      </c>
      <c r="B801" s="104" t="s">
        <v>89</v>
      </c>
      <c r="C801" s="114"/>
      <c r="D801" s="114"/>
      <c r="E801" s="114"/>
      <c r="F801" s="114"/>
      <c r="G801" s="114"/>
      <c r="H801" s="104">
        <v>40801</v>
      </c>
      <c r="I801" s="104">
        <v>7</v>
      </c>
      <c r="J801" s="104">
        <v>7</v>
      </c>
      <c r="K801" s="104">
        <v>0</v>
      </c>
      <c r="L801" s="104">
        <v>7</v>
      </c>
      <c r="M801" s="104">
        <v>15.83</v>
      </c>
      <c r="N801" s="104" t="s">
        <v>24</v>
      </c>
      <c r="O801" s="104" t="s">
        <v>25</v>
      </c>
      <c r="P801" s="104" t="s">
        <v>271</v>
      </c>
      <c r="Q801" s="104">
        <v>46120.7180555556</v>
      </c>
      <c r="R801" s="104">
        <v>46120.7444444444</v>
      </c>
      <c r="S801" s="104">
        <v>46120.9069444444</v>
      </c>
      <c r="T801" s="104" t="s">
        <v>331</v>
      </c>
    </row>
    <row r="802" s="102" customFormat="1" ht="15" spans="1:20">
      <c r="A802" s="104" t="s">
        <v>22</v>
      </c>
      <c r="B802" s="104" t="s">
        <v>223</v>
      </c>
      <c r="C802" s="104" t="s">
        <v>999</v>
      </c>
      <c r="D802" s="104" t="s">
        <v>193</v>
      </c>
      <c r="E802" s="114"/>
      <c r="F802" s="114"/>
      <c r="G802" s="104" t="s">
        <v>1000</v>
      </c>
      <c r="H802" s="104">
        <v>4080002</v>
      </c>
      <c r="I802" s="104">
        <v>1164</v>
      </c>
      <c r="J802" s="104">
        <v>1164</v>
      </c>
      <c r="K802" s="104">
        <v>0</v>
      </c>
      <c r="L802" s="104">
        <v>1164</v>
      </c>
      <c r="M802" s="104">
        <v>1742.86</v>
      </c>
      <c r="N802" s="104" t="s">
        <v>24</v>
      </c>
      <c r="O802" s="104" t="s">
        <v>25</v>
      </c>
      <c r="P802" s="104" t="s">
        <v>271</v>
      </c>
      <c r="Q802" s="104">
        <v>46120.7534722222</v>
      </c>
      <c r="R802" s="104">
        <v>46120.7534722222</v>
      </c>
      <c r="S802" s="104">
        <v>46120.9076388889</v>
      </c>
      <c r="T802" s="104" t="s">
        <v>1001</v>
      </c>
    </row>
    <row r="803" s="102" customFormat="1" ht="15" spans="1:20">
      <c r="A803" s="104" t="s">
        <v>22</v>
      </c>
      <c r="B803" s="104" t="s">
        <v>212</v>
      </c>
      <c r="C803" s="104" t="s">
        <v>1002</v>
      </c>
      <c r="D803" s="104" t="s">
        <v>186</v>
      </c>
      <c r="E803" s="114"/>
      <c r="F803" s="114"/>
      <c r="G803" s="114"/>
      <c r="H803" s="104">
        <v>4080002</v>
      </c>
      <c r="I803" s="104">
        <v>791</v>
      </c>
      <c r="J803" s="104">
        <v>791</v>
      </c>
      <c r="K803" s="104">
        <v>0</v>
      </c>
      <c r="L803" s="104">
        <v>791</v>
      </c>
      <c r="M803" s="104">
        <v>2440.515</v>
      </c>
      <c r="N803" s="104" t="s">
        <v>24</v>
      </c>
      <c r="O803" s="104" t="s">
        <v>25</v>
      </c>
      <c r="P803" s="104" t="s">
        <v>271</v>
      </c>
      <c r="Q803" s="104">
        <v>46120.7631944444</v>
      </c>
      <c r="R803" s="104">
        <v>46120.7631944444</v>
      </c>
      <c r="S803" s="104">
        <v>46120.9076388889</v>
      </c>
      <c r="T803" s="104" t="s">
        <v>889</v>
      </c>
    </row>
    <row r="804" s="102" customFormat="1" ht="15" spans="1:20">
      <c r="A804" s="104" t="s">
        <v>22</v>
      </c>
      <c r="B804" s="104" t="s">
        <v>81</v>
      </c>
      <c r="C804" s="104" t="s">
        <v>1003</v>
      </c>
      <c r="D804" s="104" t="s">
        <v>38</v>
      </c>
      <c r="E804" s="114"/>
      <c r="F804" s="114"/>
      <c r="G804" s="114"/>
      <c r="H804" s="104">
        <v>4080001</v>
      </c>
      <c r="I804" s="104">
        <v>466</v>
      </c>
      <c r="J804" s="104">
        <v>466</v>
      </c>
      <c r="K804" s="104">
        <v>0</v>
      </c>
      <c r="L804" s="104">
        <v>466</v>
      </c>
      <c r="M804" s="104">
        <v>326.605</v>
      </c>
      <c r="N804" s="104" t="s">
        <v>24</v>
      </c>
      <c r="O804" s="104" t="s">
        <v>25</v>
      </c>
      <c r="P804" s="104" t="s">
        <v>271</v>
      </c>
      <c r="Q804" s="104">
        <v>46120.7701388889</v>
      </c>
      <c r="R804" s="104">
        <v>46120.7701388889</v>
      </c>
      <c r="S804" s="104">
        <v>46120.9083333333</v>
      </c>
      <c r="T804" s="104" t="s">
        <v>1004</v>
      </c>
    </row>
    <row r="805" s="102" customFormat="1" ht="15" spans="1:20">
      <c r="A805" s="104" t="s">
        <v>22</v>
      </c>
      <c r="B805" s="104" t="s">
        <v>254</v>
      </c>
      <c r="C805" s="104" t="s">
        <v>1005</v>
      </c>
      <c r="D805" s="104" t="s">
        <v>182</v>
      </c>
      <c r="E805" s="114"/>
      <c r="F805" s="114"/>
      <c r="G805" s="114"/>
      <c r="H805" s="104">
        <v>4080001</v>
      </c>
      <c r="I805" s="104">
        <v>3268</v>
      </c>
      <c r="J805" s="104">
        <v>3172</v>
      </c>
      <c r="K805" s="104">
        <v>260</v>
      </c>
      <c r="L805" s="104">
        <v>2912</v>
      </c>
      <c r="M805" s="104">
        <v>2956.013</v>
      </c>
      <c r="N805" s="104" t="s">
        <v>24</v>
      </c>
      <c r="O805" s="104" t="s">
        <v>25</v>
      </c>
      <c r="P805" s="104" t="s">
        <v>271</v>
      </c>
      <c r="Q805" s="104">
        <v>46120.7770833333</v>
      </c>
      <c r="R805" s="104">
        <v>46120.7770833333</v>
      </c>
      <c r="S805" s="104">
        <v>46120.9083333333</v>
      </c>
      <c r="T805" s="104" t="s">
        <v>914</v>
      </c>
    </row>
    <row r="806" s="102" customFormat="1" ht="15" spans="1:20">
      <c r="A806" s="104" t="s">
        <v>22</v>
      </c>
      <c r="B806" s="104" t="s">
        <v>236</v>
      </c>
      <c r="C806" s="114"/>
      <c r="D806" s="114"/>
      <c r="E806" s="114"/>
      <c r="F806" s="114"/>
      <c r="G806" s="114"/>
      <c r="H806" s="104">
        <v>4084819</v>
      </c>
      <c r="I806" s="104">
        <v>1470</v>
      </c>
      <c r="J806" s="104">
        <v>1470</v>
      </c>
      <c r="K806" s="104">
        <v>4</v>
      </c>
      <c r="L806" s="104">
        <v>1466</v>
      </c>
      <c r="M806" s="104">
        <v>3194.418</v>
      </c>
      <c r="N806" s="104" t="s">
        <v>24</v>
      </c>
      <c r="O806" s="104" t="s">
        <v>25</v>
      </c>
      <c r="P806" s="104" t="s">
        <v>271</v>
      </c>
      <c r="Q806" s="104">
        <v>46120.7833333333</v>
      </c>
      <c r="R806" s="104">
        <v>46120.7833333333</v>
      </c>
      <c r="S806" s="104">
        <v>46120.9076388889</v>
      </c>
      <c r="T806" s="104" t="s">
        <v>762</v>
      </c>
    </row>
    <row r="807" s="102" customFormat="1" ht="15" spans="1:20">
      <c r="A807" s="104" t="s">
        <v>22</v>
      </c>
      <c r="B807" s="104" t="s">
        <v>249</v>
      </c>
      <c r="C807" s="104" t="s">
        <v>1006</v>
      </c>
      <c r="D807" s="104" t="s">
        <v>55</v>
      </c>
      <c r="E807" s="114"/>
      <c r="F807" s="114"/>
      <c r="G807" s="114"/>
      <c r="H807" s="104">
        <v>4080001</v>
      </c>
      <c r="I807" s="104">
        <v>74</v>
      </c>
      <c r="J807" s="104">
        <v>74</v>
      </c>
      <c r="K807" s="104">
        <v>0</v>
      </c>
      <c r="L807" s="104">
        <v>74</v>
      </c>
      <c r="M807" s="104">
        <v>98.93</v>
      </c>
      <c r="N807" s="104" t="s">
        <v>24</v>
      </c>
      <c r="O807" s="104" t="s">
        <v>25</v>
      </c>
      <c r="P807" s="104" t="s">
        <v>271</v>
      </c>
      <c r="Q807" s="104">
        <v>46120.7861111111</v>
      </c>
      <c r="R807" s="104">
        <v>46120.7861111111</v>
      </c>
      <c r="S807" s="104">
        <v>46120.9083333333</v>
      </c>
      <c r="T807" s="104" t="s">
        <v>163</v>
      </c>
    </row>
    <row r="808" s="102" customFormat="1" ht="15" spans="1:20">
      <c r="A808" s="104" t="s">
        <v>22</v>
      </c>
      <c r="B808" s="104" t="s">
        <v>244</v>
      </c>
      <c r="C808" s="104" t="s">
        <v>1007</v>
      </c>
      <c r="D808" s="104" t="s">
        <v>41</v>
      </c>
      <c r="E808" s="114"/>
      <c r="F808" s="114"/>
      <c r="G808" s="114"/>
      <c r="H808" s="104">
        <v>4080001</v>
      </c>
      <c r="I808" s="104">
        <v>253</v>
      </c>
      <c r="J808" s="104">
        <v>25</v>
      </c>
      <c r="K808" s="104">
        <v>11</v>
      </c>
      <c r="L808" s="104">
        <v>14</v>
      </c>
      <c r="M808" s="104">
        <v>184.759</v>
      </c>
      <c r="N808" s="104" t="s">
        <v>24</v>
      </c>
      <c r="O808" s="104" t="s">
        <v>25</v>
      </c>
      <c r="P808" s="104" t="s">
        <v>271</v>
      </c>
      <c r="Q808" s="104">
        <v>46120.7833333333</v>
      </c>
      <c r="R808" s="104">
        <v>46120.7861111111</v>
      </c>
      <c r="S808" s="104">
        <v>46120.9090277778</v>
      </c>
      <c r="T808" s="104" t="s">
        <v>163</v>
      </c>
    </row>
    <row r="809" s="102" customFormat="1" ht="15" spans="1:20">
      <c r="A809" s="104" t="s">
        <v>22</v>
      </c>
      <c r="B809" s="104" t="s">
        <v>305</v>
      </c>
      <c r="C809" s="104" t="s">
        <v>1008</v>
      </c>
      <c r="D809" s="104" t="s">
        <v>307</v>
      </c>
      <c r="E809" s="114"/>
      <c r="F809" s="114"/>
      <c r="G809" s="114"/>
      <c r="H809" s="104">
        <v>4080001</v>
      </c>
      <c r="I809" s="104">
        <v>1271</v>
      </c>
      <c r="J809" s="104">
        <v>1078</v>
      </c>
      <c r="K809" s="104">
        <v>1</v>
      </c>
      <c r="L809" s="104">
        <v>1077</v>
      </c>
      <c r="M809" s="104">
        <v>1050.143</v>
      </c>
      <c r="N809" s="104" t="s">
        <v>24</v>
      </c>
      <c r="O809" s="104" t="s">
        <v>25</v>
      </c>
      <c r="P809" s="104" t="s">
        <v>271</v>
      </c>
      <c r="Q809" s="104">
        <v>46120.79375</v>
      </c>
      <c r="R809" s="104">
        <v>46120.7944444444</v>
      </c>
      <c r="S809" s="104">
        <v>46120.9076388889</v>
      </c>
      <c r="T809" s="104" t="s">
        <v>272</v>
      </c>
    </row>
    <row r="810" s="102" customFormat="1" ht="15" spans="1:20">
      <c r="A810" s="104" t="s">
        <v>22</v>
      </c>
      <c r="B810" s="104" t="s">
        <v>219</v>
      </c>
      <c r="C810" s="104" t="s">
        <v>1009</v>
      </c>
      <c r="D810" s="104" t="s">
        <v>252</v>
      </c>
      <c r="E810" s="114"/>
      <c r="F810" s="114"/>
      <c r="G810" s="104">
        <v>11111111111111</v>
      </c>
      <c r="H810" s="104">
        <v>4080001</v>
      </c>
      <c r="I810" s="104">
        <v>6399</v>
      </c>
      <c r="J810" s="104">
        <v>6086</v>
      </c>
      <c r="K810" s="104">
        <v>114</v>
      </c>
      <c r="L810" s="104">
        <v>5972</v>
      </c>
      <c r="M810" s="104">
        <v>4779.604</v>
      </c>
      <c r="N810" s="104" t="s">
        <v>24</v>
      </c>
      <c r="O810" s="104" t="s">
        <v>25</v>
      </c>
      <c r="P810" s="104" t="s">
        <v>271</v>
      </c>
      <c r="Q810" s="104">
        <v>46120.7951388889</v>
      </c>
      <c r="R810" s="104">
        <v>46120.7958333333</v>
      </c>
      <c r="S810" s="104">
        <v>46120.9090277778</v>
      </c>
      <c r="T810" s="104" t="s">
        <v>272</v>
      </c>
    </row>
    <row r="811" s="102" customFormat="1" ht="15" spans="1:20">
      <c r="A811" s="104" t="s">
        <v>22</v>
      </c>
      <c r="B811" s="104" t="s">
        <v>236</v>
      </c>
      <c r="C811" s="114"/>
      <c r="D811" s="114"/>
      <c r="E811" s="114"/>
      <c r="F811" s="114"/>
      <c r="G811" s="114"/>
      <c r="H811" s="104">
        <v>4084820</v>
      </c>
      <c r="I811" s="104">
        <v>1702</v>
      </c>
      <c r="J811" s="104">
        <v>1702</v>
      </c>
      <c r="K811" s="104">
        <v>115</v>
      </c>
      <c r="L811" s="104">
        <v>1587</v>
      </c>
      <c r="M811" s="104">
        <v>1751.608</v>
      </c>
      <c r="N811" s="104" t="s">
        <v>24</v>
      </c>
      <c r="O811" s="104" t="s">
        <v>25</v>
      </c>
      <c r="P811" s="104" t="s">
        <v>271</v>
      </c>
      <c r="Q811" s="104">
        <v>46120.7986111111</v>
      </c>
      <c r="R811" s="104">
        <v>46120.7986111111</v>
      </c>
      <c r="S811" s="104">
        <v>46120.9076388889</v>
      </c>
      <c r="T811" s="104" t="s">
        <v>1010</v>
      </c>
    </row>
    <row r="812" s="102" customFormat="1" ht="15" spans="1:20">
      <c r="A812" s="104" t="s">
        <v>22</v>
      </c>
      <c r="B812" s="104" t="s">
        <v>263</v>
      </c>
      <c r="C812" s="104" t="s">
        <v>1011</v>
      </c>
      <c r="D812" s="104" t="s">
        <v>265</v>
      </c>
      <c r="E812" s="114"/>
      <c r="F812" s="114"/>
      <c r="G812" s="114"/>
      <c r="H812" s="104">
        <v>4080001</v>
      </c>
      <c r="I812" s="104">
        <v>2218</v>
      </c>
      <c r="J812" s="104">
        <v>1376</v>
      </c>
      <c r="K812" s="104">
        <v>377</v>
      </c>
      <c r="L812" s="104">
        <v>999</v>
      </c>
      <c r="M812" s="104">
        <v>3014.147</v>
      </c>
      <c r="N812" s="104" t="s">
        <v>24</v>
      </c>
      <c r="O812" s="104" t="s">
        <v>25</v>
      </c>
      <c r="P812" s="104" t="s">
        <v>271</v>
      </c>
      <c r="Q812" s="104">
        <v>46120.8020833333</v>
      </c>
      <c r="R812" s="104">
        <v>46120.8027777778</v>
      </c>
      <c r="S812" s="104">
        <v>46120.9083333333</v>
      </c>
      <c r="T812" s="104" t="s">
        <v>890</v>
      </c>
    </row>
    <row r="813" s="102" customFormat="1" ht="15" spans="1:20">
      <c r="A813" s="104" t="s">
        <v>22</v>
      </c>
      <c r="B813" s="104" t="s">
        <v>311</v>
      </c>
      <c r="C813" s="104" t="s">
        <v>1012</v>
      </c>
      <c r="D813" s="104" t="s">
        <v>51</v>
      </c>
      <c r="E813" s="114"/>
      <c r="F813" s="114"/>
      <c r="G813" s="104">
        <v>25500099202506</v>
      </c>
      <c r="H813" s="104">
        <v>4080001</v>
      </c>
      <c r="I813" s="104">
        <v>868</v>
      </c>
      <c r="J813" s="104">
        <v>849</v>
      </c>
      <c r="K813" s="104">
        <v>5</v>
      </c>
      <c r="L813" s="104">
        <v>844</v>
      </c>
      <c r="M813" s="104">
        <v>998.17</v>
      </c>
      <c r="N813" s="104" t="s">
        <v>24</v>
      </c>
      <c r="O813" s="104" t="s">
        <v>25</v>
      </c>
      <c r="P813" s="104" t="s">
        <v>271</v>
      </c>
      <c r="Q813" s="104">
        <v>46120.8020833333</v>
      </c>
      <c r="R813" s="104">
        <v>46120.8027777778</v>
      </c>
      <c r="S813" s="104">
        <v>46120.9090277778</v>
      </c>
      <c r="T813" s="104" t="s">
        <v>30</v>
      </c>
    </row>
    <row r="814" s="102" customFormat="1" ht="15" spans="1:20">
      <c r="A814" s="104" t="s">
        <v>22</v>
      </c>
      <c r="B814" s="104" t="s">
        <v>101</v>
      </c>
      <c r="C814" s="104" t="s">
        <v>1013</v>
      </c>
      <c r="D814" s="104" t="s">
        <v>639</v>
      </c>
      <c r="E814" s="104" t="s">
        <v>640</v>
      </c>
      <c r="F814" s="104" t="s">
        <v>641</v>
      </c>
      <c r="G814" s="114"/>
      <c r="H814" s="104">
        <v>4080001</v>
      </c>
      <c r="I814" s="104">
        <v>17611</v>
      </c>
      <c r="J814" s="104">
        <v>2421</v>
      </c>
      <c r="K814" s="104">
        <v>3</v>
      </c>
      <c r="L814" s="104">
        <v>2418</v>
      </c>
      <c r="M814" s="104">
        <v>10328.525</v>
      </c>
      <c r="N814" s="104" t="s">
        <v>24</v>
      </c>
      <c r="O814" s="104" t="s">
        <v>70</v>
      </c>
      <c r="P814" s="104" t="s">
        <v>271</v>
      </c>
      <c r="Q814" s="104">
        <v>46120.8659722222</v>
      </c>
      <c r="R814" s="104">
        <v>46120.9597222222</v>
      </c>
      <c r="S814" s="104">
        <v>46121.0152777778</v>
      </c>
      <c r="T814" s="104" t="s">
        <v>416</v>
      </c>
    </row>
    <row r="815" s="102" customFormat="1" ht="15" spans="1:20">
      <c r="A815" s="104" t="s">
        <v>22</v>
      </c>
      <c r="B815" s="104" t="s">
        <v>99</v>
      </c>
      <c r="C815" s="104" t="s">
        <v>99</v>
      </c>
      <c r="D815" s="104" t="s">
        <v>29</v>
      </c>
      <c r="E815" s="114"/>
      <c r="F815" s="114"/>
      <c r="G815" s="114"/>
      <c r="H815" s="104" t="s">
        <v>99</v>
      </c>
      <c r="I815" s="104">
        <v>10014</v>
      </c>
      <c r="J815" s="104">
        <v>10014</v>
      </c>
      <c r="K815" s="104">
        <v>0</v>
      </c>
      <c r="L815" s="104">
        <v>22</v>
      </c>
      <c r="M815" s="104">
        <v>16795.758</v>
      </c>
      <c r="N815" s="104" t="s">
        <v>24</v>
      </c>
      <c r="O815" s="104" t="s">
        <v>25</v>
      </c>
      <c r="P815" s="104" t="s">
        <v>777</v>
      </c>
      <c r="Q815" s="114"/>
      <c r="R815" s="104">
        <v>46121</v>
      </c>
      <c r="S815" s="114"/>
      <c r="T815" s="114"/>
    </row>
    <row r="816" s="102" customFormat="1" ht="15" spans="1:20">
      <c r="A816" s="104" t="s">
        <v>22</v>
      </c>
      <c r="B816" s="104" t="s">
        <v>362</v>
      </c>
      <c r="C816" s="114"/>
      <c r="D816" s="114"/>
      <c r="E816" s="114"/>
      <c r="F816" s="114"/>
      <c r="G816" s="114"/>
      <c r="H816" s="104" t="s">
        <v>97</v>
      </c>
      <c r="I816" s="104">
        <v>169623</v>
      </c>
      <c r="J816" s="104">
        <v>6236</v>
      </c>
      <c r="K816" s="104">
        <v>0</v>
      </c>
      <c r="L816" s="104">
        <v>6236</v>
      </c>
      <c r="M816" s="104">
        <v>81963.379</v>
      </c>
      <c r="N816" s="104" t="s">
        <v>24</v>
      </c>
      <c r="O816" s="104" t="s">
        <v>70</v>
      </c>
      <c r="P816" s="104" t="s">
        <v>520</v>
      </c>
      <c r="Q816" s="114"/>
      <c r="R816" s="104">
        <v>46121</v>
      </c>
      <c r="S816" s="114"/>
      <c r="T816" s="114"/>
    </row>
    <row r="817" s="102" customFormat="1" ht="15" spans="1:20">
      <c r="A817" s="104" t="s">
        <v>22</v>
      </c>
      <c r="B817" s="104" t="s">
        <v>357</v>
      </c>
      <c r="C817" s="104" t="s">
        <v>1014</v>
      </c>
      <c r="D817" s="104" t="s">
        <v>359</v>
      </c>
      <c r="E817" s="104" t="s">
        <v>1015</v>
      </c>
      <c r="F817" s="104" t="s">
        <v>1016</v>
      </c>
      <c r="G817" s="114"/>
      <c r="H817" s="104">
        <v>4080001</v>
      </c>
      <c r="I817" s="104">
        <v>19923</v>
      </c>
      <c r="J817" s="104">
        <v>2951</v>
      </c>
      <c r="K817" s="104">
        <v>26</v>
      </c>
      <c r="L817" s="104">
        <v>2925</v>
      </c>
      <c r="M817" s="104">
        <v>10075.386</v>
      </c>
      <c r="N817" s="104" t="s">
        <v>24</v>
      </c>
      <c r="O817" s="104" t="s">
        <v>70</v>
      </c>
      <c r="P817" s="104" t="s">
        <v>271</v>
      </c>
      <c r="Q817" s="104">
        <v>46120.9569444444</v>
      </c>
      <c r="R817" s="104">
        <v>46121.0340277778</v>
      </c>
      <c r="S817" s="104">
        <v>46121.1368055556</v>
      </c>
      <c r="T817" s="104" t="s">
        <v>382</v>
      </c>
    </row>
    <row r="818" s="102" customFormat="1" ht="15" spans="1:20">
      <c r="A818" s="104" t="s">
        <v>22</v>
      </c>
      <c r="B818" s="104" t="s">
        <v>107</v>
      </c>
      <c r="C818" s="104" t="s">
        <v>1017</v>
      </c>
      <c r="D818" s="104" t="s">
        <v>643</v>
      </c>
      <c r="E818" s="104" t="s">
        <v>644</v>
      </c>
      <c r="F818" s="104" t="s">
        <v>645</v>
      </c>
      <c r="G818" s="114"/>
      <c r="H818" s="104">
        <v>4080001</v>
      </c>
      <c r="I818" s="104">
        <v>15840</v>
      </c>
      <c r="J818" s="104">
        <v>2619</v>
      </c>
      <c r="K818" s="104">
        <v>261</v>
      </c>
      <c r="L818" s="104">
        <v>2358</v>
      </c>
      <c r="M818" s="104">
        <v>9471.755</v>
      </c>
      <c r="N818" s="104" t="s">
        <v>24</v>
      </c>
      <c r="O818" s="104" t="s">
        <v>70</v>
      </c>
      <c r="P818" s="104" t="s">
        <v>271</v>
      </c>
      <c r="Q818" s="104">
        <v>46121.0305555556</v>
      </c>
      <c r="R818" s="104">
        <v>46121.0611111111</v>
      </c>
      <c r="S818" s="104">
        <v>46121.1368055556</v>
      </c>
      <c r="T818" s="104" t="s">
        <v>75</v>
      </c>
    </row>
    <row r="819" s="102" customFormat="1" ht="15" spans="1:20">
      <c r="A819" s="104" t="s">
        <v>22</v>
      </c>
      <c r="B819" s="104" t="s">
        <v>113</v>
      </c>
      <c r="C819" s="104" t="s">
        <v>1018</v>
      </c>
      <c r="D819" s="104" t="s">
        <v>115</v>
      </c>
      <c r="E819" s="114"/>
      <c r="F819" s="114"/>
      <c r="G819" s="114"/>
      <c r="H819" s="104">
        <v>4080001</v>
      </c>
      <c r="I819" s="104">
        <v>1099</v>
      </c>
      <c r="J819" s="104">
        <v>502</v>
      </c>
      <c r="K819" s="104">
        <v>0</v>
      </c>
      <c r="L819" s="104">
        <v>502</v>
      </c>
      <c r="M819" s="104">
        <v>1879.979</v>
      </c>
      <c r="N819" s="104" t="s">
        <v>24</v>
      </c>
      <c r="O819" s="104" t="s">
        <v>70</v>
      </c>
      <c r="P819" s="104" t="s">
        <v>271</v>
      </c>
      <c r="Q819" s="104">
        <v>46121.1326388889</v>
      </c>
      <c r="R819" s="104">
        <v>46121.1368055556</v>
      </c>
      <c r="S819" s="104">
        <v>46121.1930555556</v>
      </c>
      <c r="T819" s="104" t="s">
        <v>416</v>
      </c>
    </row>
    <row r="820" s="102" customFormat="1" ht="15" spans="1:20">
      <c r="A820" s="104" t="s">
        <v>22</v>
      </c>
      <c r="B820" s="104" t="s">
        <v>117</v>
      </c>
      <c r="C820" s="104" t="s">
        <v>1019</v>
      </c>
      <c r="D820" s="104" t="s">
        <v>119</v>
      </c>
      <c r="E820" s="114"/>
      <c r="F820" s="114"/>
      <c r="G820" s="114"/>
      <c r="H820" s="104">
        <v>4090001</v>
      </c>
      <c r="I820" s="104">
        <v>3553</v>
      </c>
      <c r="J820" s="104">
        <v>1701</v>
      </c>
      <c r="K820" s="104">
        <v>1404</v>
      </c>
      <c r="L820" s="104">
        <v>297</v>
      </c>
      <c r="M820" s="104">
        <v>5666.702</v>
      </c>
      <c r="N820" s="104" t="s">
        <v>24</v>
      </c>
      <c r="O820" s="104" t="s">
        <v>70</v>
      </c>
      <c r="P820" s="104" t="s">
        <v>271</v>
      </c>
      <c r="Q820" s="104">
        <v>46121.1465277778</v>
      </c>
      <c r="R820" s="104">
        <v>46121.1819444444</v>
      </c>
      <c r="S820" s="104">
        <v>46121.1930555556</v>
      </c>
      <c r="T820" s="104" t="s">
        <v>540</v>
      </c>
    </row>
    <row r="821" s="102" customFormat="1" ht="15" spans="1:20">
      <c r="A821" s="104" t="s">
        <v>22</v>
      </c>
      <c r="B821" s="104" t="s">
        <v>121</v>
      </c>
      <c r="C821" s="104" t="s">
        <v>1020</v>
      </c>
      <c r="D821" s="104" t="s">
        <v>385</v>
      </c>
      <c r="E821" s="104" t="s">
        <v>386</v>
      </c>
      <c r="F821" s="104" t="s">
        <v>387</v>
      </c>
      <c r="G821" s="114"/>
      <c r="H821" s="104">
        <v>4090001</v>
      </c>
      <c r="I821" s="104">
        <v>15127</v>
      </c>
      <c r="J821" s="104">
        <v>3636</v>
      </c>
      <c r="K821" s="104">
        <v>684</v>
      </c>
      <c r="L821" s="104">
        <v>2952</v>
      </c>
      <c r="M821" s="104">
        <v>11955.051</v>
      </c>
      <c r="N821" s="104" t="s">
        <v>24</v>
      </c>
      <c r="O821" s="104" t="s">
        <v>70</v>
      </c>
      <c r="P821" s="104" t="s">
        <v>271</v>
      </c>
      <c r="Q821" s="104">
        <v>46121.1722222222</v>
      </c>
      <c r="R821" s="104">
        <v>46121.1930555556</v>
      </c>
      <c r="S821" s="104">
        <v>46121.2715277778</v>
      </c>
      <c r="T821" s="104" t="s">
        <v>603</v>
      </c>
    </row>
    <row r="822" s="102" customFormat="1" ht="15" spans="1:20">
      <c r="A822" s="104" t="s">
        <v>22</v>
      </c>
      <c r="B822" s="104" t="s">
        <v>127</v>
      </c>
      <c r="C822" s="114"/>
      <c r="D822" s="104" t="s">
        <v>29</v>
      </c>
      <c r="E822" s="114"/>
      <c r="F822" s="114"/>
      <c r="G822" s="114"/>
      <c r="H822" s="104">
        <v>4091873</v>
      </c>
      <c r="I822" s="104">
        <v>102</v>
      </c>
      <c r="J822" s="104">
        <v>28</v>
      </c>
      <c r="K822" s="104">
        <v>0</v>
      </c>
      <c r="L822" s="104">
        <v>28</v>
      </c>
      <c r="M822" s="104">
        <v>9.609</v>
      </c>
      <c r="N822" s="104" t="s">
        <v>24</v>
      </c>
      <c r="O822" s="104" t="s">
        <v>25</v>
      </c>
      <c r="P822" s="104" t="s">
        <v>271</v>
      </c>
      <c r="Q822" s="104">
        <v>46121.19375</v>
      </c>
      <c r="R822" s="104">
        <v>46121.19375</v>
      </c>
      <c r="S822" s="104">
        <v>46121.2722222222</v>
      </c>
      <c r="T822" s="104" t="s">
        <v>605</v>
      </c>
    </row>
    <row r="823" s="102" customFormat="1" ht="15" spans="1:20">
      <c r="A823" s="104" t="s">
        <v>22</v>
      </c>
      <c r="B823" s="104" t="s">
        <v>129</v>
      </c>
      <c r="C823" s="114"/>
      <c r="D823" s="104" t="s">
        <v>29</v>
      </c>
      <c r="E823" s="114"/>
      <c r="F823" s="114"/>
      <c r="G823" s="114"/>
      <c r="H823" s="104">
        <v>4091847</v>
      </c>
      <c r="I823" s="104">
        <v>143</v>
      </c>
      <c r="J823" s="104">
        <v>134</v>
      </c>
      <c r="K823" s="104">
        <v>0</v>
      </c>
      <c r="L823" s="104">
        <v>134</v>
      </c>
      <c r="M823" s="104">
        <v>0</v>
      </c>
      <c r="N823" s="104" t="s">
        <v>24</v>
      </c>
      <c r="O823" s="104" t="s">
        <v>25</v>
      </c>
      <c r="P823" s="104" t="s">
        <v>271</v>
      </c>
      <c r="Q823" s="104">
        <v>46121.2125</v>
      </c>
      <c r="R823" s="104">
        <v>46121.2125</v>
      </c>
      <c r="S823" s="104">
        <v>46121.2722222222</v>
      </c>
      <c r="T823" s="104" t="s">
        <v>462</v>
      </c>
    </row>
    <row r="824" s="102" customFormat="1" ht="15" spans="1:20">
      <c r="A824" s="104" t="s">
        <v>22</v>
      </c>
      <c r="B824" s="104" t="s">
        <v>28</v>
      </c>
      <c r="C824" s="114"/>
      <c r="D824" s="104" t="s">
        <v>29</v>
      </c>
      <c r="E824" s="114"/>
      <c r="F824" s="114"/>
      <c r="G824" s="114"/>
      <c r="H824" s="104">
        <v>4092118</v>
      </c>
      <c r="I824" s="104">
        <v>0</v>
      </c>
      <c r="J824" s="104">
        <v>113</v>
      </c>
      <c r="K824" s="104">
        <v>0</v>
      </c>
      <c r="L824" s="104">
        <v>113</v>
      </c>
      <c r="M824" s="104">
        <v>0</v>
      </c>
      <c r="N824" s="104" t="s">
        <v>24</v>
      </c>
      <c r="O824" s="104" t="s">
        <v>25</v>
      </c>
      <c r="P824" s="104" t="s">
        <v>271</v>
      </c>
      <c r="Q824" s="104">
        <v>46121.2326388889</v>
      </c>
      <c r="R824" s="104">
        <v>46121.2326388889</v>
      </c>
      <c r="S824" s="104">
        <v>46121.2722222222</v>
      </c>
      <c r="T824" s="104" t="s">
        <v>535</v>
      </c>
    </row>
    <row r="825" s="102" customFormat="1" ht="15" spans="1:20">
      <c r="A825" s="104" t="s">
        <v>22</v>
      </c>
      <c r="B825" s="104" t="s">
        <v>132</v>
      </c>
      <c r="C825" s="104" t="s">
        <v>1021</v>
      </c>
      <c r="D825" s="104" t="s">
        <v>134</v>
      </c>
      <c r="E825" s="114"/>
      <c r="F825" s="114"/>
      <c r="G825" s="114"/>
      <c r="H825" s="104">
        <v>4080001</v>
      </c>
      <c r="I825" s="104">
        <v>661</v>
      </c>
      <c r="J825" s="104">
        <v>534</v>
      </c>
      <c r="K825" s="104">
        <v>0</v>
      </c>
      <c r="L825" s="104">
        <v>534</v>
      </c>
      <c r="M825" s="104">
        <v>1889.482</v>
      </c>
      <c r="N825" s="104" t="s">
        <v>24</v>
      </c>
      <c r="O825" s="104" t="s">
        <v>70</v>
      </c>
      <c r="P825" s="104" t="s">
        <v>271</v>
      </c>
      <c r="Q825" s="104">
        <v>46121.2708333333</v>
      </c>
      <c r="R825" s="104">
        <v>46121.2715277778</v>
      </c>
      <c r="S825" s="104">
        <v>46121.2833333333</v>
      </c>
      <c r="T825" s="104" t="s">
        <v>560</v>
      </c>
    </row>
    <row r="826" s="102" customFormat="1" ht="15" spans="1:20">
      <c r="A826" s="104" t="s">
        <v>22</v>
      </c>
      <c r="B826" s="104" t="s">
        <v>28</v>
      </c>
      <c r="C826" s="114"/>
      <c r="D826" s="104" t="s">
        <v>29</v>
      </c>
      <c r="E826" s="114"/>
      <c r="F826" s="114"/>
      <c r="G826" s="114"/>
      <c r="H826" s="104">
        <v>4092119</v>
      </c>
      <c r="I826" s="104">
        <v>1</v>
      </c>
      <c r="J826" s="104">
        <v>88</v>
      </c>
      <c r="K826" s="104">
        <v>1</v>
      </c>
      <c r="L826" s="104">
        <v>87</v>
      </c>
      <c r="M826" s="104">
        <v>0</v>
      </c>
      <c r="N826" s="104" t="s">
        <v>24</v>
      </c>
      <c r="O826" s="104" t="s">
        <v>25</v>
      </c>
      <c r="P826" s="104" t="s">
        <v>271</v>
      </c>
      <c r="Q826" s="104">
        <v>46121.2777777778</v>
      </c>
      <c r="R826" s="104">
        <v>46121.2777777778</v>
      </c>
      <c r="S826" s="104">
        <v>46121.3131944444</v>
      </c>
      <c r="T826" s="104" t="s">
        <v>112</v>
      </c>
    </row>
    <row r="827" s="102" customFormat="1" ht="15" spans="1:20">
      <c r="A827" s="104" t="s">
        <v>22</v>
      </c>
      <c r="B827" s="104" t="s">
        <v>138</v>
      </c>
      <c r="C827" s="104" t="s">
        <v>1022</v>
      </c>
      <c r="D827" s="104" t="s">
        <v>140</v>
      </c>
      <c r="E827" s="114"/>
      <c r="F827" s="114"/>
      <c r="G827" s="114"/>
      <c r="H827" s="104">
        <v>4090001</v>
      </c>
      <c r="I827" s="104">
        <v>3717</v>
      </c>
      <c r="J827" s="104">
        <v>969</v>
      </c>
      <c r="K827" s="104">
        <v>1</v>
      </c>
      <c r="L827" s="104">
        <v>968</v>
      </c>
      <c r="M827" s="104">
        <v>3689.38</v>
      </c>
      <c r="N827" s="104" t="s">
        <v>24</v>
      </c>
      <c r="O827" s="104" t="s">
        <v>70</v>
      </c>
      <c r="P827" s="104" t="s">
        <v>106</v>
      </c>
      <c r="Q827" s="104">
        <v>46121.3041666667</v>
      </c>
      <c r="R827" s="104">
        <v>46121.3048611111</v>
      </c>
      <c r="S827" s="104">
        <v>46121.3319444444</v>
      </c>
      <c r="T827" s="104" t="s">
        <v>745</v>
      </c>
    </row>
    <row r="828" s="102" customFormat="1" ht="15" spans="1:20">
      <c r="A828" s="104" t="s">
        <v>22</v>
      </c>
      <c r="B828" s="104" t="s">
        <v>142</v>
      </c>
      <c r="C828" s="104" t="s">
        <v>1023</v>
      </c>
      <c r="D828" s="104" t="s">
        <v>144</v>
      </c>
      <c r="E828" s="104" t="s">
        <v>145</v>
      </c>
      <c r="F828" s="104" t="s">
        <v>146</v>
      </c>
      <c r="G828" s="114"/>
      <c r="H828" s="104">
        <v>4090001</v>
      </c>
      <c r="I828" s="104">
        <v>17290</v>
      </c>
      <c r="J828" s="104">
        <v>3412</v>
      </c>
      <c r="K828" s="104">
        <v>2</v>
      </c>
      <c r="L828" s="104">
        <v>3410</v>
      </c>
      <c r="M828" s="104">
        <v>11904.201</v>
      </c>
      <c r="N828" s="104" t="s">
        <v>24</v>
      </c>
      <c r="O828" s="104" t="s">
        <v>70</v>
      </c>
      <c r="P828" s="104" t="s">
        <v>106</v>
      </c>
      <c r="Q828" s="104">
        <v>46121.3104166667</v>
      </c>
      <c r="R828" s="104">
        <v>46121.3173611111</v>
      </c>
      <c r="S828" s="104">
        <v>46121.3791666667</v>
      </c>
      <c r="T828" s="104" t="s">
        <v>448</v>
      </c>
    </row>
    <row r="829" s="102" customFormat="1" ht="15" spans="1:20">
      <c r="A829" s="104" t="s">
        <v>22</v>
      </c>
      <c r="B829" s="104" t="s">
        <v>148</v>
      </c>
      <c r="C829" s="104" t="s">
        <v>1024</v>
      </c>
      <c r="D829" s="104" t="s">
        <v>150</v>
      </c>
      <c r="E829" s="104" t="s">
        <v>789</v>
      </c>
      <c r="F829" s="104" t="s">
        <v>790</v>
      </c>
      <c r="G829" s="114"/>
      <c r="H829" s="104">
        <v>4080001</v>
      </c>
      <c r="I829" s="104">
        <v>6779</v>
      </c>
      <c r="J829" s="104">
        <v>1350</v>
      </c>
      <c r="K829" s="104">
        <v>8</v>
      </c>
      <c r="L829" s="104">
        <v>1342</v>
      </c>
      <c r="M829" s="104">
        <v>4798.183</v>
      </c>
      <c r="N829" s="104" t="s">
        <v>24</v>
      </c>
      <c r="O829" s="104" t="s">
        <v>70</v>
      </c>
      <c r="P829" s="104" t="s">
        <v>106</v>
      </c>
      <c r="Q829" s="104">
        <v>46121.3597222222</v>
      </c>
      <c r="R829" s="104">
        <v>46121.3736111111</v>
      </c>
      <c r="S829" s="104">
        <v>46121.3923611111</v>
      </c>
      <c r="T829" s="104" t="s">
        <v>571</v>
      </c>
    </row>
    <row r="830" s="102" customFormat="1" ht="30" spans="1:20">
      <c r="A830" s="104" t="s">
        <v>22</v>
      </c>
      <c r="B830" s="104" t="s">
        <v>154</v>
      </c>
      <c r="C830" s="114"/>
      <c r="D830" s="104" t="s">
        <v>29</v>
      </c>
      <c r="E830" s="114"/>
      <c r="F830" s="114"/>
      <c r="G830" s="114"/>
      <c r="H830" s="104">
        <v>4091025</v>
      </c>
      <c r="I830" s="104">
        <v>1284</v>
      </c>
      <c r="J830" s="104">
        <v>1235</v>
      </c>
      <c r="K830" s="104">
        <v>0</v>
      </c>
      <c r="L830" s="104">
        <v>1235</v>
      </c>
      <c r="M830" s="104">
        <v>2294.05</v>
      </c>
      <c r="N830" s="104" t="s">
        <v>24</v>
      </c>
      <c r="O830" s="104" t="s">
        <v>25</v>
      </c>
      <c r="P830" s="104" t="s">
        <v>155</v>
      </c>
      <c r="Q830" s="104">
        <v>46121.3743055556</v>
      </c>
      <c r="R830" s="104">
        <v>46121.3743055556</v>
      </c>
      <c r="S830" s="114"/>
      <c r="T830" s="114"/>
    </row>
    <row r="831" s="102" customFormat="1" ht="15" spans="1:20">
      <c r="A831" s="104" t="s">
        <v>22</v>
      </c>
      <c r="B831" s="104" t="s">
        <v>127</v>
      </c>
      <c r="C831" s="114"/>
      <c r="D831" s="104" t="s">
        <v>29</v>
      </c>
      <c r="E831" s="114"/>
      <c r="F831" s="114"/>
      <c r="G831" s="114"/>
      <c r="H831" s="104">
        <v>4091874</v>
      </c>
      <c r="I831" s="104">
        <v>408</v>
      </c>
      <c r="J831" s="104">
        <v>23</v>
      </c>
      <c r="K831" s="104">
        <v>1</v>
      </c>
      <c r="L831" s="104">
        <v>22</v>
      </c>
      <c r="M831" s="104">
        <v>39.63</v>
      </c>
      <c r="N831" s="104" t="s">
        <v>24</v>
      </c>
      <c r="O831" s="104" t="s">
        <v>25</v>
      </c>
      <c r="P831" s="104" t="s">
        <v>106</v>
      </c>
      <c r="Q831" s="104">
        <v>46121.4319444444</v>
      </c>
      <c r="R831" s="104">
        <v>46121.4319444444</v>
      </c>
      <c r="S831" s="104">
        <v>46121.4340277778</v>
      </c>
      <c r="T831" s="104" t="s">
        <v>558</v>
      </c>
    </row>
    <row r="832" s="102" customFormat="1" ht="15" spans="1:20">
      <c r="A832" s="104" t="s">
        <v>22</v>
      </c>
      <c r="B832" s="104" t="s">
        <v>159</v>
      </c>
      <c r="C832" s="104" t="s">
        <v>1025</v>
      </c>
      <c r="D832" s="104" t="s">
        <v>161</v>
      </c>
      <c r="E832" s="114"/>
      <c r="F832" s="114"/>
      <c r="G832" s="114"/>
      <c r="H832" s="104">
        <v>4090001</v>
      </c>
      <c r="I832" s="104">
        <v>483</v>
      </c>
      <c r="J832" s="104">
        <v>483</v>
      </c>
      <c r="K832" s="104">
        <v>0</v>
      </c>
      <c r="L832" s="104">
        <v>483</v>
      </c>
      <c r="M832" s="104">
        <v>0</v>
      </c>
      <c r="N832" s="104" t="s">
        <v>24</v>
      </c>
      <c r="O832" s="104" t="s">
        <v>70</v>
      </c>
      <c r="P832" s="104" t="s">
        <v>106</v>
      </c>
      <c r="Q832" s="104">
        <v>46121.43125</v>
      </c>
      <c r="R832" s="104">
        <v>46121.4326388889</v>
      </c>
      <c r="S832" s="104">
        <v>46121.4472222222</v>
      </c>
      <c r="T832" s="104" t="s">
        <v>120</v>
      </c>
    </row>
    <row r="833" s="102" customFormat="1" ht="15" spans="1:20">
      <c r="A833" s="104" t="s">
        <v>22</v>
      </c>
      <c r="B833" s="104" t="s">
        <v>175</v>
      </c>
      <c r="C833" s="104" t="s">
        <v>1026</v>
      </c>
      <c r="D833" s="104" t="s">
        <v>177</v>
      </c>
      <c r="E833" s="114"/>
      <c r="F833" s="114"/>
      <c r="G833" s="104">
        <v>11111111111111</v>
      </c>
      <c r="H833" s="104">
        <v>4090002</v>
      </c>
      <c r="I833" s="104">
        <v>2796</v>
      </c>
      <c r="J833" s="104">
        <v>2796</v>
      </c>
      <c r="K833" s="104">
        <v>34</v>
      </c>
      <c r="L833" s="104">
        <v>2762</v>
      </c>
      <c r="M833" s="104">
        <v>5919.26</v>
      </c>
      <c r="N833" s="104" t="s">
        <v>24</v>
      </c>
      <c r="O833" s="104" t="s">
        <v>25</v>
      </c>
      <c r="P833" s="104" t="s">
        <v>106</v>
      </c>
      <c r="Q833" s="104">
        <v>46121.4555555556</v>
      </c>
      <c r="R833" s="104">
        <v>46121.4659722222</v>
      </c>
      <c r="S833" s="104">
        <v>46121.4902777778</v>
      </c>
      <c r="T833" s="104" t="s">
        <v>487</v>
      </c>
    </row>
    <row r="834" s="102" customFormat="1" ht="15" spans="1:20">
      <c r="A834" s="104" t="s">
        <v>22</v>
      </c>
      <c r="B834" s="104" t="s">
        <v>23</v>
      </c>
      <c r="C834" s="114"/>
      <c r="D834" s="114"/>
      <c r="E834" s="114"/>
      <c r="F834" s="114"/>
      <c r="G834" s="114"/>
      <c r="H834" s="104">
        <v>4097326</v>
      </c>
      <c r="I834" s="104">
        <v>52</v>
      </c>
      <c r="J834" s="104">
        <v>1</v>
      </c>
      <c r="K834" s="104">
        <v>0</v>
      </c>
      <c r="L834" s="104">
        <v>1</v>
      </c>
      <c r="M834" s="104">
        <v>2.6</v>
      </c>
      <c r="N834" s="104" t="s">
        <v>24</v>
      </c>
      <c r="O834" s="104" t="s">
        <v>25</v>
      </c>
      <c r="P834" s="104" t="s">
        <v>106</v>
      </c>
      <c r="Q834" s="104">
        <v>46121.4729166667</v>
      </c>
      <c r="R834" s="104">
        <v>46121.4729166667</v>
      </c>
      <c r="S834" s="104">
        <v>46121.4902777778</v>
      </c>
      <c r="T834" s="104" t="s">
        <v>464</v>
      </c>
    </row>
    <row r="835" s="102" customFormat="1" ht="15" spans="1:20">
      <c r="A835" s="104" t="s">
        <v>22</v>
      </c>
      <c r="B835" s="104" t="s">
        <v>36</v>
      </c>
      <c r="C835" s="104" t="s">
        <v>1027</v>
      </c>
      <c r="D835" s="104" t="s">
        <v>38</v>
      </c>
      <c r="E835" s="114"/>
      <c r="F835" s="114"/>
      <c r="G835" s="114"/>
      <c r="H835" s="104">
        <v>4090001</v>
      </c>
      <c r="I835" s="104">
        <v>784</v>
      </c>
      <c r="J835" s="104">
        <v>784</v>
      </c>
      <c r="K835" s="104">
        <v>1</v>
      </c>
      <c r="L835" s="104">
        <v>783</v>
      </c>
      <c r="M835" s="104">
        <v>580.937</v>
      </c>
      <c r="N835" s="104" t="s">
        <v>24</v>
      </c>
      <c r="O835" s="104" t="s">
        <v>25</v>
      </c>
      <c r="P835" s="104" t="s">
        <v>106</v>
      </c>
      <c r="Q835" s="104">
        <v>46121.4770833333</v>
      </c>
      <c r="R835" s="104">
        <v>46121.4784722222</v>
      </c>
      <c r="S835" s="104">
        <v>46121.4902777778</v>
      </c>
      <c r="T835" s="104" t="s">
        <v>369</v>
      </c>
    </row>
    <row r="836" s="102" customFormat="1" ht="15" spans="1:20">
      <c r="A836" s="104" t="s">
        <v>22</v>
      </c>
      <c r="B836" s="104" t="s">
        <v>31</v>
      </c>
      <c r="C836" s="114"/>
      <c r="D836" s="114"/>
      <c r="E836" s="114"/>
      <c r="F836" s="114"/>
      <c r="G836" s="114"/>
      <c r="H836" s="104">
        <v>40901</v>
      </c>
      <c r="I836" s="104">
        <v>18</v>
      </c>
      <c r="J836" s="104">
        <v>8</v>
      </c>
      <c r="K836" s="104">
        <v>0</v>
      </c>
      <c r="L836" s="104">
        <v>8</v>
      </c>
      <c r="M836" s="104">
        <v>18.575</v>
      </c>
      <c r="N836" s="104" t="s">
        <v>24</v>
      </c>
      <c r="O836" s="104" t="s">
        <v>25</v>
      </c>
      <c r="P836" s="104" t="s">
        <v>106</v>
      </c>
      <c r="Q836" s="104">
        <v>46121.4847222222</v>
      </c>
      <c r="R836" s="104">
        <v>46121.4847222222</v>
      </c>
      <c r="S836" s="104">
        <v>46121.7770833333</v>
      </c>
      <c r="T836" s="104" t="s">
        <v>425</v>
      </c>
    </row>
    <row r="837" s="102" customFormat="1" ht="15" spans="1:20">
      <c r="A837" s="104" t="s">
        <v>22</v>
      </c>
      <c r="B837" s="104" t="s">
        <v>31</v>
      </c>
      <c r="C837" s="114"/>
      <c r="D837" s="114"/>
      <c r="E837" s="114"/>
      <c r="F837" s="114"/>
      <c r="G837" s="114"/>
      <c r="H837" s="104">
        <v>4093363</v>
      </c>
      <c r="I837" s="104">
        <v>13</v>
      </c>
      <c r="J837" s="104">
        <v>3</v>
      </c>
      <c r="K837" s="104">
        <v>0</v>
      </c>
      <c r="L837" s="104">
        <v>3</v>
      </c>
      <c r="M837" s="104">
        <v>0.155</v>
      </c>
      <c r="N837" s="104" t="s">
        <v>24</v>
      </c>
      <c r="O837" s="104" t="s">
        <v>25</v>
      </c>
      <c r="P837" s="104" t="s">
        <v>106</v>
      </c>
      <c r="Q837" s="104">
        <v>46121.4847222222</v>
      </c>
      <c r="R837" s="104">
        <v>46121.4847222222</v>
      </c>
      <c r="S837" s="104">
        <v>46121.4986111111</v>
      </c>
      <c r="T837" s="104" t="s">
        <v>533</v>
      </c>
    </row>
    <row r="838" s="102" customFormat="1" ht="15" spans="1:20">
      <c r="A838" s="104" t="s">
        <v>22</v>
      </c>
      <c r="B838" s="104" t="s">
        <v>31</v>
      </c>
      <c r="C838" s="114"/>
      <c r="D838" s="114"/>
      <c r="E838" s="114"/>
      <c r="F838" s="114"/>
      <c r="G838" s="114"/>
      <c r="H838" s="104">
        <v>4093365</v>
      </c>
      <c r="I838" s="104">
        <v>14</v>
      </c>
      <c r="J838" s="104">
        <v>1</v>
      </c>
      <c r="K838" s="104">
        <v>1</v>
      </c>
      <c r="L838" s="104">
        <v>0</v>
      </c>
      <c r="M838" s="104">
        <v>0</v>
      </c>
      <c r="N838" s="104" t="s">
        <v>24</v>
      </c>
      <c r="O838" s="104" t="s">
        <v>25</v>
      </c>
      <c r="P838" s="104" t="s">
        <v>106</v>
      </c>
      <c r="Q838" s="104">
        <v>46121.4847222222</v>
      </c>
      <c r="R838" s="104">
        <v>46121.4847222222</v>
      </c>
      <c r="S838" s="104">
        <v>46121.4986111111</v>
      </c>
      <c r="T838" s="104" t="s">
        <v>533</v>
      </c>
    </row>
    <row r="839" s="102" customFormat="1" ht="15" spans="1:20">
      <c r="A839" s="104" t="s">
        <v>22</v>
      </c>
      <c r="B839" s="104" t="s">
        <v>31</v>
      </c>
      <c r="C839" s="114"/>
      <c r="D839" s="114"/>
      <c r="E839" s="114"/>
      <c r="F839" s="114"/>
      <c r="G839" s="114"/>
      <c r="H839" s="104">
        <v>4093364</v>
      </c>
      <c r="I839" s="104">
        <v>68</v>
      </c>
      <c r="J839" s="104">
        <v>6</v>
      </c>
      <c r="K839" s="104">
        <v>1</v>
      </c>
      <c r="L839" s="104">
        <v>5</v>
      </c>
      <c r="M839" s="104">
        <v>9.564</v>
      </c>
      <c r="N839" s="104" t="s">
        <v>24</v>
      </c>
      <c r="O839" s="104" t="s">
        <v>25</v>
      </c>
      <c r="P839" s="104" t="s">
        <v>106</v>
      </c>
      <c r="Q839" s="104">
        <v>46121.4847222222</v>
      </c>
      <c r="R839" s="104">
        <v>46121.4847222222</v>
      </c>
      <c r="S839" s="104">
        <v>46121.4986111111</v>
      </c>
      <c r="T839" s="104" t="s">
        <v>533</v>
      </c>
    </row>
    <row r="840" s="102" customFormat="1" ht="15" spans="1:20">
      <c r="A840" s="104" t="s">
        <v>22</v>
      </c>
      <c r="B840" s="104" t="s">
        <v>47</v>
      </c>
      <c r="C840" s="114"/>
      <c r="D840" s="114"/>
      <c r="E840" s="114"/>
      <c r="F840" s="114"/>
      <c r="G840" s="114"/>
      <c r="H840" s="104">
        <v>40901</v>
      </c>
      <c r="I840" s="104">
        <v>39</v>
      </c>
      <c r="J840" s="104">
        <v>4</v>
      </c>
      <c r="K840" s="104">
        <v>0</v>
      </c>
      <c r="L840" s="104">
        <v>4</v>
      </c>
      <c r="M840" s="104">
        <v>0.896</v>
      </c>
      <c r="N840" s="104" t="s">
        <v>24</v>
      </c>
      <c r="O840" s="104" t="s">
        <v>25</v>
      </c>
      <c r="P840" s="104" t="s">
        <v>106</v>
      </c>
      <c r="Q840" s="104">
        <v>46121.4854166667</v>
      </c>
      <c r="R840" s="104">
        <v>46121.4854166667</v>
      </c>
      <c r="S840" s="104">
        <v>46121.4986111111</v>
      </c>
      <c r="T840" s="104" t="s">
        <v>629</v>
      </c>
    </row>
    <row r="841" s="102" customFormat="1" ht="15" spans="1:20">
      <c r="A841" s="104" t="s">
        <v>22</v>
      </c>
      <c r="B841" s="104" t="s">
        <v>47</v>
      </c>
      <c r="C841" s="114"/>
      <c r="D841" s="114"/>
      <c r="E841" s="114"/>
      <c r="F841" s="114"/>
      <c r="G841" s="114"/>
      <c r="H841" s="104">
        <v>40902</v>
      </c>
      <c r="I841" s="104">
        <v>1</v>
      </c>
      <c r="J841" s="104">
        <v>1</v>
      </c>
      <c r="K841" s="104">
        <v>0</v>
      </c>
      <c r="L841" s="104">
        <v>1</v>
      </c>
      <c r="M841" s="104">
        <v>0.05</v>
      </c>
      <c r="N841" s="104" t="s">
        <v>24</v>
      </c>
      <c r="O841" s="104" t="s">
        <v>25</v>
      </c>
      <c r="P841" s="104" t="s">
        <v>106</v>
      </c>
      <c r="Q841" s="104">
        <v>46121.4854166667</v>
      </c>
      <c r="R841" s="104">
        <v>46121.4854166667</v>
      </c>
      <c r="S841" s="104">
        <v>46121.4986111111</v>
      </c>
      <c r="T841" s="104" t="s">
        <v>533</v>
      </c>
    </row>
    <row r="842" s="102" customFormat="1" ht="15" spans="1:20">
      <c r="A842" s="104" t="s">
        <v>22</v>
      </c>
      <c r="B842" s="104" t="s">
        <v>33</v>
      </c>
      <c r="C842" s="114"/>
      <c r="D842" s="114"/>
      <c r="E842" s="114"/>
      <c r="F842" s="114"/>
      <c r="G842" s="114"/>
      <c r="H842" s="104">
        <v>40901</v>
      </c>
      <c r="I842" s="104">
        <v>69</v>
      </c>
      <c r="J842" s="104">
        <v>19</v>
      </c>
      <c r="K842" s="104">
        <v>1</v>
      </c>
      <c r="L842" s="104">
        <v>18</v>
      </c>
      <c r="M842" s="104">
        <v>29.875</v>
      </c>
      <c r="N842" s="104" t="s">
        <v>24</v>
      </c>
      <c r="O842" s="104" t="s">
        <v>25</v>
      </c>
      <c r="P842" s="104" t="s">
        <v>106</v>
      </c>
      <c r="Q842" s="104">
        <v>46121.4854166667</v>
      </c>
      <c r="R842" s="104">
        <v>46121.4854166667</v>
      </c>
      <c r="S842" s="104">
        <v>46121.7770833333</v>
      </c>
      <c r="T842" s="104" t="s">
        <v>200</v>
      </c>
    </row>
    <row r="843" s="102" customFormat="1" ht="15" spans="1:20">
      <c r="A843" s="104" t="s">
        <v>22</v>
      </c>
      <c r="B843" s="104" t="s">
        <v>35</v>
      </c>
      <c r="C843" s="114"/>
      <c r="D843" s="114"/>
      <c r="E843" s="114"/>
      <c r="F843" s="114"/>
      <c r="G843" s="114"/>
      <c r="H843" s="104">
        <v>40901</v>
      </c>
      <c r="I843" s="104">
        <v>37</v>
      </c>
      <c r="J843" s="104">
        <v>4</v>
      </c>
      <c r="K843" s="104">
        <v>0</v>
      </c>
      <c r="L843" s="104">
        <v>4</v>
      </c>
      <c r="M843" s="104">
        <v>10.359</v>
      </c>
      <c r="N843" s="104" t="s">
        <v>24</v>
      </c>
      <c r="O843" s="104" t="s">
        <v>25</v>
      </c>
      <c r="P843" s="104" t="s">
        <v>106</v>
      </c>
      <c r="Q843" s="104">
        <v>46121.4854166667</v>
      </c>
      <c r="R843" s="104">
        <v>46121.4854166667</v>
      </c>
      <c r="S843" s="104">
        <v>46121.4986111111</v>
      </c>
      <c r="T843" s="104" t="s">
        <v>533</v>
      </c>
    </row>
    <row r="844" s="102" customFormat="1" ht="15" spans="1:20">
      <c r="A844" s="104" t="s">
        <v>22</v>
      </c>
      <c r="B844" s="104" t="s">
        <v>39</v>
      </c>
      <c r="C844" s="104" t="s">
        <v>1028</v>
      </c>
      <c r="D844" s="104" t="s">
        <v>41</v>
      </c>
      <c r="E844" s="114"/>
      <c r="F844" s="114"/>
      <c r="G844" s="114"/>
      <c r="H844" s="104">
        <v>4090001</v>
      </c>
      <c r="I844" s="104">
        <v>269</v>
      </c>
      <c r="J844" s="104">
        <v>13</v>
      </c>
      <c r="K844" s="104">
        <v>3</v>
      </c>
      <c r="L844" s="104">
        <v>10</v>
      </c>
      <c r="M844" s="104">
        <v>125.928</v>
      </c>
      <c r="N844" s="104" t="s">
        <v>24</v>
      </c>
      <c r="O844" s="104" t="s">
        <v>25</v>
      </c>
      <c r="P844" s="104" t="s">
        <v>106</v>
      </c>
      <c r="Q844" s="104">
        <v>46121.4909722222</v>
      </c>
      <c r="R844" s="104">
        <v>46121.4909722222</v>
      </c>
      <c r="S844" s="104">
        <v>46121.5173611111</v>
      </c>
      <c r="T844" s="104" t="s">
        <v>745</v>
      </c>
    </row>
    <row r="845" s="102" customFormat="1" ht="15" spans="1:20">
      <c r="A845" s="104" t="s">
        <v>22</v>
      </c>
      <c r="B845" s="104" t="s">
        <v>168</v>
      </c>
      <c r="C845" s="104" t="s">
        <v>1029</v>
      </c>
      <c r="D845" s="104" t="s">
        <v>293</v>
      </c>
      <c r="E845" s="114"/>
      <c r="F845" s="114"/>
      <c r="G845" s="114"/>
      <c r="H845" s="104">
        <v>4090001</v>
      </c>
      <c r="I845" s="104">
        <v>368</v>
      </c>
      <c r="J845" s="104">
        <v>268</v>
      </c>
      <c r="K845" s="104">
        <v>8</v>
      </c>
      <c r="L845" s="104">
        <v>260</v>
      </c>
      <c r="M845" s="104">
        <v>322.507</v>
      </c>
      <c r="N845" s="104" t="s">
        <v>24</v>
      </c>
      <c r="O845" s="104" t="s">
        <v>25</v>
      </c>
      <c r="P845" s="104" t="s">
        <v>106</v>
      </c>
      <c r="Q845" s="104">
        <v>46121.4895833333</v>
      </c>
      <c r="R845" s="104">
        <v>46121.4909722222</v>
      </c>
      <c r="S845" s="104">
        <v>46121.5173611111</v>
      </c>
      <c r="T845" s="104" t="s">
        <v>745</v>
      </c>
    </row>
    <row r="846" s="102" customFormat="1" ht="15" spans="1:20">
      <c r="A846" s="104" t="s">
        <v>22</v>
      </c>
      <c r="B846" s="104" t="s">
        <v>49</v>
      </c>
      <c r="C846" s="104" t="s">
        <v>1030</v>
      </c>
      <c r="D846" s="104" t="s">
        <v>51</v>
      </c>
      <c r="E846" s="114"/>
      <c r="F846" s="114"/>
      <c r="G846" s="114"/>
      <c r="H846" s="104">
        <v>4090001</v>
      </c>
      <c r="I846" s="104">
        <v>47</v>
      </c>
      <c r="J846" s="104">
        <v>43</v>
      </c>
      <c r="K846" s="104">
        <v>3</v>
      </c>
      <c r="L846" s="104">
        <v>40</v>
      </c>
      <c r="M846" s="104">
        <v>210.738</v>
      </c>
      <c r="N846" s="104" t="s">
        <v>24</v>
      </c>
      <c r="O846" s="104" t="s">
        <v>25</v>
      </c>
      <c r="P846" s="104" t="s">
        <v>106</v>
      </c>
      <c r="Q846" s="104">
        <v>46121.4923611111</v>
      </c>
      <c r="R846" s="104">
        <v>46121.49375</v>
      </c>
      <c r="S846" s="104">
        <v>46121.5180555556</v>
      </c>
      <c r="T846" s="104" t="s">
        <v>487</v>
      </c>
    </row>
    <row r="847" s="102" customFormat="1" ht="15" spans="1:20">
      <c r="A847" s="104" t="s">
        <v>22</v>
      </c>
      <c r="B847" s="104" t="s">
        <v>53</v>
      </c>
      <c r="C847" s="104" t="s">
        <v>1031</v>
      </c>
      <c r="D847" s="104" t="s">
        <v>326</v>
      </c>
      <c r="E847" s="114"/>
      <c r="F847" s="114"/>
      <c r="G847" s="114"/>
      <c r="H847" s="104">
        <v>4090001</v>
      </c>
      <c r="I847" s="104">
        <v>72</v>
      </c>
      <c r="J847" s="104">
        <v>32</v>
      </c>
      <c r="K847" s="104">
        <v>2</v>
      </c>
      <c r="L847" s="104">
        <v>30</v>
      </c>
      <c r="M847" s="104">
        <v>151.171</v>
      </c>
      <c r="N847" s="104" t="s">
        <v>24</v>
      </c>
      <c r="O847" s="104" t="s">
        <v>25</v>
      </c>
      <c r="P847" s="104" t="s">
        <v>106</v>
      </c>
      <c r="Q847" s="104">
        <v>46121.4951388889</v>
      </c>
      <c r="R847" s="104">
        <v>46121.4951388889</v>
      </c>
      <c r="S847" s="104">
        <v>46121.5180555556</v>
      </c>
      <c r="T847" s="104" t="s">
        <v>200</v>
      </c>
    </row>
    <row r="848" s="102" customFormat="1" ht="15" spans="1:20">
      <c r="A848" s="104" t="s">
        <v>22</v>
      </c>
      <c r="B848" s="104" t="s">
        <v>28</v>
      </c>
      <c r="C848" s="114"/>
      <c r="D848" s="104" t="s">
        <v>29</v>
      </c>
      <c r="E848" s="114"/>
      <c r="F848" s="114"/>
      <c r="G848" s="114"/>
      <c r="H848" s="104">
        <v>4092120</v>
      </c>
      <c r="I848" s="104">
        <v>0</v>
      </c>
      <c r="J848" s="104">
        <v>174</v>
      </c>
      <c r="K848" s="104">
        <v>0</v>
      </c>
      <c r="L848" s="104">
        <v>174</v>
      </c>
      <c r="M848" s="104">
        <v>0</v>
      </c>
      <c r="N848" s="104" t="s">
        <v>24</v>
      </c>
      <c r="O848" s="104" t="s">
        <v>25</v>
      </c>
      <c r="P848" s="104" t="s">
        <v>106</v>
      </c>
      <c r="Q848" s="104">
        <v>46121.4972222222</v>
      </c>
      <c r="R848" s="104">
        <v>46121.4972222222</v>
      </c>
      <c r="S848" s="104">
        <v>46121.5180555556</v>
      </c>
      <c r="T848" s="104" t="s">
        <v>541</v>
      </c>
    </row>
    <row r="849" s="102" customFormat="1" ht="15" spans="1:20">
      <c r="A849" s="104" t="s">
        <v>22</v>
      </c>
      <c r="B849" s="104" t="s">
        <v>47</v>
      </c>
      <c r="C849" s="114"/>
      <c r="D849" s="114"/>
      <c r="E849" s="114"/>
      <c r="F849" s="114"/>
      <c r="G849" s="114"/>
      <c r="H849" s="104">
        <v>40901</v>
      </c>
      <c r="I849" s="104">
        <v>47</v>
      </c>
      <c r="J849" s="104">
        <v>10</v>
      </c>
      <c r="K849" s="104">
        <v>0</v>
      </c>
      <c r="L849" s="104">
        <v>10</v>
      </c>
      <c r="M849" s="104">
        <v>13.9</v>
      </c>
      <c r="N849" s="104" t="s">
        <v>24</v>
      </c>
      <c r="O849" s="104" t="s">
        <v>25</v>
      </c>
      <c r="P849" s="104" t="s">
        <v>106</v>
      </c>
      <c r="Q849" s="104">
        <v>46121.4854166667</v>
      </c>
      <c r="R849" s="104">
        <v>46121.4979166667</v>
      </c>
      <c r="S849" s="104">
        <v>46121.4986111111</v>
      </c>
      <c r="T849" s="104" t="s">
        <v>629</v>
      </c>
    </row>
    <row r="850" s="102" customFormat="1" ht="15" spans="1:20">
      <c r="A850" s="104" t="s">
        <v>22</v>
      </c>
      <c r="B850" s="104" t="s">
        <v>67</v>
      </c>
      <c r="C850" s="104" t="s">
        <v>1032</v>
      </c>
      <c r="D850" s="104" t="s">
        <v>69</v>
      </c>
      <c r="E850" s="114"/>
      <c r="F850" s="114"/>
      <c r="G850" s="114"/>
      <c r="H850" s="104">
        <v>4090001</v>
      </c>
      <c r="I850" s="104">
        <v>1863</v>
      </c>
      <c r="J850" s="104">
        <v>304</v>
      </c>
      <c r="K850" s="104">
        <v>0</v>
      </c>
      <c r="L850" s="104">
        <v>304</v>
      </c>
      <c r="M850" s="104">
        <v>816.85</v>
      </c>
      <c r="N850" s="104" t="s">
        <v>24</v>
      </c>
      <c r="O850" s="104" t="s">
        <v>70</v>
      </c>
      <c r="P850" s="104" t="s">
        <v>106</v>
      </c>
      <c r="Q850" s="104">
        <v>46121.4993055556</v>
      </c>
      <c r="R850" s="104">
        <v>46121.4993055556</v>
      </c>
      <c r="S850" s="104">
        <v>46121.5076388889</v>
      </c>
      <c r="T850" s="104" t="s">
        <v>381</v>
      </c>
    </row>
    <row r="851" s="102" customFormat="1" ht="15" spans="1:20">
      <c r="A851" s="104" t="s">
        <v>22</v>
      </c>
      <c r="B851" s="104" t="s">
        <v>31</v>
      </c>
      <c r="C851" s="114"/>
      <c r="D851" s="114"/>
      <c r="E851" s="114"/>
      <c r="F851" s="114"/>
      <c r="G851" s="114"/>
      <c r="H851" s="104">
        <v>40901</v>
      </c>
      <c r="I851" s="104">
        <v>3</v>
      </c>
      <c r="J851" s="104">
        <v>2</v>
      </c>
      <c r="K851" s="104">
        <v>0</v>
      </c>
      <c r="L851" s="104">
        <v>2</v>
      </c>
      <c r="M851" s="104">
        <v>1.461</v>
      </c>
      <c r="N851" s="104" t="s">
        <v>24</v>
      </c>
      <c r="O851" s="104" t="s">
        <v>25</v>
      </c>
      <c r="P851" s="104" t="s">
        <v>106</v>
      </c>
      <c r="Q851" s="104">
        <v>46121.4847222222</v>
      </c>
      <c r="R851" s="104">
        <v>46121.5006944444</v>
      </c>
      <c r="S851" s="104">
        <v>46121.7770833333</v>
      </c>
      <c r="T851" s="104" t="s">
        <v>425</v>
      </c>
    </row>
    <row r="852" s="102" customFormat="1" ht="15" spans="1:20">
      <c r="A852" s="104" t="s">
        <v>22</v>
      </c>
      <c r="B852" s="104" t="s">
        <v>72</v>
      </c>
      <c r="C852" s="104" t="s">
        <v>1033</v>
      </c>
      <c r="D852" s="104" t="s">
        <v>74</v>
      </c>
      <c r="E852" s="114"/>
      <c r="F852" s="114"/>
      <c r="G852" s="114"/>
      <c r="H852" s="104">
        <v>4090001</v>
      </c>
      <c r="I852" s="104">
        <v>312</v>
      </c>
      <c r="J852" s="104">
        <v>175</v>
      </c>
      <c r="K852" s="104">
        <v>29</v>
      </c>
      <c r="L852" s="104">
        <v>146</v>
      </c>
      <c r="M852" s="104">
        <v>447.49</v>
      </c>
      <c r="N852" s="104" t="s">
        <v>24</v>
      </c>
      <c r="O852" s="104" t="s">
        <v>25</v>
      </c>
      <c r="P852" s="104" t="s">
        <v>106</v>
      </c>
      <c r="Q852" s="104">
        <v>46121.5034722222</v>
      </c>
      <c r="R852" s="104">
        <v>46121.5034722222</v>
      </c>
      <c r="S852" s="104">
        <v>46121.51875</v>
      </c>
      <c r="T852" s="104" t="s">
        <v>128</v>
      </c>
    </row>
    <row r="853" s="102" customFormat="1" ht="15" spans="1:20">
      <c r="A853" s="104" t="s">
        <v>22</v>
      </c>
      <c r="B853" s="104" t="s">
        <v>76</v>
      </c>
      <c r="C853" s="104" t="s">
        <v>1034</v>
      </c>
      <c r="D853" s="104" t="s">
        <v>627</v>
      </c>
      <c r="E853" s="114"/>
      <c r="F853" s="104" t="s">
        <v>79</v>
      </c>
      <c r="G853" s="114"/>
      <c r="H853" s="104">
        <v>4090001</v>
      </c>
      <c r="I853" s="104">
        <v>1630</v>
      </c>
      <c r="J853" s="104">
        <v>1384</v>
      </c>
      <c r="K853" s="104">
        <v>106</v>
      </c>
      <c r="L853" s="104">
        <v>1278</v>
      </c>
      <c r="M853" s="104">
        <v>3209.769</v>
      </c>
      <c r="N853" s="104" t="s">
        <v>24</v>
      </c>
      <c r="O853" s="104" t="s">
        <v>25</v>
      </c>
      <c r="P853" s="104" t="s">
        <v>106</v>
      </c>
      <c r="Q853" s="104">
        <v>46121.5055555556</v>
      </c>
      <c r="R853" s="104">
        <v>46121.5069444444</v>
      </c>
      <c r="S853" s="104">
        <v>46121.5215277778</v>
      </c>
      <c r="T853" s="104" t="s">
        <v>120</v>
      </c>
    </row>
    <row r="854" s="102" customFormat="1" ht="15" spans="1:20">
      <c r="A854" s="104" t="s">
        <v>22</v>
      </c>
      <c r="B854" s="104" t="s">
        <v>319</v>
      </c>
      <c r="C854" s="104" t="s">
        <v>1035</v>
      </c>
      <c r="D854" s="104" t="s">
        <v>321</v>
      </c>
      <c r="E854" s="114"/>
      <c r="F854" s="114"/>
      <c r="G854" s="114"/>
      <c r="H854" s="104">
        <v>4080001</v>
      </c>
      <c r="I854" s="104">
        <v>837</v>
      </c>
      <c r="J854" s="104">
        <v>331</v>
      </c>
      <c r="K854" s="104">
        <v>15</v>
      </c>
      <c r="L854" s="104">
        <v>316</v>
      </c>
      <c r="M854" s="104">
        <v>502.169</v>
      </c>
      <c r="N854" s="104" t="s">
        <v>24</v>
      </c>
      <c r="O854" s="104" t="s">
        <v>25</v>
      </c>
      <c r="P854" s="104" t="s">
        <v>271</v>
      </c>
      <c r="Q854" s="104">
        <v>46120.8041666667</v>
      </c>
      <c r="R854" s="104">
        <v>46120.8069444444</v>
      </c>
      <c r="S854" s="104">
        <v>46120.9076388889</v>
      </c>
      <c r="T854" s="104" t="s">
        <v>1036</v>
      </c>
    </row>
    <row r="855" s="102" customFormat="1" ht="15" spans="1:20">
      <c r="A855" s="104" t="s">
        <v>22</v>
      </c>
      <c r="B855" s="104" t="s">
        <v>257</v>
      </c>
      <c r="C855" s="104" t="s">
        <v>1037</v>
      </c>
      <c r="D855" s="104" t="s">
        <v>259</v>
      </c>
      <c r="E855" s="114"/>
      <c r="F855" s="114"/>
      <c r="G855" s="114"/>
      <c r="H855" s="104">
        <v>4080001</v>
      </c>
      <c r="I855" s="104">
        <v>1942</v>
      </c>
      <c r="J855" s="104">
        <v>1718</v>
      </c>
      <c r="K855" s="104">
        <v>9</v>
      </c>
      <c r="L855" s="104">
        <v>1709</v>
      </c>
      <c r="M855" s="104">
        <v>2885.409</v>
      </c>
      <c r="N855" s="104" t="s">
        <v>24</v>
      </c>
      <c r="O855" s="104" t="s">
        <v>25</v>
      </c>
      <c r="P855" s="104" t="s">
        <v>271</v>
      </c>
      <c r="Q855" s="104">
        <v>46120.8048611111</v>
      </c>
      <c r="R855" s="104">
        <v>46120.8069444444</v>
      </c>
      <c r="S855" s="104">
        <v>46120.9090277778</v>
      </c>
      <c r="T855" s="104" t="s">
        <v>884</v>
      </c>
    </row>
    <row r="856" s="102" customFormat="1" ht="15" spans="1:20">
      <c r="A856" s="104" t="s">
        <v>22</v>
      </c>
      <c r="B856" s="104" t="s">
        <v>164</v>
      </c>
      <c r="C856" s="104" t="s">
        <v>1038</v>
      </c>
      <c r="D856" s="104" t="s">
        <v>166</v>
      </c>
      <c r="E856" s="114"/>
      <c r="F856" s="114"/>
      <c r="G856" s="114"/>
      <c r="H856" s="104">
        <v>4080002</v>
      </c>
      <c r="I856" s="104">
        <v>6288</v>
      </c>
      <c r="J856" s="104">
        <v>6288</v>
      </c>
      <c r="K856" s="104">
        <v>53</v>
      </c>
      <c r="L856" s="104">
        <v>6235</v>
      </c>
      <c r="M856" s="104">
        <v>12127.966</v>
      </c>
      <c r="N856" s="104" t="s">
        <v>24</v>
      </c>
      <c r="O856" s="104" t="s">
        <v>25</v>
      </c>
      <c r="P856" s="104" t="s">
        <v>271</v>
      </c>
      <c r="Q856" s="104">
        <v>46120.80625</v>
      </c>
      <c r="R856" s="104">
        <v>46120.8104166667</v>
      </c>
      <c r="S856" s="104">
        <v>46120.9097222222</v>
      </c>
      <c r="T856" s="104" t="s">
        <v>912</v>
      </c>
    </row>
    <row r="857" s="102" customFormat="1" ht="15" spans="1:20">
      <c r="A857" s="104" t="s">
        <v>22</v>
      </c>
      <c r="B857" s="104" t="s">
        <v>314</v>
      </c>
      <c r="C857" s="104" t="s">
        <v>1039</v>
      </c>
      <c r="D857" s="104" t="s">
        <v>293</v>
      </c>
      <c r="E857" s="114"/>
      <c r="F857" s="114"/>
      <c r="G857" s="114"/>
      <c r="H857" s="104">
        <v>4080001</v>
      </c>
      <c r="I857" s="104">
        <v>78</v>
      </c>
      <c r="J857" s="104">
        <v>20</v>
      </c>
      <c r="K857" s="104">
        <v>10</v>
      </c>
      <c r="L857" s="104">
        <v>10</v>
      </c>
      <c r="M857" s="104">
        <v>19.854</v>
      </c>
      <c r="N857" s="104" t="s">
        <v>24</v>
      </c>
      <c r="O857" s="104" t="s">
        <v>25</v>
      </c>
      <c r="P857" s="104" t="s">
        <v>271</v>
      </c>
      <c r="Q857" s="104">
        <v>46120.8104166667</v>
      </c>
      <c r="R857" s="104">
        <v>46120.8104166667</v>
      </c>
      <c r="S857" s="104">
        <v>46120.9097222222</v>
      </c>
      <c r="T857" s="104" t="s">
        <v>912</v>
      </c>
    </row>
    <row r="858" s="102" customFormat="1" ht="15" spans="1:20">
      <c r="A858" s="104" t="s">
        <v>22</v>
      </c>
      <c r="B858" s="104" t="s">
        <v>229</v>
      </c>
      <c r="C858" s="104" t="s">
        <v>1040</v>
      </c>
      <c r="D858" s="104" t="s">
        <v>217</v>
      </c>
      <c r="E858" s="114"/>
      <c r="F858" s="114"/>
      <c r="G858" s="114"/>
      <c r="H858" s="104">
        <v>4080002</v>
      </c>
      <c r="I858" s="104">
        <v>4169</v>
      </c>
      <c r="J858" s="104">
        <v>4169</v>
      </c>
      <c r="K858" s="104">
        <v>26</v>
      </c>
      <c r="L858" s="104">
        <v>4143</v>
      </c>
      <c r="M858" s="104">
        <v>5600.082</v>
      </c>
      <c r="N858" s="104" t="s">
        <v>24</v>
      </c>
      <c r="O858" s="104" t="s">
        <v>25</v>
      </c>
      <c r="P858" s="104" t="s">
        <v>271</v>
      </c>
      <c r="Q858" s="104">
        <v>46120.8076388889</v>
      </c>
      <c r="R858" s="104">
        <v>46120.8125</v>
      </c>
      <c r="S858" s="104">
        <v>46120.9076388889</v>
      </c>
      <c r="T858" s="104" t="s">
        <v>1041</v>
      </c>
    </row>
    <row r="859" s="102" customFormat="1" ht="15" spans="1:20">
      <c r="A859" s="104" t="s">
        <v>22</v>
      </c>
      <c r="B859" s="104" t="s">
        <v>232</v>
      </c>
      <c r="C859" s="104" t="s">
        <v>1042</v>
      </c>
      <c r="D859" s="104" t="s">
        <v>65</v>
      </c>
      <c r="E859" s="114"/>
      <c r="F859" s="114"/>
      <c r="G859" s="114"/>
      <c r="H859" s="104">
        <v>4080001</v>
      </c>
      <c r="I859" s="104">
        <v>5335</v>
      </c>
      <c r="J859" s="104">
        <v>4483</v>
      </c>
      <c r="K859" s="104">
        <v>92</v>
      </c>
      <c r="L859" s="104">
        <v>4391</v>
      </c>
      <c r="M859" s="104">
        <v>5374.385</v>
      </c>
      <c r="N859" s="104" t="s">
        <v>24</v>
      </c>
      <c r="O859" s="104" t="s">
        <v>25</v>
      </c>
      <c r="P859" s="104" t="s">
        <v>271</v>
      </c>
      <c r="Q859" s="104">
        <v>46120.8111111111</v>
      </c>
      <c r="R859" s="104">
        <v>46120.8131944444</v>
      </c>
      <c r="S859" s="104">
        <v>46120.9097222222</v>
      </c>
      <c r="T859" s="104" t="s">
        <v>274</v>
      </c>
    </row>
    <row r="860" s="102" customFormat="1" ht="15" spans="1:20">
      <c r="A860" s="104" t="s">
        <v>22</v>
      </c>
      <c r="B860" s="104" t="s">
        <v>236</v>
      </c>
      <c r="C860" s="114"/>
      <c r="D860" s="114"/>
      <c r="E860" s="114"/>
      <c r="F860" s="114"/>
      <c r="G860" s="114"/>
      <c r="H860" s="104">
        <v>4084821</v>
      </c>
      <c r="I860" s="104">
        <v>319</v>
      </c>
      <c r="J860" s="104">
        <v>319</v>
      </c>
      <c r="K860" s="104">
        <v>74</v>
      </c>
      <c r="L860" s="104">
        <v>245</v>
      </c>
      <c r="M860" s="104">
        <v>136.636</v>
      </c>
      <c r="N860" s="104" t="s">
        <v>24</v>
      </c>
      <c r="O860" s="104" t="s">
        <v>25</v>
      </c>
      <c r="P860" s="104" t="s">
        <v>271</v>
      </c>
      <c r="Q860" s="104">
        <v>46120.8138888889</v>
      </c>
      <c r="R860" s="104">
        <v>46120.8138888889</v>
      </c>
      <c r="S860" s="104">
        <v>46120.9076388889</v>
      </c>
      <c r="T860" s="104" t="s">
        <v>1043</v>
      </c>
    </row>
    <row r="861" s="102" customFormat="1" ht="15" spans="1:20">
      <c r="A861" s="104" t="s">
        <v>22</v>
      </c>
      <c r="B861" s="104" t="s">
        <v>254</v>
      </c>
      <c r="C861" s="104" t="s">
        <v>1005</v>
      </c>
      <c r="D861" s="104" t="s">
        <v>182</v>
      </c>
      <c r="E861" s="114"/>
      <c r="F861" s="114"/>
      <c r="G861" s="114"/>
      <c r="H861" s="104">
        <v>4080001</v>
      </c>
      <c r="I861" s="104">
        <v>1</v>
      </c>
      <c r="J861" s="104">
        <v>1</v>
      </c>
      <c r="K861" s="104">
        <v>0</v>
      </c>
      <c r="L861" s="104">
        <v>1</v>
      </c>
      <c r="M861" s="104">
        <v>0.98</v>
      </c>
      <c r="N861" s="104" t="s">
        <v>24</v>
      </c>
      <c r="O861" s="104" t="s">
        <v>25</v>
      </c>
      <c r="P861" s="104" t="s">
        <v>271</v>
      </c>
      <c r="Q861" s="104">
        <v>46120.7770833333</v>
      </c>
      <c r="R861" s="104">
        <v>46120.8145833333</v>
      </c>
      <c r="S861" s="104">
        <v>46120.9083333333</v>
      </c>
      <c r="T861" s="104" t="s">
        <v>914</v>
      </c>
    </row>
    <row r="862" s="102" customFormat="1" ht="15" spans="1:20">
      <c r="A862" s="104" t="s">
        <v>22</v>
      </c>
      <c r="B862" s="104" t="s">
        <v>332</v>
      </c>
      <c r="C862" s="104" t="s">
        <v>1044</v>
      </c>
      <c r="D862" s="104" t="s">
        <v>334</v>
      </c>
      <c r="E862" s="114"/>
      <c r="F862" s="114"/>
      <c r="G862" s="114"/>
      <c r="H862" s="104">
        <v>4080001</v>
      </c>
      <c r="I862" s="104">
        <v>4220</v>
      </c>
      <c r="J862" s="104">
        <v>3655</v>
      </c>
      <c r="K862" s="104">
        <v>24</v>
      </c>
      <c r="L862" s="104">
        <v>3623</v>
      </c>
      <c r="M862" s="104">
        <v>2234.733</v>
      </c>
      <c r="N862" s="104" t="s">
        <v>24</v>
      </c>
      <c r="O862" s="104" t="s">
        <v>25</v>
      </c>
      <c r="P862" s="104" t="s">
        <v>271</v>
      </c>
      <c r="Q862" s="104">
        <v>46120.8145833333</v>
      </c>
      <c r="R862" s="104">
        <v>46120.8152777778</v>
      </c>
      <c r="S862" s="104">
        <v>46120.9097222222</v>
      </c>
      <c r="T862" s="104" t="s">
        <v>1041</v>
      </c>
    </row>
    <row r="863" s="102" customFormat="1" ht="15" spans="1:20">
      <c r="A863" s="104" t="s">
        <v>22</v>
      </c>
      <c r="B863" s="104" t="s">
        <v>302</v>
      </c>
      <c r="C863" s="104" t="s">
        <v>1045</v>
      </c>
      <c r="D863" s="104" t="s">
        <v>74</v>
      </c>
      <c r="E863" s="114"/>
      <c r="F863" s="114"/>
      <c r="G863" s="114"/>
      <c r="H863" s="104">
        <v>4080001</v>
      </c>
      <c r="I863" s="104">
        <v>1537</v>
      </c>
      <c r="J863" s="104">
        <v>1496</v>
      </c>
      <c r="K863" s="104">
        <v>15</v>
      </c>
      <c r="L863" s="104">
        <v>1481</v>
      </c>
      <c r="M863" s="104">
        <v>2431.704</v>
      </c>
      <c r="N863" s="104" t="s">
        <v>24</v>
      </c>
      <c r="O863" s="104" t="s">
        <v>25</v>
      </c>
      <c r="P863" s="104" t="s">
        <v>271</v>
      </c>
      <c r="Q863" s="104">
        <v>46120.8159722222</v>
      </c>
      <c r="R863" s="104">
        <v>46120.8166666667</v>
      </c>
      <c r="S863" s="104">
        <v>46120.9104166667</v>
      </c>
      <c r="T863" s="104" t="s">
        <v>1043</v>
      </c>
    </row>
    <row r="864" s="102" customFormat="1" ht="15" spans="1:20">
      <c r="A864" s="104" t="s">
        <v>22</v>
      </c>
      <c r="B864" s="104" t="s">
        <v>324</v>
      </c>
      <c r="C864" s="104" t="s">
        <v>1046</v>
      </c>
      <c r="D864" s="104" t="s">
        <v>326</v>
      </c>
      <c r="E864" s="114"/>
      <c r="F864" s="114"/>
      <c r="G864" s="114"/>
      <c r="H864" s="104">
        <v>4080001</v>
      </c>
      <c r="I864" s="104">
        <v>3645</v>
      </c>
      <c r="J864" s="104">
        <v>2801</v>
      </c>
      <c r="K864" s="104">
        <v>674</v>
      </c>
      <c r="L864" s="104">
        <v>2127</v>
      </c>
      <c r="M864" s="104">
        <v>3769.753</v>
      </c>
      <c r="N864" s="104" t="s">
        <v>24</v>
      </c>
      <c r="O864" s="104" t="s">
        <v>25</v>
      </c>
      <c r="P864" s="104" t="s">
        <v>271</v>
      </c>
      <c r="Q864" s="104">
        <v>46120.8180555556</v>
      </c>
      <c r="R864" s="104">
        <v>46120.8277777778</v>
      </c>
      <c r="S864" s="104">
        <v>46120.9083333333</v>
      </c>
      <c r="T864" s="104" t="s">
        <v>290</v>
      </c>
    </row>
    <row r="865" s="102" customFormat="1" ht="15" spans="1:20">
      <c r="A865" s="104" t="s">
        <v>22</v>
      </c>
      <c r="B865" s="104" t="s">
        <v>299</v>
      </c>
      <c r="C865" s="104" t="s">
        <v>1047</v>
      </c>
      <c r="D865" s="104" t="s">
        <v>174</v>
      </c>
      <c r="E865" s="114"/>
      <c r="F865" s="114"/>
      <c r="G865" s="114"/>
      <c r="H865" s="104">
        <v>4080001</v>
      </c>
      <c r="I865" s="104">
        <v>11</v>
      </c>
      <c r="J865" s="104">
        <v>11</v>
      </c>
      <c r="K865" s="104">
        <v>0</v>
      </c>
      <c r="L865" s="104">
        <v>11</v>
      </c>
      <c r="M865" s="104">
        <v>45.72</v>
      </c>
      <c r="N865" s="104" t="s">
        <v>24</v>
      </c>
      <c r="O865" s="104" t="s">
        <v>25</v>
      </c>
      <c r="P865" s="104" t="s">
        <v>271</v>
      </c>
      <c r="Q865" s="104">
        <v>46120.8180555556</v>
      </c>
      <c r="R865" s="104">
        <v>46120.8277777778</v>
      </c>
      <c r="S865" s="104">
        <v>46120.9104166667</v>
      </c>
      <c r="T865" s="104" t="s">
        <v>285</v>
      </c>
    </row>
    <row r="866" s="102" customFormat="1" ht="15" spans="1:20">
      <c r="A866" s="104" t="s">
        <v>22</v>
      </c>
      <c r="B866" s="104" t="s">
        <v>261</v>
      </c>
      <c r="C866" s="104" t="s">
        <v>1048</v>
      </c>
      <c r="D866" s="104" t="s">
        <v>44</v>
      </c>
      <c r="E866" s="114"/>
      <c r="F866" s="114"/>
      <c r="G866" s="104">
        <v>25646625500071</v>
      </c>
      <c r="H866" s="104">
        <v>4080001</v>
      </c>
      <c r="I866" s="104">
        <v>3400</v>
      </c>
      <c r="J866" s="104">
        <v>3032</v>
      </c>
      <c r="K866" s="104">
        <v>27</v>
      </c>
      <c r="L866" s="104">
        <v>3005</v>
      </c>
      <c r="M866" s="104">
        <v>4144.268</v>
      </c>
      <c r="N866" s="104" t="s">
        <v>24</v>
      </c>
      <c r="O866" s="104" t="s">
        <v>25</v>
      </c>
      <c r="P866" s="104" t="s">
        <v>271</v>
      </c>
      <c r="Q866" s="104">
        <v>46120.8284722222</v>
      </c>
      <c r="R866" s="104">
        <v>46120.8388888889</v>
      </c>
      <c r="S866" s="104">
        <v>46120.9104166667</v>
      </c>
      <c r="T866" s="104" t="s">
        <v>171</v>
      </c>
    </row>
    <row r="867" s="102" customFormat="1" ht="15" spans="1:20">
      <c r="A867" s="104" t="s">
        <v>22</v>
      </c>
      <c r="B867" s="104" t="s">
        <v>91</v>
      </c>
      <c r="C867" s="104" t="s">
        <v>1049</v>
      </c>
      <c r="D867" s="104" t="s">
        <v>93</v>
      </c>
      <c r="E867" s="114"/>
      <c r="F867" s="114"/>
      <c r="G867" s="104">
        <v>11111111111111</v>
      </c>
      <c r="H867" s="104">
        <v>4080002</v>
      </c>
      <c r="I867" s="104">
        <v>1609</v>
      </c>
      <c r="J867" s="104">
        <v>1609</v>
      </c>
      <c r="K867" s="104">
        <v>15</v>
      </c>
      <c r="L867" s="104">
        <v>1594</v>
      </c>
      <c r="M867" s="104">
        <v>3204.302</v>
      </c>
      <c r="N867" s="104" t="s">
        <v>24</v>
      </c>
      <c r="O867" s="104" t="s">
        <v>25</v>
      </c>
      <c r="P867" s="104" t="s">
        <v>271</v>
      </c>
      <c r="Q867" s="104">
        <v>46120.8222222222</v>
      </c>
      <c r="R867" s="104">
        <v>46120.8402777778</v>
      </c>
      <c r="S867" s="104">
        <v>46120.9111111111</v>
      </c>
      <c r="T867" s="104" t="s">
        <v>721</v>
      </c>
    </row>
    <row r="868" s="102" customFormat="1" ht="15" spans="1:20">
      <c r="A868" s="104" t="s">
        <v>22</v>
      </c>
      <c r="B868" s="104" t="s">
        <v>212</v>
      </c>
      <c r="C868" s="104" t="s">
        <v>1050</v>
      </c>
      <c r="D868" s="104" t="s">
        <v>214</v>
      </c>
      <c r="E868" s="114"/>
      <c r="F868" s="114"/>
      <c r="G868" s="114"/>
      <c r="H868" s="104">
        <v>4080001</v>
      </c>
      <c r="I868" s="104">
        <v>1471</v>
      </c>
      <c r="J868" s="104">
        <v>1471</v>
      </c>
      <c r="K868" s="104">
        <v>18</v>
      </c>
      <c r="L868" s="104">
        <v>1453</v>
      </c>
      <c r="M868" s="104">
        <v>2451.03</v>
      </c>
      <c r="N868" s="104" t="s">
        <v>24</v>
      </c>
      <c r="O868" s="104" t="s">
        <v>25</v>
      </c>
      <c r="P868" s="104" t="s">
        <v>271</v>
      </c>
      <c r="Q868" s="104">
        <v>46120.8215277778</v>
      </c>
      <c r="R868" s="104">
        <v>46120.8423611111</v>
      </c>
      <c r="S868" s="104">
        <v>46120.9076388889</v>
      </c>
      <c r="T868" s="104" t="s">
        <v>741</v>
      </c>
    </row>
    <row r="869" s="102" customFormat="1" ht="15" spans="1:20">
      <c r="A869" s="104" t="s">
        <v>22</v>
      </c>
      <c r="B869" s="104" t="s">
        <v>336</v>
      </c>
      <c r="C869" s="104" t="s">
        <v>1051</v>
      </c>
      <c r="D869" s="104" t="s">
        <v>991</v>
      </c>
      <c r="E869" s="114"/>
      <c r="F869" s="114"/>
      <c r="G869" s="114"/>
      <c r="H869" s="104">
        <v>4080001</v>
      </c>
      <c r="I869" s="104">
        <v>8180</v>
      </c>
      <c r="J869" s="104">
        <v>8180</v>
      </c>
      <c r="K869" s="104">
        <v>15</v>
      </c>
      <c r="L869" s="104">
        <v>8165</v>
      </c>
      <c r="M869" s="104">
        <v>6892.526</v>
      </c>
      <c r="N869" s="104" t="s">
        <v>24</v>
      </c>
      <c r="O869" s="104" t="s">
        <v>25</v>
      </c>
      <c r="P869" s="104" t="s">
        <v>271</v>
      </c>
      <c r="Q869" s="104">
        <v>46120.8375</v>
      </c>
      <c r="R869" s="104">
        <v>46120.8430555556</v>
      </c>
      <c r="S869" s="104">
        <v>46120.9104166667</v>
      </c>
      <c r="T869" s="104" t="s">
        <v>440</v>
      </c>
    </row>
    <row r="870" s="102" customFormat="1" ht="15" spans="1:20">
      <c r="A870" s="104" t="s">
        <v>22</v>
      </c>
      <c r="B870" s="104" t="s">
        <v>229</v>
      </c>
      <c r="C870" s="104" t="s">
        <v>1052</v>
      </c>
      <c r="D870" s="104" t="s">
        <v>627</v>
      </c>
      <c r="E870" s="114"/>
      <c r="F870" s="104" t="s">
        <v>79</v>
      </c>
      <c r="G870" s="114"/>
      <c r="H870" s="104">
        <v>4080001</v>
      </c>
      <c r="I870" s="104">
        <v>6426</v>
      </c>
      <c r="J870" s="104">
        <v>6395</v>
      </c>
      <c r="K870" s="104">
        <v>4430</v>
      </c>
      <c r="L870" s="104">
        <v>1965</v>
      </c>
      <c r="M870" s="104">
        <v>8598.798</v>
      </c>
      <c r="N870" s="104" t="s">
        <v>24</v>
      </c>
      <c r="O870" s="104" t="s">
        <v>25</v>
      </c>
      <c r="P870" s="104" t="s">
        <v>271</v>
      </c>
      <c r="Q870" s="104">
        <v>46120.8534722222</v>
      </c>
      <c r="R870" s="104">
        <v>46120.8631944444</v>
      </c>
      <c r="S870" s="104">
        <v>46120.9076388889</v>
      </c>
      <c r="T870" s="104" t="s">
        <v>785</v>
      </c>
    </row>
    <row r="871" s="102" customFormat="1" ht="15" spans="1:20">
      <c r="A871" s="104" t="s">
        <v>22</v>
      </c>
      <c r="B871" s="104" t="s">
        <v>223</v>
      </c>
      <c r="C871" s="104" t="s">
        <v>1053</v>
      </c>
      <c r="D871" s="104" t="s">
        <v>329</v>
      </c>
      <c r="E871" s="114"/>
      <c r="F871" s="114"/>
      <c r="G871" s="104" t="s">
        <v>1054</v>
      </c>
      <c r="H871" s="104">
        <v>4080001</v>
      </c>
      <c r="I871" s="104">
        <v>728</v>
      </c>
      <c r="J871" s="104">
        <v>728</v>
      </c>
      <c r="K871" s="104">
        <v>151</v>
      </c>
      <c r="L871" s="104">
        <v>577</v>
      </c>
      <c r="M871" s="104">
        <v>852.961</v>
      </c>
      <c r="N871" s="104" t="s">
        <v>24</v>
      </c>
      <c r="O871" s="104" t="s">
        <v>25</v>
      </c>
      <c r="P871" s="104" t="s">
        <v>271</v>
      </c>
      <c r="Q871" s="104">
        <v>46120.8888888889</v>
      </c>
      <c r="R871" s="104">
        <v>46120.8888888889</v>
      </c>
      <c r="S871" s="104">
        <v>46120.9076388889</v>
      </c>
      <c r="T871" s="104" t="s">
        <v>571</v>
      </c>
    </row>
    <row r="872" s="102" customFormat="1" ht="15" spans="1:20">
      <c r="A872" s="104" t="s">
        <v>22</v>
      </c>
      <c r="B872" s="104" t="s">
        <v>127</v>
      </c>
      <c r="C872" s="114"/>
      <c r="D872" s="104" t="s">
        <v>29</v>
      </c>
      <c r="E872" s="114"/>
      <c r="F872" s="114"/>
      <c r="G872" s="114"/>
      <c r="H872" s="104">
        <v>4081872</v>
      </c>
      <c r="I872" s="104">
        <v>2</v>
      </c>
      <c r="J872" s="104">
        <v>6</v>
      </c>
      <c r="K872" s="104">
        <v>0</v>
      </c>
      <c r="L872" s="104">
        <v>6</v>
      </c>
      <c r="M872" s="104">
        <v>0.038</v>
      </c>
      <c r="N872" s="104" t="s">
        <v>24</v>
      </c>
      <c r="O872" s="104" t="s">
        <v>25</v>
      </c>
      <c r="P872" s="104" t="s">
        <v>271</v>
      </c>
      <c r="Q872" s="104">
        <v>46120.8888888889</v>
      </c>
      <c r="R872" s="104">
        <v>46120.8888888889</v>
      </c>
      <c r="S872" s="104">
        <v>46120.9111111111</v>
      </c>
      <c r="T872" s="104" t="s">
        <v>474</v>
      </c>
    </row>
    <row r="873" s="102" customFormat="1" ht="15" spans="1:20">
      <c r="A873" s="104" t="s">
        <v>22</v>
      </c>
      <c r="B873" s="104" t="s">
        <v>342</v>
      </c>
      <c r="C873" s="104" t="s">
        <v>1055</v>
      </c>
      <c r="D873" s="104" t="s">
        <v>512</v>
      </c>
      <c r="E873" s="104" t="s">
        <v>513</v>
      </c>
      <c r="F873" s="104" t="s">
        <v>514</v>
      </c>
      <c r="G873" s="114"/>
      <c r="H873" s="104">
        <v>4080001</v>
      </c>
      <c r="I873" s="104">
        <v>16854</v>
      </c>
      <c r="J873" s="104">
        <v>3355</v>
      </c>
      <c r="K873" s="104">
        <v>5</v>
      </c>
      <c r="L873" s="104">
        <v>3350</v>
      </c>
      <c r="M873" s="104">
        <v>11821.406</v>
      </c>
      <c r="N873" s="104" t="s">
        <v>24</v>
      </c>
      <c r="O873" s="104" t="s">
        <v>70</v>
      </c>
      <c r="P873" s="104" t="s">
        <v>271</v>
      </c>
      <c r="Q873" s="104">
        <v>46120.7798611111</v>
      </c>
      <c r="R873" s="104">
        <v>46120.9354166667</v>
      </c>
      <c r="S873" s="104">
        <v>46121.0152777778</v>
      </c>
      <c r="T873" s="104" t="s">
        <v>1056</v>
      </c>
    </row>
    <row r="874" s="102" customFormat="1" ht="15" spans="1:20">
      <c r="A874" s="104" t="s">
        <v>22</v>
      </c>
      <c r="B874" s="104" t="s">
        <v>236</v>
      </c>
      <c r="C874" s="114"/>
      <c r="D874" s="114"/>
      <c r="E874" s="114"/>
      <c r="F874" s="114"/>
      <c r="G874" s="114"/>
      <c r="H874" s="104">
        <v>4094823</v>
      </c>
      <c r="I874" s="104">
        <v>1198</v>
      </c>
      <c r="J874" s="104">
        <v>1198</v>
      </c>
      <c r="K874" s="104">
        <v>0</v>
      </c>
      <c r="L874" s="104">
        <v>1198</v>
      </c>
      <c r="M874" s="104">
        <v>4109.782</v>
      </c>
      <c r="N874" s="104" t="s">
        <v>24</v>
      </c>
      <c r="O874" s="104" t="s">
        <v>25</v>
      </c>
      <c r="P874" s="104" t="s">
        <v>106</v>
      </c>
      <c r="Q874" s="104">
        <v>46121.7534722222</v>
      </c>
      <c r="R874" s="104">
        <v>46121.7534722222</v>
      </c>
      <c r="S874" s="104">
        <v>46121.7763888889</v>
      </c>
      <c r="T874" s="104" t="s">
        <v>425</v>
      </c>
    </row>
    <row r="875" s="102" customFormat="1" ht="15" spans="1:20">
      <c r="A875" s="104" t="s">
        <v>22</v>
      </c>
      <c r="B875" s="104" t="s">
        <v>90</v>
      </c>
      <c r="C875" s="114"/>
      <c r="D875" s="114"/>
      <c r="E875" s="114"/>
      <c r="F875" s="114"/>
      <c r="G875" s="114"/>
      <c r="H875" s="104">
        <v>40901</v>
      </c>
      <c r="I875" s="104">
        <v>1</v>
      </c>
      <c r="J875" s="104">
        <v>1</v>
      </c>
      <c r="K875" s="104">
        <v>0</v>
      </c>
      <c r="L875" s="104">
        <v>1</v>
      </c>
      <c r="M875" s="104">
        <v>0.199</v>
      </c>
      <c r="N875" s="104" t="s">
        <v>24</v>
      </c>
      <c r="O875" s="104" t="s">
        <v>25</v>
      </c>
      <c r="P875" s="104" t="s">
        <v>106</v>
      </c>
      <c r="Q875" s="104">
        <v>46121.7534722222</v>
      </c>
      <c r="R875" s="104">
        <v>46121.7534722222</v>
      </c>
      <c r="S875" s="104">
        <v>46121.7763888889</v>
      </c>
      <c r="T875" s="104" t="s">
        <v>425</v>
      </c>
    </row>
    <row r="876" s="102" customFormat="1" ht="15" spans="1:20">
      <c r="A876" s="104" t="s">
        <v>22</v>
      </c>
      <c r="B876" s="104" t="s">
        <v>31</v>
      </c>
      <c r="C876" s="114"/>
      <c r="D876" s="114"/>
      <c r="E876" s="114"/>
      <c r="F876" s="114"/>
      <c r="G876" s="114"/>
      <c r="H876" s="104">
        <v>40901</v>
      </c>
      <c r="I876" s="104">
        <v>1</v>
      </c>
      <c r="J876" s="104">
        <v>1</v>
      </c>
      <c r="K876" s="104">
        <v>0</v>
      </c>
      <c r="L876" s="104">
        <v>1</v>
      </c>
      <c r="M876" s="104">
        <v>0.04</v>
      </c>
      <c r="N876" s="104" t="s">
        <v>24</v>
      </c>
      <c r="O876" s="104" t="s">
        <v>25</v>
      </c>
      <c r="P876" s="104" t="s">
        <v>106</v>
      </c>
      <c r="Q876" s="104">
        <v>46121.4847222222</v>
      </c>
      <c r="R876" s="104">
        <v>46121.7534722222</v>
      </c>
      <c r="S876" s="104">
        <v>46121.7770833333</v>
      </c>
      <c r="T876" s="104" t="s">
        <v>425</v>
      </c>
    </row>
    <row r="877" s="102" customFormat="1" ht="15" spans="1:20">
      <c r="A877" s="104" t="s">
        <v>22</v>
      </c>
      <c r="B877" s="104" t="s">
        <v>83</v>
      </c>
      <c r="C877" s="114"/>
      <c r="D877" s="114"/>
      <c r="E877" s="114"/>
      <c r="F877" s="114"/>
      <c r="G877" s="114"/>
      <c r="H877" s="104">
        <v>4093654</v>
      </c>
      <c r="I877" s="104">
        <v>50</v>
      </c>
      <c r="J877" s="104">
        <v>11</v>
      </c>
      <c r="K877" s="104">
        <v>2</v>
      </c>
      <c r="L877" s="104">
        <v>9</v>
      </c>
      <c r="M877" s="104">
        <v>15.342</v>
      </c>
      <c r="N877" s="104" t="s">
        <v>24</v>
      </c>
      <c r="O877" s="104" t="s">
        <v>25</v>
      </c>
      <c r="P877" s="104" t="s">
        <v>106</v>
      </c>
      <c r="Q877" s="104">
        <v>46121.7541666667</v>
      </c>
      <c r="R877" s="104">
        <v>46121.7541666667</v>
      </c>
      <c r="S877" s="104">
        <v>46121.7770833333</v>
      </c>
      <c r="T877" s="104" t="s">
        <v>425</v>
      </c>
    </row>
    <row r="878" s="102" customFormat="1" ht="15" spans="1:20">
      <c r="A878" s="104" t="s">
        <v>22</v>
      </c>
      <c r="B878" s="104" t="s">
        <v>83</v>
      </c>
      <c r="C878" s="114"/>
      <c r="D878" s="114"/>
      <c r="E878" s="114"/>
      <c r="F878" s="114"/>
      <c r="G878" s="114"/>
      <c r="H878" s="104">
        <v>4093739</v>
      </c>
      <c r="I878" s="104">
        <v>2</v>
      </c>
      <c r="J878" s="104">
        <v>1</v>
      </c>
      <c r="K878" s="104">
        <v>1</v>
      </c>
      <c r="L878" s="104">
        <v>0</v>
      </c>
      <c r="M878" s="104">
        <v>1.16</v>
      </c>
      <c r="N878" s="104" t="s">
        <v>24</v>
      </c>
      <c r="O878" s="104" t="s">
        <v>25</v>
      </c>
      <c r="P878" s="104" t="s">
        <v>106</v>
      </c>
      <c r="Q878" s="104">
        <v>46121.7541666667</v>
      </c>
      <c r="R878" s="104">
        <v>46121.7541666667</v>
      </c>
      <c r="S878" s="104">
        <v>46121.7770833333</v>
      </c>
      <c r="T878" s="104" t="s">
        <v>425</v>
      </c>
    </row>
    <row r="879" s="102" customFormat="1" ht="15" spans="1:20">
      <c r="A879" s="104" t="s">
        <v>22</v>
      </c>
      <c r="B879" s="104" t="s">
        <v>83</v>
      </c>
      <c r="C879" s="114"/>
      <c r="D879" s="114"/>
      <c r="E879" s="114"/>
      <c r="F879" s="114"/>
      <c r="G879" s="114"/>
      <c r="H879" s="104">
        <v>40901</v>
      </c>
      <c r="I879" s="104">
        <v>135</v>
      </c>
      <c r="J879" s="104">
        <v>23</v>
      </c>
      <c r="K879" s="104">
        <v>1</v>
      </c>
      <c r="L879" s="104">
        <v>22</v>
      </c>
      <c r="M879" s="104">
        <v>42.141</v>
      </c>
      <c r="N879" s="104" t="s">
        <v>24</v>
      </c>
      <c r="O879" s="104" t="s">
        <v>25</v>
      </c>
      <c r="P879" s="104" t="s">
        <v>106</v>
      </c>
      <c r="Q879" s="104">
        <v>46121.7541666667</v>
      </c>
      <c r="R879" s="104">
        <v>46121.7541666667</v>
      </c>
      <c r="S879" s="104">
        <v>46121.7770833333</v>
      </c>
      <c r="T879" s="104" t="s">
        <v>425</v>
      </c>
    </row>
    <row r="880" s="102" customFormat="1" ht="15" spans="1:20">
      <c r="A880" s="104" t="s">
        <v>22</v>
      </c>
      <c r="B880" s="104" t="s">
        <v>86</v>
      </c>
      <c r="C880" s="114"/>
      <c r="D880" s="114"/>
      <c r="E880" s="114"/>
      <c r="F880" s="114"/>
      <c r="G880" s="114"/>
      <c r="H880" s="104">
        <v>40901</v>
      </c>
      <c r="I880" s="104">
        <v>56</v>
      </c>
      <c r="J880" s="104">
        <v>22</v>
      </c>
      <c r="K880" s="104">
        <v>0</v>
      </c>
      <c r="L880" s="104">
        <v>22</v>
      </c>
      <c r="M880" s="104">
        <v>61.034</v>
      </c>
      <c r="N880" s="104" t="s">
        <v>24</v>
      </c>
      <c r="O880" s="104" t="s">
        <v>25</v>
      </c>
      <c r="P880" s="104" t="s">
        <v>106</v>
      </c>
      <c r="Q880" s="104">
        <v>46121.7541666667</v>
      </c>
      <c r="R880" s="104">
        <v>46121.7541666667</v>
      </c>
      <c r="S880" s="104">
        <v>46121.7770833333</v>
      </c>
      <c r="T880" s="104" t="s">
        <v>200</v>
      </c>
    </row>
    <row r="881" s="102" customFormat="1" ht="15" spans="1:20">
      <c r="A881" s="104" t="s">
        <v>22</v>
      </c>
      <c r="B881" s="104" t="s">
        <v>33</v>
      </c>
      <c r="C881" s="114"/>
      <c r="D881" s="114"/>
      <c r="E881" s="114"/>
      <c r="F881" s="114"/>
      <c r="G881" s="114"/>
      <c r="H881" s="104">
        <v>4093285</v>
      </c>
      <c r="I881" s="104">
        <v>24</v>
      </c>
      <c r="J881" s="104">
        <v>3</v>
      </c>
      <c r="K881" s="104">
        <v>0</v>
      </c>
      <c r="L881" s="104">
        <v>3</v>
      </c>
      <c r="M881" s="104">
        <v>10.501</v>
      </c>
      <c r="N881" s="104" t="s">
        <v>24</v>
      </c>
      <c r="O881" s="104" t="s">
        <v>25</v>
      </c>
      <c r="P881" s="104" t="s">
        <v>106</v>
      </c>
      <c r="Q881" s="104">
        <v>46121.7541666667</v>
      </c>
      <c r="R881" s="104">
        <v>46121.7541666667</v>
      </c>
      <c r="S881" s="104">
        <v>46121.7770833333</v>
      </c>
      <c r="T881" s="104" t="s">
        <v>200</v>
      </c>
    </row>
    <row r="882" s="102" customFormat="1" ht="15" spans="1:20">
      <c r="A882" s="104" t="s">
        <v>22</v>
      </c>
      <c r="B882" s="104" t="s">
        <v>33</v>
      </c>
      <c r="C882" s="114"/>
      <c r="D882" s="114"/>
      <c r="E882" s="114"/>
      <c r="F882" s="114"/>
      <c r="G882" s="114"/>
      <c r="H882" s="104">
        <v>40901</v>
      </c>
      <c r="I882" s="104">
        <v>2</v>
      </c>
      <c r="J882" s="104">
        <v>2</v>
      </c>
      <c r="K882" s="104">
        <v>1</v>
      </c>
      <c r="L882" s="104">
        <v>1</v>
      </c>
      <c r="M882" s="104">
        <v>5.496</v>
      </c>
      <c r="N882" s="104" t="s">
        <v>24</v>
      </c>
      <c r="O882" s="104" t="s">
        <v>25</v>
      </c>
      <c r="P882" s="104" t="s">
        <v>106</v>
      </c>
      <c r="Q882" s="104">
        <v>46121.4854166667</v>
      </c>
      <c r="R882" s="104">
        <v>46121.7541666667</v>
      </c>
      <c r="S882" s="104">
        <v>46121.7770833333</v>
      </c>
      <c r="T882" s="104" t="s">
        <v>200</v>
      </c>
    </row>
    <row r="883" s="102" customFormat="1" ht="15" spans="1:20">
      <c r="A883" s="104" t="s">
        <v>22</v>
      </c>
      <c r="B883" s="104" t="s">
        <v>87</v>
      </c>
      <c r="C883" s="114"/>
      <c r="D883" s="114"/>
      <c r="E883" s="114"/>
      <c r="F883" s="114"/>
      <c r="G883" s="114"/>
      <c r="H883" s="104">
        <v>40901</v>
      </c>
      <c r="I883" s="104">
        <v>152</v>
      </c>
      <c r="J883" s="104">
        <v>29</v>
      </c>
      <c r="K883" s="104">
        <v>1</v>
      </c>
      <c r="L883" s="104">
        <v>28</v>
      </c>
      <c r="M883" s="104">
        <v>50.164</v>
      </c>
      <c r="N883" s="104" t="s">
        <v>24</v>
      </c>
      <c r="O883" s="104" t="s">
        <v>25</v>
      </c>
      <c r="P883" s="104" t="s">
        <v>106</v>
      </c>
      <c r="Q883" s="104">
        <v>46121.7548611111</v>
      </c>
      <c r="R883" s="104">
        <v>46121.7548611111</v>
      </c>
      <c r="S883" s="104">
        <v>46121.7770833333</v>
      </c>
      <c r="T883" s="104" t="s">
        <v>200</v>
      </c>
    </row>
    <row r="884" s="102" customFormat="1" ht="15" spans="1:20">
      <c r="A884" s="104" t="s">
        <v>22</v>
      </c>
      <c r="B884" s="104" t="s">
        <v>89</v>
      </c>
      <c r="C884" s="114"/>
      <c r="D884" s="114"/>
      <c r="E884" s="114"/>
      <c r="F884" s="114"/>
      <c r="G884" s="114"/>
      <c r="H884" s="104">
        <v>40901</v>
      </c>
      <c r="I884" s="104">
        <v>216</v>
      </c>
      <c r="J884" s="104">
        <v>26</v>
      </c>
      <c r="K884" s="104">
        <v>0</v>
      </c>
      <c r="L884" s="104">
        <v>26</v>
      </c>
      <c r="M884" s="104">
        <v>92.088</v>
      </c>
      <c r="N884" s="104" t="s">
        <v>24</v>
      </c>
      <c r="O884" s="104" t="s">
        <v>25</v>
      </c>
      <c r="P884" s="104" t="s">
        <v>106</v>
      </c>
      <c r="Q884" s="104">
        <v>46121.7548611111</v>
      </c>
      <c r="R884" s="104">
        <v>46121.7548611111</v>
      </c>
      <c r="S884" s="104">
        <v>46121.7770833333</v>
      </c>
      <c r="T884" s="104" t="s">
        <v>200</v>
      </c>
    </row>
    <row r="885" s="102" customFormat="1" ht="15" spans="1:20">
      <c r="A885" s="104" t="s">
        <v>22</v>
      </c>
      <c r="B885" s="104" t="s">
        <v>81</v>
      </c>
      <c r="C885" s="114"/>
      <c r="D885" s="114"/>
      <c r="E885" s="114"/>
      <c r="F885" s="114"/>
      <c r="G885" s="114"/>
      <c r="H885" s="104">
        <v>40901</v>
      </c>
      <c r="I885" s="104">
        <v>91</v>
      </c>
      <c r="J885" s="104">
        <v>17</v>
      </c>
      <c r="K885" s="104">
        <v>0</v>
      </c>
      <c r="L885" s="104">
        <v>17</v>
      </c>
      <c r="M885" s="104">
        <v>9.084</v>
      </c>
      <c r="N885" s="104" t="s">
        <v>24</v>
      </c>
      <c r="O885" s="104" t="s">
        <v>25</v>
      </c>
      <c r="P885" s="104" t="s">
        <v>106</v>
      </c>
      <c r="Q885" s="104">
        <v>46121.7548611111</v>
      </c>
      <c r="R885" s="104">
        <v>46121.7548611111</v>
      </c>
      <c r="S885" s="104">
        <v>46121.7777777778</v>
      </c>
      <c r="T885" s="104" t="s">
        <v>200</v>
      </c>
    </row>
    <row r="886" s="102" customFormat="1" ht="15" spans="1:20">
      <c r="A886" s="104" t="s">
        <v>22</v>
      </c>
      <c r="B886" s="104" t="s">
        <v>81</v>
      </c>
      <c r="C886" s="114"/>
      <c r="D886" s="114"/>
      <c r="E886" s="114"/>
      <c r="F886" s="114"/>
      <c r="G886" s="114"/>
      <c r="H886" s="104">
        <v>4093700</v>
      </c>
      <c r="I886" s="104">
        <v>10</v>
      </c>
      <c r="J886" s="104">
        <v>10</v>
      </c>
      <c r="K886" s="104">
        <v>1</v>
      </c>
      <c r="L886" s="104">
        <v>9</v>
      </c>
      <c r="M886" s="104">
        <v>5.598</v>
      </c>
      <c r="N886" s="104" t="s">
        <v>24</v>
      </c>
      <c r="O886" s="104" t="s">
        <v>25</v>
      </c>
      <c r="P886" s="104" t="s">
        <v>106</v>
      </c>
      <c r="Q886" s="104">
        <v>46121.7548611111</v>
      </c>
      <c r="R886" s="104">
        <v>46121.7548611111</v>
      </c>
      <c r="S886" s="104">
        <v>46121.7777777778</v>
      </c>
      <c r="T886" s="104" t="s">
        <v>200</v>
      </c>
    </row>
    <row r="887" s="102" customFormat="1" ht="15" spans="1:20">
      <c r="A887" s="104" t="s">
        <v>22</v>
      </c>
      <c r="B887" s="104" t="s">
        <v>81</v>
      </c>
      <c r="C887" s="104" t="s">
        <v>1057</v>
      </c>
      <c r="D887" s="104" t="s">
        <v>38</v>
      </c>
      <c r="E887" s="114"/>
      <c r="F887" s="114"/>
      <c r="G887" s="114"/>
      <c r="H887" s="104">
        <v>4090001</v>
      </c>
      <c r="I887" s="104">
        <v>485</v>
      </c>
      <c r="J887" s="104">
        <v>485</v>
      </c>
      <c r="K887" s="104">
        <v>1</v>
      </c>
      <c r="L887" s="104">
        <v>484</v>
      </c>
      <c r="M887" s="104">
        <v>343.769</v>
      </c>
      <c r="N887" s="104" t="s">
        <v>24</v>
      </c>
      <c r="O887" s="104" t="s">
        <v>25</v>
      </c>
      <c r="P887" s="104" t="s">
        <v>106</v>
      </c>
      <c r="Q887" s="104">
        <v>46121.7548611111</v>
      </c>
      <c r="R887" s="104">
        <v>46121.7548611111</v>
      </c>
      <c r="S887" s="104">
        <v>46121.7777777778</v>
      </c>
      <c r="T887" s="104" t="s">
        <v>200</v>
      </c>
    </row>
    <row r="888" s="102" customFormat="1" ht="15" spans="1:20">
      <c r="A888" s="104" t="s">
        <v>22</v>
      </c>
      <c r="B888" s="104" t="s">
        <v>81</v>
      </c>
      <c r="C888" s="114"/>
      <c r="D888" s="114"/>
      <c r="E888" s="114"/>
      <c r="F888" s="114"/>
      <c r="G888" s="114"/>
      <c r="H888" s="104">
        <v>4093802</v>
      </c>
      <c r="I888" s="104">
        <v>90</v>
      </c>
      <c r="J888" s="104">
        <v>8</v>
      </c>
      <c r="K888" s="104">
        <v>2</v>
      </c>
      <c r="L888" s="104">
        <v>6</v>
      </c>
      <c r="M888" s="104">
        <v>28.068</v>
      </c>
      <c r="N888" s="104" t="s">
        <v>24</v>
      </c>
      <c r="O888" s="104" t="s">
        <v>25</v>
      </c>
      <c r="P888" s="104" t="s">
        <v>106</v>
      </c>
      <c r="Q888" s="104">
        <v>46121.7548611111</v>
      </c>
      <c r="R888" s="104">
        <v>46121.7548611111</v>
      </c>
      <c r="S888" s="104">
        <v>46121.7777777778</v>
      </c>
      <c r="T888" s="104" t="s">
        <v>200</v>
      </c>
    </row>
    <row r="889" s="102" customFormat="1" ht="15" spans="1:20">
      <c r="A889" s="104" t="s">
        <v>22</v>
      </c>
      <c r="B889" s="104" t="s">
        <v>81</v>
      </c>
      <c r="C889" s="114"/>
      <c r="D889" s="114"/>
      <c r="E889" s="114"/>
      <c r="F889" s="114"/>
      <c r="G889" s="114"/>
      <c r="H889" s="104">
        <v>4093815</v>
      </c>
      <c r="I889" s="104">
        <v>14</v>
      </c>
      <c r="J889" s="104">
        <v>2</v>
      </c>
      <c r="K889" s="104">
        <v>0</v>
      </c>
      <c r="L889" s="104">
        <v>2</v>
      </c>
      <c r="M889" s="104">
        <v>6.271</v>
      </c>
      <c r="N889" s="104" t="s">
        <v>24</v>
      </c>
      <c r="O889" s="104" t="s">
        <v>25</v>
      </c>
      <c r="P889" s="104" t="s">
        <v>106</v>
      </c>
      <c r="Q889" s="104">
        <v>46121.7548611111</v>
      </c>
      <c r="R889" s="104">
        <v>46121.7548611111</v>
      </c>
      <c r="S889" s="104">
        <v>46121.7777777778</v>
      </c>
      <c r="T889" s="104" t="s">
        <v>200</v>
      </c>
    </row>
    <row r="890" s="102" customFormat="1" ht="15" spans="1:20">
      <c r="A890" s="104" t="s">
        <v>22</v>
      </c>
      <c r="B890" s="104" t="s">
        <v>81</v>
      </c>
      <c r="C890" s="114"/>
      <c r="D890" s="114"/>
      <c r="E890" s="114"/>
      <c r="F890" s="114"/>
      <c r="G890" s="114"/>
      <c r="H890" s="104">
        <v>4093652</v>
      </c>
      <c r="I890" s="104">
        <v>26</v>
      </c>
      <c r="J890" s="104">
        <v>15</v>
      </c>
      <c r="K890" s="104">
        <v>0</v>
      </c>
      <c r="L890" s="104">
        <v>15</v>
      </c>
      <c r="M890" s="104">
        <v>12.8</v>
      </c>
      <c r="N890" s="104" t="s">
        <v>24</v>
      </c>
      <c r="O890" s="104" t="s">
        <v>25</v>
      </c>
      <c r="P890" s="104" t="s">
        <v>106</v>
      </c>
      <c r="Q890" s="104">
        <v>46121.7548611111</v>
      </c>
      <c r="R890" s="104">
        <v>46121.7548611111</v>
      </c>
      <c r="S890" s="104">
        <v>46121.7777777778</v>
      </c>
      <c r="T890" s="104" t="s">
        <v>200</v>
      </c>
    </row>
    <row r="891" s="102" customFormat="1" ht="15" spans="1:20">
      <c r="A891" s="104" t="s">
        <v>22</v>
      </c>
      <c r="B891" s="104" t="s">
        <v>81</v>
      </c>
      <c r="C891" s="114"/>
      <c r="D891" s="114"/>
      <c r="E891" s="114"/>
      <c r="F891" s="114"/>
      <c r="G891" s="114"/>
      <c r="H891" s="104">
        <v>4093567</v>
      </c>
      <c r="I891" s="104">
        <v>14</v>
      </c>
      <c r="J891" s="104">
        <v>13</v>
      </c>
      <c r="K891" s="104">
        <v>1</v>
      </c>
      <c r="L891" s="104">
        <v>12</v>
      </c>
      <c r="M891" s="104">
        <v>13.6</v>
      </c>
      <c r="N891" s="104" t="s">
        <v>24</v>
      </c>
      <c r="O891" s="104" t="s">
        <v>25</v>
      </c>
      <c r="P891" s="104" t="s">
        <v>106</v>
      </c>
      <c r="Q891" s="104">
        <v>46121.7548611111</v>
      </c>
      <c r="R891" s="104">
        <v>46121.7548611111</v>
      </c>
      <c r="S891" s="104">
        <v>46121.7777777778</v>
      </c>
      <c r="T891" s="104" t="s">
        <v>200</v>
      </c>
    </row>
    <row r="892" s="102" customFormat="1" ht="15" spans="1:20">
      <c r="A892" s="104" t="s">
        <v>22</v>
      </c>
      <c r="B892" s="104" t="s">
        <v>236</v>
      </c>
      <c r="C892" s="114"/>
      <c r="D892" s="114"/>
      <c r="E892" s="114"/>
      <c r="F892" s="114"/>
      <c r="G892" s="114"/>
      <c r="H892" s="104">
        <v>4094824</v>
      </c>
      <c r="I892" s="104">
        <v>2530</v>
      </c>
      <c r="J892" s="104">
        <v>2530</v>
      </c>
      <c r="K892" s="104">
        <v>17</v>
      </c>
      <c r="L892" s="104">
        <v>2513</v>
      </c>
      <c r="M892" s="104">
        <v>2324.062</v>
      </c>
      <c r="N892" s="104" t="s">
        <v>24</v>
      </c>
      <c r="O892" s="104" t="s">
        <v>25</v>
      </c>
      <c r="P892" s="104" t="s">
        <v>106</v>
      </c>
      <c r="Q892" s="104">
        <v>46121.7638888889</v>
      </c>
      <c r="R892" s="104">
        <v>46121.7638888889</v>
      </c>
      <c r="S892" s="104">
        <v>46121.7763888889</v>
      </c>
      <c r="T892" s="104" t="s">
        <v>369</v>
      </c>
    </row>
    <row r="893" s="102" customFormat="1" ht="15" spans="1:20">
      <c r="A893" s="104" t="s">
        <v>22</v>
      </c>
      <c r="B893" s="104" t="s">
        <v>212</v>
      </c>
      <c r="C893" s="104" t="s">
        <v>1058</v>
      </c>
      <c r="D893" s="104" t="s">
        <v>186</v>
      </c>
      <c r="E893" s="114"/>
      <c r="F893" s="114"/>
      <c r="G893" s="114"/>
      <c r="H893" s="104">
        <v>4090002</v>
      </c>
      <c r="I893" s="104">
        <v>711</v>
      </c>
      <c r="J893" s="104">
        <v>711</v>
      </c>
      <c r="K893" s="104">
        <v>2</v>
      </c>
      <c r="L893" s="104">
        <v>709</v>
      </c>
      <c r="M893" s="104">
        <v>2462.66</v>
      </c>
      <c r="N893" s="104" t="s">
        <v>24</v>
      </c>
      <c r="O893" s="104" t="s">
        <v>25</v>
      </c>
      <c r="P893" s="104" t="s">
        <v>106</v>
      </c>
      <c r="Q893" s="104">
        <v>46121.7743055556</v>
      </c>
      <c r="R893" s="104">
        <v>46121.775</v>
      </c>
      <c r="S893" s="104">
        <v>46121.8041666667</v>
      </c>
      <c r="T893" s="104" t="s">
        <v>423</v>
      </c>
    </row>
    <row r="894" s="102" customFormat="1" ht="15" spans="1:20">
      <c r="A894" s="104" t="s">
        <v>22</v>
      </c>
      <c r="B894" s="104" t="s">
        <v>254</v>
      </c>
      <c r="C894" s="104" t="s">
        <v>1059</v>
      </c>
      <c r="D894" s="104" t="s">
        <v>182</v>
      </c>
      <c r="E894" s="114"/>
      <c r="F894" s="114"/>
      <c r="G894" s="114"/>
      <c r="H894" s="104">
        <v>4090001</v>
      </c>
      <c r="I894" s="104">
        <v>2526</v>
      </c>
      <c r="J894" s="104">
        <v>2463</v>
      </c>
      <c r="K894" s="104">
        <v>291</v>
      </c>
      <c r="L894" s="104">
        <v>2172</v>
      </c>
      <c r="M894" s="104">
        <v>4129.578</v>
      </c>
      <c r="N894" s="104" t="s">
        <v>24</v>
      </c>
      <c r="O894" s="104" t="s">
        <v>25</v>
      </c>
      <c r="P894" s="104" t="s">
        <v>106</v>
      </c>
      <c r="Q894" s="104">
        <v>46121.7770833333</v>
      </c>
      <c r="R894" s="104">
        <v>46121.7784722222</v>
      </c>
      <c r="S894" s="104">
        <v>46121.8041666667</v>
      </c>
      <c r="T894" s="104" t="s">
        <v>116</v>
      </c>
    </row>
    <row r="895" s="102" customFormat="1" ht="15" spans="1:20">
      <c r="A895" s="104" t="s">
        <v>22</v>
      </c>
      <c r="B895" s="104" t="s">
        <v>244</v>
      </c>
      <c r="C895" s="104" t="s">
        <v>1060</v>
      </c>
      <c r="D895" s="104" t="s">
        <v>41</v>
      </c>
      <c r="E895" s="114"/>
      <c r="F895" s="114"/>
      <c r="G895" s="114"/>
      <c r="H895" s="104">
        <v>4090001</v>
      </c>
      <c r="I895" s="104">
        <v>267</v>
      </c>
      <c r="J895" s="104">
        <v>23</v>
      </c>
      <c r="K895" s="104">
        <v>8</v>
      </c>
      <c r="L895" s="104">
        <v>15</v>
      </c>
      <c r="M895" s="104">
        <v>168.327</v>
      </c>
      <c r="N895" s="104" t="s">
        <v>24</v>
      </c>
      <c r="O895" s="104" t="s">
        <v>25</v>
      </c>
      <c r="P895" s="104" t="s">
        <v>106</v>
      </c>
      <c r="Q895" s="104">
        <v>46121.7847222222</v>
      </c>
      <c r="R895" s="104">
        <v>46121.7895833333</v>
      </c>
      <c r="S895" s="104">
        <v>46121.8048611111</v>
      </c>
      <c r="T895" s="104" t="s">
        <v>120</v>
      </c>
    </row>
    <row r="896" s="102" customFormat="1" ht="15" spans="1:20">
      <c r="A896" s="104" t="s">
        <v>22</v>
      </c>
      <c r="B896" s="104" t="s">
        <v>305</v>
      </c>
      <c r="C896" s="104" t="s">
        <v>1061</v>
      </c>
      <c r="D896" s="104" t="s">
        <v>307</v>
      </c>
      <c r="E896" s="114"/>
      <c r="F896" s="114"/>
      <c r="G896" s="114"/>
      <c r="H896" s="104">
        <v>4090001</v>
      </c>
      <c r="I896" s="104">
        <v>900</v>
      </c>
      <c r="J896" s="104">
        <v>693</v>
      </c>
      <c r="K896" s="104">
        <v>3</v>
      </c>
      <c r="L896" s="104">
        <v>690</v>
      </c>
      <c r="M896" s="104">
        <v>637.202</v>
      </c>
      <c r="N896" s="104" t="s">
        <v>24</v>
      </c>
      <c r="O896" s="104" t="s">
        <v>25</v>
      </c>
      <c r="P896" s="104" t="s">
        <v>106</v>
      </c>
      <c r="Q896" s="104">
        <v>46121.7902777778</v>
      </c>
      <c r="R896" s="104">
        <v>46121.7909722222</v>
      </c>
      <c r="S896" s="104">
        <v>46121.8048611111</v>
      </c>
      <c r="T896" s="104" t="s">
        <v>372</v>
      </c>
    </row>
    <row r="897" s="102" customFormat="1" ht="15" spans="1:20">
      <c r="A897" s="104" t="s">
        <v>22</v>
      </c>
      <c r="B897" s="104" t="s">
        <v>236</v>
      </c>
      <c r="C897" s="114"/>
      <c r="D897" s="114"/>
      <c r="E897" s="114"/>
      <c r="F897" s="114"/>
      <c r="G897" s="114"/>
      <c r="H897" s="104">
        <v>4094825</v>
      </c>
      <c r="I897" s="104">
        <v>956</v>
      </c>
      <c r="J897" s="104">
        <v>956</v>
      </c>
      <c r="K897" s="104">
        <v>2</v>
      </c>
      <c r="L897" s="104">
        <v>954</v>
      </c>
      <c r="M897" s="104">
        <v>669.476</v>
      </c>
      <c r="N897" s="104" t="s">
        <v>24</v>
      </c>
      <c r="O897" s="104" t="s">
        <v>25</v>
      </c>
      <c r="P897" s="104" t="s">
        <v>106</v>
      </c>
      <c r="Q897" s="104">
        <v>46121.7958333333</v>
      </c>
      <c r="R897" s="104">
        <v>46121.7958333333</v>
      </c>
      <c r="S897" s="104">
        <v>46121.8236111111</v>
      </c>
      <c r="T897" s="104" t="s">
        <v>391</v>
      </c>
    </row>
    <row r="898" s="102" customFormat="1" ht="15" spans="1:20">
      <c r="A898" s="104" t="s">
        <v>22</v>
      </c>
      <c r="B898" s="104" t="s">
        <v>236</v>
      </c>
      <c r="C898" s="114"/>
      <c r="D898" s="114"/>
      <c r="E898" s="114"/>
      <c r="F898" s="114"/>
      <c r="G898" s="114"/>
      <c r="H898" s="104">
        <v>4094826</v>
      </c>
      <c r="I898" s="104">
        <v>530</v>
      </c>
      <c r="J898" s="104">
        <v>530</v>
      </c>
      <c r="K898" s="104">
        <v>2</v>
      </c>
      <c r="L898" s="104">
        <v>528</v>
      </c>
      <c r="M898" s="104">
        <v>520.314</v>
      </c>
      <c r="N898" s="104" t="s">
        <v>24</v>
      </c>
      <c r="O898" s="104" t="s">
        <v>25</v>
      </c>
      <c r="P898" s="104" t="s">
        <v>106</v>
      </c>
      <c r="Q898" s="104">
        <v>46121.7958333333</v>
      </c>
      <c r="R898" s="104">
        <v>46121.7958333333</v>
      </c>
      <c r="S898" s="104">
        <v>46121.8236111111</v>
      </c>
      <c r="T898" s="104" t="s">
        <v>391</v>
      </c>
    </row>
    <row r="899" s="102" customFormat="1" ht="15" spans="1:20">
      <c r="A899" s="104" t="s">
        <v>22</v>
      </c>
      <c r="B899" s="104" t="s">
        <v>223</v>
      </c>
      <c r="C899" s="104" t="s">
        <v>1062</v>
      </c>
      <c r="D899" s="104" t="s">
        <v>193</v>
      </c>
      <c r="E899" s="114"/>
      <c r="F899" s="114"/>
      <c r="G899" s="104" t="s">
        <v>1063</v>
      </c>
      <c r="H899" s="104">
        <v>4090002</v>
      </c>
      <c r="I899" s="104">
        <v>1279</v>
      </c>
      <c r="J899" s="104">
        <v>1279</v>
      </c>
      <c r="K899" s="104">
        <v>1</v>
      </c>
      <c r="L899" s="104">
        <v>1278</v>
      </c>
      <c r="M899" s="104">
        <v>1806.98</v>
      </c>
      <c r="N899" s="104" t="s">
        <v>24</v>
      </c>
      <c r="O899" s="104" t="s">
        <v>25</v>
      </c>
      <c r="P899" s="104" t="s">
        <v>106</v>
      </c>
      <c r="Q899" s="104">
        <v>46121.7958333333</v>
      </c>
      <c r="R899" s="104">
        <v>46121.7958333333</v>
      </c>
      <c r="S899" s="104">
        <v>46121.8236111111</v>
      </c>
      <c r="T899" s="104" t="s">
        <v>391</v>
      </c>
    </row>
    <row r="900" s="102" customFormat="1" ht="15" spans="1:20">
      <c r="A900" s="104" t="s">
        <v>22</v>
      </c>
      <c r="B900" s="104" t="s">
        <v>314</v>
      </c>
      <c r="C900" s="104" t="s">
        <v>1064</v>
      </c>
      <c r="D900" s="104" t="s">
        <v>293</v>
      </c>
      <c r="E900" s="114"/>
      <c r="F900" s="114"/>
      <c r="G900" s="114"/>
      <c r="H900" s="104">
        <v>4090001</v>
      </c>
      <c r="I900" s="104">
        <v>53</v>
      </c>
      <c r="J900" s="104">
        <v>16</v>
      </c>
      <c r="K900" s="104">
        <v>8</v>
      </c>
      <c r="L900" s="104">
        <v>8</v>
      </c>
      <c r="M900" s="104">
        <v>21.008</v>
      </c>
      <c r="N900" s="104" t="s">
        <v>24</v>
      </c>
      <c r="O900" s="104" t="s">
        <v>25</v>
      </c>
      <c r="P900" s="104" t="s">
        <v>106</v>
      </c>
      <c r="Q900" s="104">
        <v>46121.7972222222</v>
      </c>
      <c r="R900" s="104">
        <v>46121.7972222222</v>
      </c>
      <c r="S900" s="104">
        <v>46121.8263888889</v>
      </c>
      <c r="T900" s="104" t="s">
        <v>815</v>
      </c>
    </row>
    <row r="901" s="102" customFormat="1" ht="15" spans="1:20">
      <c r="A901" s="104" t="s">
        <v>22</v>
      </c>
      <c r="B901" s="104" t="s">
        <v>249</v>
      </c>
      <c r="C901" s="104" t="s">
        <v>1065</v>
      </c>
      <c r="D901" s="104" t="s">
        <v>326</v>
      </c>
      <c r="E901" s="114"/>
      <c r="F901" s="114"/>
      <c r="G901" s="114"/>
      <c r="H901" s="104">
        <v>4090001</v>
      </c>
      <c r="I901" s="104">
        <v>66</v>
      </c>
      <c r="J901" s="104">
        <v>66</v>
      </c>
      <c r="K901" s="104">
        <v>0</v>
      </c>
      <c r="L901" s="104">
        <v>66</v>
      </c>
      <c r="M901" s="104">
        <v>84.5</v>
      </c>
      <c r="N901" s="104" t="s">
        <v>24</v>
      </c>
      <c r="O901" s="104" t="s">
        <v>25</v>
      </c>
      <c r="P901" s="104" t="s">
        <v>106</v>
      </c>
      <c r="Q901" s="104">
        <v>46121.8013888889</v>
      </c>
      <c r="R901" s="104">
        <v>46121.8020833333</v>
      </c>
      <c r="S901" s="104">
        <v>46121.8270833333</v>
      </c>
      <c r="T901" s="104" t="s">
        <v>116</v>
      </c>
    </row>
    <row r="902" s="102" customFormat="1" ht="15" spans="1:20">
      <c r="A902" s="104" t="s">
        <v>22</v>
      </c>
      <c r="B902" s="104" t="s">
        <v>263</v>
      </c>
      <c r="C902" s="104" t="s">
        <v>1066</v>
      </c>
      <c r="D902" s="104" t="s">
        <v>265</v>
      </c>
      <c r="E902" s="114"/>
      <c r="F902" s="114"/>
      <c r="G902" s="114"/>
      <c r="H902" s="104">
        <v>4090001</v>
      </c>
      <c r="I902" s="104">
        <v>2523</v>
      </c>
      <c r="J902" s="104">
        <v>1542</v>
      </c>
      <c r="K902" s="104">
        <v>244</v>
      </c>
      <c r="L902" s="104">
        <v>1298</v>
      </c>
      <c r="M902" s="104">
        <v>2329.683</v>
      </c>
      <c r="N902" s="104" t="s">
        <v>24</v>
      </c>
      <c r="O902" s="104" t="s">
        <v>25</v>
      </c>
      <c r="P902" s="104" t="s">
        <v>106</v>
      </c>
      <c r="Q902" s="104">
        <v>46121.8013888889</v>
      </c>
      <c r="R902" s="104">
        <v>46121.8020833333</v>
      </c>
      <c r="S902" s="104">
        <v>46121.8319444444</v>
      </c>
      <c r="T902" s="104" t="s">
        <v>815</v>
      </c>
    </row>
    <row r="903" s="102" customFormat="1" ht="15" spans="1:20">
      <c r="A903" s="104" t="s">
        <v>22</v>
      </c>
      <c r="B903" s="104" t="s">
        <v>229</v>
      </c>
      <c r="C903" s="104" t="s">
        <v>1067</v>
      </c>
      <c r="D903" s="104" t="s">
        <v>1068</v>
      </c>
      <c r="E903" s="114"/>
      <c r="F903" s="114"/>
      <c r="G903" s="114"/>
      <c r="H903" s="104">
        <v>4090002</v>
      </c>
      <c r="I903" s="104">
        <v>3131</v>
      </c>
      <c r="J903" s="104">
        <v>3131</v>
      </c>
      <c r="K903" s="104">
        <v>14</v>
      </c>
      <c r="L903" s="104">
        <v>3117</v>
      </c>
      <c r="M903" s="104">
        <v>4834.104</v>
      </c>
      <c r="N903" s="104" t="s">
        <v>24</v>
      </c>
      <c r="O903" s="104" t="s">
        <v>25</v>
      </c>
      <c r="P903" s="104" t="s">
        <v>106</v>
      </c>
      <c r="Q903" s="104">
        <v>46121.7951388889</v>
      </c>
      <c r="R903" s="104">
        <v>46121.8020833333</v>
      </c>
      <c r="S903" s="104">
        <v>46121.8319444444</v>
      </c>
      <c r="T903" s="104" t="s">
        <v>459</v>
      </c>
    </row>
    <row r="904" s="102" customFormat="1" ht="15" spans="1:20">
      <c r="A904" s="104" t="s">
        <v>22</v>
      </c>
      <c r="B904" s="104" t="s">
        <v>311</v>
      </c>
      <c r="C904" s="104" t="s">
        <v>1069</v>
      </c>
      <c r="D904" s="104" t="s">
        <v>51</v>
      </c>
      <c r="E904" s="114"/>
      <c r="F904" s="114"/>
      <c r="G904" s="104">
        <v>25500099202506</v>
      </c>
      <c r="H904" s="104">
        <v>4090001</v>
      </c>
      <c r="I904" s="104">
        <v>1029</v>
      </c>
      <c r="J904" s="104">
        <v>995</v>
      </c>
      <c r="K904" s="104">
        <v>4</v>
      </c>
      <c r="L904" s="104">
        <v>991</v>
      </c>
      <c r="M904" s="104">
        <v>1195.124</v>
      </c>
      <c r="N904" s="104" t="s">
        <v>24</v>
      </c>
      <c r="O904" s="104" t="s">
        <v>25</v>
      </c>
      <c r="P904" s="104" t="s">
        <v>106</v>
      </c>
      <c r="Q904" s="104">
        <v>46121.8020833333</v>
      </c>
      <c r="R904" s="104">
        <v>46121.8020833333</v>
      </c>
      <c r="S904" s="104">
        <v>46121.83125</v>
      </c>
      <c r="T904" s="104" t="s">
        <v>815</v>
      </c>
    </row>
    <row r="905" s="102" customFormat="1" ht="15" spans="1:20">
      <c r="A905" s="104" t="s">
        <v>22</v>
      </c>
      <c r="B905" s="104" t="s">
        <v>257</v>
      </c>
      <c r="C905" s="104" t="s">
        <v>1070</v>
      </c>
      <c r="D905" s="104" t="s">
        <v>259</v>
      </c>
      <c r="E905" s="114"/>
      <c r="F905" s="114"/>
      <c r="G905" s="114"/>
      <c r="H905" s="104">
        <v>4090001</v>
      </c>
      <c r="I905" s="104">
        <v>1631</v>
      </c>
      <c r="J905" s="104">
        <v>1442</v>
      </c>
      <c r="K905" s="104">
        <v>8</v>
      </c>
      <c r="L905" s="104">
        <v>1434</v>
      </c>
      <c r="M905" s="104">
        <v>2910.759</v>
      </c>
      <c r="N905" s="104" t="s">
        <v>24</v>
      </c>
      <c r="O905" s="104" t="s">
        <v>25</v>
      </c>
      <c r="P905" s="104" t="s">
        <v>106</v>
      </c>
      <c r="Q905" s="104">
        <v>46121.8027777778</v>
      </c>
      <c r="R905" s="104">
        <v>46121.8034722222</v>
      </c>
      <c r="S905" s="104">
        <v>46121.8326388889</v>
      </c>
      <c r="T905" s="104" t="s">
        <v>423</v>
      </c>
    </row>
    <row r="906" s="102" customFormat="1" ht="15" spans="1:20">
      <c r="A906" s="104" t="s">
        <v>22</v>
      </c>
      <c r="B906" s="104" t="s">
        <v>319</v>
      </c>
      <c r="C906" s="104" t="s">
        <v>1071</v>
      </c>
      <c r="D906" s="104" t="s">
        <v>718</v>
      </c>
      <c r="E906" s="114"/>
      <c r="F906" s="114"/>
      <c r="G906" s="114"/>
      <c r="H906" s="104">
        <v>4090001</v>
      </c>
      <c r="I906" s="104">
        <v>889</v>
      </c>
      <c r="J906" s="104">
        <v>392</v>
      </c>
      <c r="K906" s="104">
        <v>57</v>
      </c>
      <c r="L906" s="104">
        <v>335</v>
      </c>
      <c r="M906" s="104">
        <v>531.034</v>
      </c>
      <c r="N906" s="104" t="s">
        <v>24</v>
      </c>
      <c r="O906" s="104" t="s">
        <v>25</v>
      </c>
      <c r="P906" s="104" t="s">
        <v>106</v>
      </c>
      <c r="Q906" s="104">
        <v>46121.8034722222</v>
      </c>
      <c r="R906" s="104">
        <v>46121.8034722222</v>
      </c>
      <c r="S906" s="104">
        <v>46121.8340277778</v>
      </c>
      <c r="T906" s="104" t="s">
        <v>459</v>
      </c>
    </row>
    <row r="907" s="102" customFormat="1" ht="15" spans="1:20">
      <c r="A907" s="104" t="s">
        <v>22</v>
      </c>
      <c r="B907" s="104" t="s">
        <v>219</v>
      </c>
      <c r="C907" s="104" t="s">
        <v>1072</v>
      </c>
      <c r="D907" s="104" t="s">
        <v>252</v>
      </c>
      <c r="E907" s="114"/>
      <c r="F907" s="114"/>
      <c r="G907" s="114"/>
      <c r="H907" s="104">
        <v>4090001</v>
      </c>
      <c r="I907" s="104">
        <v>6113</v>
      </c>
      <c r="J907" s="104">
        <v>5814</v>
      </c>
      <c r="K907" s="104">
        <v>826</v>
      </c>
      <c r="L907" s="104">
        <v>4988</v>
      </c>
      <c r="M907" s="104">
        <v>6343.837</v>
      </c>
      <c r="N907" s="104" t="s">
        <v>24</v>
      </c>
      <c r="O907" s="104" t="s">
        <v>25</v>
      </c>
      <c r="P907" s="104" t="s">
        <v>106</v>
      </c>
      <c r="Q907" s="104">
        <v>46121.8048611111</v>
      </c>
      <c r="R907" s="104">
        <v>46121.8076388889</v>
      </c>
      <c r="S907" s="104">
        <v>46121.8340277778</v>
      </c>
      <c r="T907" s="104" t="s">
        <v>745</v>
      </c>
    </row>
    <row r="908" s="102" customFormat="1" ht="15" spans="1:20">
      <c r="A908" s="104" t="s">
        <v>22</v>
      </c>
      <c r="B908" s="104" t="s">
        <v>236</v>
      </c>
      <c r="C908" s="114"/>
      <c r="D908" s="114"/>
      <c r="E908" s="114"/>
      <c r="F908" s="114"/>
      <c r="G908" s="114"/>
      <c r="H908" s="104">
        <v>4094827</v>
      </c>
      <c r="I908" s="104">
        <v>458</v>
      </c>
      <c r="J908" s="104">
        <v>458</v>
      </c>
      <c r="K908" s="104">
        <v>38</v>
      </c>
      <c r="L908" s="104">
        <v>420</v>
      </c>
      <c r="M908" s="104">
        <v>485.641</v>
      </c>
      <c r="N908" s="104" t="s">
        <v>24</v>
      </c>
      <c r="O908" s="104" t="s">
        <v>25</v>
      </c>
      <c r="P908" s="104" t="s">
        <v>106</v>
      </c>
      <c r="Q908" s="104">
        <v>46121.8090277778</v>
      </c>
      <c r="R908" s="104">
        <v>46121.8090277778</v>
      </c>
      <c r="S908" s="104">
        <v>46121.8236111111</v>
      </c>
      <c r="T908" s="104" t="s">
        <v>372</v>
      </c>
    </row>
    <row r="909" s="102" customFormat="1" ht="15" spans="1:20">
      <c r="A909" s="104" t="s">
        <v>22</v>
      </c>
      <c r="B909" s="104" t="s">
        <v>324</v>
      </c>
      <c r="C909" s="104" t="s">
        <v>1073</v>
      </c>
      <c r="D909" s="104" t="s">
        <v>55</v>
      </c>
      <c r="E909" s="114"/>
      <c r="F909" s="114"/>
      <c r="G909" s="114"/>
      <c r="H909" s="104">
        <v>4090001</v>
      </c>
      <c r="I909" s="104">
        <v>3801</v>
      </c>
      <c r="J909" s="104">
        <v>2808</v>
      </c>
      <c r="K909" s="104">
        <v>105</v>
      </c>
      <c r="L909" s="104">
        <v>2703</v>
      </c>
      <c r="M909" s="104">
        <v>3359.776</v>
      </c>
      <c r="N909" s="104" t="s">
        <v>24</v>
      </c>
      <c r="O909" s="104" t="s">
        <v>25</v>
      </c>
      <c r="P909" s="104" t="s">
        <v>106</v>
      </c>
      <c r="Q909" s="104">
        <v>46121.8097222222</v>
      </c>
      <c r="R909" s="104">
        <v>46121.8097222222</v>
      </c>
      <c r="S909" s="104">
        <v>46121.8270833333</v>
      </c>
      <c r="T909" s="104" t="s">
        <v>547</v>
      </c>
    </row>
    <row r="910" s="102" customFormat="1" ht="15" spans="1:20">
      <c r="A910" s="104" t="s">
        <v>22</v>
      </c>
      <c r="B910" s="104" t="s">
        <v>302</v>
      </c>
      <c r="C910" s="104" t="s">
        <v>1074</v>
      </c>
      <c r="D910" s="104" t="s">
        <v>74</v>
      </c>
      <c r="E910" s="114"/>
      <c r="F910" s="114"/>
      <c r="G910" s="114"/>
      <c r="H910" s="104">
        <v>4090001</v>
      </c>
      <c r="I910" s="104">
        <v>1372</v>
      </c>
      <c r="J910" s="104">
        <v>1350</v>
      </c>
      <c r="K910" s="104">
        <v>11</v>
      </c>
      <c r="L910" s="104">
        <v>1339</v>
      </c>
      <c r="M910" s="104">
        <v>2463.231</v>
      </c>
      <c r="N910" s="104" t="s">
        <v>24</v>
      </c>
      <c r="O910" s="104" t="s">
        <v>25</v>
      </c>
      <c r="P910" s="104" t="s">
        <v>106</v>
      </c>
      <c r="Q910" s="104">
        <v>46121.8118055556</v>
      </c>
      <c r="R910" s="104">
        <v>46121.81875</v>
      </c>
      <c r="S910" s="104">
        <v>46121.8347222222</v>
      </c>
      <c r="T910" s="104" t="s">
        <v>128</v>
      </c>
    </row>
    <row r="911" s="102" customFormat="1" ht="15" spans="1:20">
      <c r="A911" s="104" t="s">
        <v>22</v>
      </c>
      <c r="B911" s="104" t="s">
        <v>261</v>
      </c>
      <c r="C911" s="104" t="s">
        <v>1075</v>
      </c>
      <c r="D911" s="104" t="s">
        <v>44</v>
      </c>
      <c r="E911" s="114"/>
      <c r="F911" s="114"/>
      <c r="G911" s="104">
        <v>25646625500071</v>
      </c>
      <c r="H911" s="104">
        <v>4090001</v>
      </c>
      <c r="I911" s="104">
        <v>2371</v>
      </c>
      <c r="J911" s="104">
        <v>1959</v>
      </c>
      <c r="K911" s="104">
        <v>11</v>
      </c>
      <c r="L911" s="104">
        <v>1948</v>
      </c>
      <c r="M911" s="104">
        <v>3105.83</v>
      </c>
      <c r="N911" s="104" t="s">
        <v>24</v>
      </c>
      <c r="O911" s="104" t="s">
        <v>25</v>
      </c>
      <c r="P911" s="104" t="s">
        <v>106</v>
      </c>
      <c r="Q911" s="104">
        <v>46121.8166666667</v>
      </c>
      <c r="R911" s="104">
        <v>46121.81875</v>
      </c>
      <c r="S911" s="104">
        <v>46121.8354166667</v>
      </c>
      <c r="T911" s="104" t="s">
        <v>478</v>
      </c>
    </row>
    <row r="912" s="102" customFormat="1" ht="15" spans="1:20">
      <c r="A912" s="104" t="s">
        <v>22</v>
      </c>
      <c r="B912" s="104" t="s">
        <v>212</v>
      </c>
      <c r="C912" s="104" t="s">
        <v>1076</v>
      </c>
      <c r="D912" s="104" t="s">
        <v>214</v>
      </c>
      <c r="E912" s="114"/>
      <c r="F912" s="114"/>
      <c r="G912" s="114"/>
      <c r="H912" s="104">
        <v>4090001</v>
      </c>
      <c r="I912" s="104">
        <v>1802</v>
      </c>
      <c r="J912" s="104">
        <v>1802</v>
      </c>
      <c r="K912" s="104">
        <v>98</v>
      </c>
      <c r="L912" s="104">
        <v>1704</v>
      </c>
      <c r="M912" s="104">
        <v>3268.261</v>
      </c>
      <c r="N912" s="104" t="s">
        <v>24</v>
      </c>
      <c r="O912" s="104" t="s">
        <v>25</v>
      </c>
      <c r="P912" s="104" t="s">
        <v>106</v>
      </c>
      <c r="Q912" s="104">
        <v>46121.8215277778</v>
      </c>
      <c r="R912" s="104">
        <v>46121.8229166667</v>
      </c>
      <c r="S912" s="104">
        <v>46121.8368055556</v>
      </c>
      <c r="T912" s="104" t="s">
        <v>533</v>
      </c>
    </row>
    <row r="913" s="102" customFormat="1" ht="15" spans="1:20">
      <c r="A913" s="104" t="s">
        <v>22</v>
      </c>
      <c r="B913" s="104" t="s">
        <v>91</v>
      </c>
      <c r="C913" s="104" t="s">
        <v>1077</v>
      </c>
      <c r="D913" s="104" t="s">
        <v>93</v>
      </c>
      <c r="E913" s="114"/>
      <c r="F913" s="114"/>
      <c r="G913" s="104">
        <v>11111111111111</v>
      </c>
      <c r="H913" s="104">
        <v>4090002</v>
      </c>
      <c r="I913" s="104">
        <v>1426</v>
      </c>
      <c r="J913" s="104">
        <v>1426</v>
      </c>
      <c r="K913" s="104">
        <v>10</v>
      </c>
      <c r="L913" s="104">
        <v>1416</v>
      </c>
      <c r="M913" s="104">
        <v>2849.954</v>
      </c>
      <c r="N913" s="104" t="s">
        <v>24</v>
      </c>
      <c r="O913" s="104" t="s">
        <v>25</v>
      </c>
      <c r="P913" s="104" t="s">
        <v>106</v>
      </c>
      <c r="Q913" s="104">
        <v>46121.8208333333</v>
      </c>
      <c r="R913" s="104">
        <v>46121.825</v>
      </c>
      <c r="S913" s="104">
        <v>46121.8430555556</v>
      </c>
      <c r="T913" s="104" t="s">
        <v>547</v>
      </c>
    </row>
    <row r="914" s="102" customFormat="1" ht="15" spans="1:20">
      <c r="A914" s="104" t="s">
        <v>22</v>
      </c>
      <c r="B914" s="104" t="s">
        <v>42</v>
      </c>
      <c r="C914" s="104" t="s">
        <v>1078</v>
      </c>
      <c r="D914" s="104" t="s">
        <v>44</v>
      </c>
      <c r="E914" s="114"/>
      <c r="F914" s="114"/>
      <c r="G914" s="114"/>
      <c r="H914" s="104">
        <v>4090001</v>
      </c>
      <c r="I914" s="104">
        <v>717</v>
      </c>
      <c r="J914" s="104">
        <v>516</v>
      </c>
      <c r="K914" s="104">
        <v>151</v>
      </c>
      <c r="L914" s="104">
        <v>365</v>
      </c>
      <c r="M914" s="104">
        <v>663.243</v>
      </c>
      <c r="N914" s="104" t="s">
        <v>24</v>
      </c>
      <c r="O914" s="104" t="s">
        <v>25</v>
      </c>
      <c r="P914" s="104" t="s">
        <v>106</v>
      </c>
      <c r="Q914" s="104">
        <v>46121.4881944444</v>
      </c>
      <c r="R914" s="104">
        <v>46121.5069444444</v>
      </c>
      <c r="S914" s="104">
        <v>46121.5222222222</v>
      </c>
      <c r="T914" s="104" t="s">
        <v>120</v>
      </c>
    </row>
    <row r="915" s="102" customFormat="1" ht="15" spans="1:20">
      <c r="A915" s="104" t="s">
        <v>22</v>
      </c>
      <c r="B915" s="104" t="s">
        <v>57</v>
      </c>
      <c r="C915" s="104" t="s">
        <v>1079</v>
      </c>
      <c r="D915" s="104" t="s">
        <v>214</v>
      </c>
      <c r="E915" s="114"/>
      <c r="F915" s="114"/>
      <c r="G915" s="114"/>
      <c r="H915" s="104">
        <v>4090001</v>
      </c>
      <c r="I915" s="104">
        <v>30</v>
      </c>
      <c r="J915" s="104">
        <v>25</v>
      </c>
      <c r="K915" s="104">
        <v>4</v>
      </c>
      <c r="L915" s="104">
        <v>21</v>
      </c>
      <c r="M915" s="104">
        <v>53.945</v>
      </c>
      <c r="N915" s="104" t="s">
        <v>24</v>
      </c>
      <c r="O915" s="104" t="s">
        <v>25</v>
      </c>
      <c r="P915" s="104" t="s">
        <v>106</v>
      </c>
      <c r="Q915" s="104">
        <v>46121.4909722222</v>
      </c>
      <c r="R915" s="104">
        <v>46121.5069444444</v>
      </c>
      <c r="S915" s="104">
        <v>46121.5222222222</v>
      </c>
      <c r="T915" s="104" t="s">
        <v>120</v>
      </c>
    </row>
    <row r="916" s="102" customFormat="1" ht="15" spans="1:20">
      <c r="A916" s="104" t="s">
        <v>22</v>
      </c>
      <c r="B916" s="104" t="s">
        <v>63</v>
      </c>
      <c r="C916" s="104" t="s">
        <v>1080</v>
      </c>
      <c r="D916" s="104" t="s">
        <v>1081</v>
      </c>
      <c r="E916" s="114"/>
      <c r="F916" s="114"/>
      <c r="G916" s="114"/>
      <c r="H916" s="104">
        <v>4090001</v>
      </c>
      <c r="I916" s="104">
        <v>670</v>
      </c>
      <c r="J916" s="104">
        <v>669</v>
      </c>
      <c r="K916" s="104">
        <v>4</v>
      </c>
      <c r="L916" s="104">
        <v>665</v>
      </c>
      <c r="M916" s="104">
        <v>938.604</v>
      </c>
      <c r="N916" s="104" t="s">
        <v>24</v>
      </c>
      <c r="O916" s="104" t="s">
        <v>25</v>
      </c>
      <c r="P916" s="104" t="s">
        <v>106</v>
      </c>
      <c r="Q916" s="104">
        <v>46121.49375</v>
      </c>
      <c r="R916" s="104">
        <v>46121.5076388889</v>
      </c>
      <c r="S916" s="104">
        <v>46121.5229166667</v>
      </c>
      <c r="T916" s="104" t="s">
        <v>120</v>
      </c>
    </row>
    <row r="917" s="102" customFormat="1" ht="15" spans="1:20">
      <c r="A917" s="104" t="s">
        <v>22</v>
      </c>
      <c r="B917" s="104" t="s">
        <v>172</v>
      </c>
      <c r="C917" s="104" t="s">
        <v>1082</v>
      </c>
      <c r="D917" s="104" t="s">
        <v>174</v>
      </c>
      <c r="E917" s="114"/>
      <c r="F917" s="114"/>
      <c r="G917" s="114"/>
      <c r="H917" s="104">
        <v>4090001</v>
      </c>
      <c r="I917" s="104">
        <v>204</v>
      </c>
      <c r="J917" s="104">
        <v>73</v>
      </c>
      <c r="K917" s="104">
        <v>9</v>
      </c>
      <c r="L917" s="104">
        <v>64</v>
      </c>
      <c r="M917" s="104">
        <v>168.367</v>
      </c>
      <c r="N917" s="104" t="s">
        <v>24</v>
      </c>
      <c r="O917" s="104" t="s">
        <v>25</v>
      </c>
      <c r="P917" s="104" t="s">
        <v>106</v>
      </c>
      <c r="Q917" s="104">
        <v>46121.50625</v>
      </c>
      <c r="R917" s="104">
        <v>46121.5076388889</v>
      </c>
      <c r="S917" s="104">
        <v>46121.5222222222</v>
      </c>
      <c r="T917" s="104" t="s">
        <v>120</v>
      </c>
    </row>
    <row r="918" s="102" customFormat="1" ht="15" spans="1:20">
      <c r="A918" s="104" t="s">
        <v>22</v>
      </c>
      <c r="B918" s="104" t="s">
        <v>188</v>
      </c>
      <c r="C918" s="104" t="s">
        <v>1083</v>
      </c>
      <c r="D918" s="104" t="s">
        <v>991</v>
      </c>
      <c r="E918" s="114"/>
      <c r="F918" s="114"/>
      <c r="G918" s="114"/>
      <c r="H918" s="104">
        <v>4090001</v>
      </c>
      <c r="I918" s="104">
        <v>2530</v>
      </c>
      <c r="J918" s="104">
        <v>2517</v>
      </c>
      <c r="K918" s="104">
        <v>7</v>
      </c>
      <c r="L918" s="104">
        <v>2510</v>
      </c>
      <c r="M918" s="104">
        <v>4935.427</v>
      </c>
      <c r="N918" s="104" t="s">
        <v>24</v>
      </c>
      <c r="O918" s="104" t="s">
        <v>25</v>
      </c>
      <c r="P918" s="104" t="s">
        <v>106</v>
      </c>
      <c r="Q918" s="104">
        <v>46121.5125</v>
      </c>
      <c r="R918" s="104">
        <v>46121.5152777778</v>
      </c>
      <c r="S918" s="104">
        <v>46121.5305555556</v>
      </c>
      <c r="T918" s="104" t="s">
        <v>128</v>
      </c>
    </row>
    <row r="919" s="102" customFormat="1" ht="15" spans="1:20">
      <c r="A919" s="104" t="s">
        <v>22</v>
      </c>
      <c r="B919" s="104" t="s">
        <v>184</v>
      </c>
      <c r="C919" s="104" t="s">
        <v>1084</v>
      </c>
      <c r="D919" s="104" t="s">
        <v>186</v>
      </c>
      <c r="E919" s="114"/>
      <c r="F919" s="114"/>
      <c r="G919" s="114"/>
      <c r="H919" s="104">
        <v>4090001</v>
      </c>
      <c r="I919" s="104">
        <v>1871</v>
      </c>
      <c r="J919" s="104">
        <v>1790</v>
      </c>
      <c r="K919" s="104">
        <v>3</v>
      </c>
      <c r="L919" s="104">
        <v>1787</v>
      </c>
      <c r="M919" s="104">
        <v>1477.581</v>
      </c>
      <c r="N919" s="104" t="s">
        <v>24</v>
      </c>
      <c r="O919" s="104" t="s">
        <v>25</v>
      </c>
      <c r="P919" s="104" t="s">
        <v>106</v>
      </c>
      <c r="Q919" s="104">
        <v>46121.5152777778</v>
      </c>
      <c r="R919" s="104">
        <v>46121.5166666667</v>
      </c>
      <c r="S919" s="104">
        <v>46121.5305555556</v>
      </c>
      <c r="T919" s="104" t="s">
        <v>533</v>
      </c>
    </row>
    <row r="920" s="102" customFormat="1" ht="15" spans="1:20">
      <c r="A920" s="104" t="s">
        <v>22</v>
      </c>
      <c r="B920" s="104" t="s">
        <v>180</v>
      </c>
      <c r="C920" s="104" t="s">
        <v>1085</v>
      </c>
      <c r="D920" s="104" t="s">
        <v>182</v>
      </c>
      <c r="E920" s="114"/>
      <c r="F920" s="114"/>
      <c r="G920" s="114"/>
      <c r="H920" s="104">
        <v>4090001</v>
      </c>
      <c r="I920" s="104">
        <v>1108</v>
      </c>
      <c r="J920" s="104">
        <v>805</v>
      </c>
      <c r="K920" s="104">
        <v>236</v>
      </c>
      <c r="L920" s="104">
        <v>569</v>
      </c>
      <c r="M920" s="104">
        <v>1505.362</v>
      </c>
      <c r="N920" s="104" t="s">
        <v>24</v>
      </c>
      <c r="O920" s="104" t="s">
        <v>25</v>
      </c>
      <c r="P920" s="104" t="s">
        <v>106</v>
      </c>
      <c r="Q920" s="104">
        <v>46121.51875</v>
      </c>
      <c r="R920" s="104">
        <v>46121.5215277778</v>
      </c>
      <c r="S920" s="104">
        <v>46121.53125</v>
      </c>
      <c r="T920" s="104" t="s">
        <v>135</v>
      </c>
    </row>
    <row r="921" s="102" customFormat="1" ht="15" spans="1:20">
      <c r="A921" s="104" t="s">
        <v>22</v>
      </c>
      <c r="B921" s="104" t="s">
        <v>164</v>
      </c>
      <c r="C921" s="104" t="s">
        <v>1086</v>
      </c>
      <c r="D921" s="104" t="s">
        <v>1087</v>
      </c>
      <c r="E921" s="114"/>
      <c r="F921" s="114"/>
      <c r="G921" s="114"/>
      <c r="H921" s="104">
        <v>4090001</v>
      </c>
      <c r="I921" s="104">
        <v>7719</v>
      </c>
      <c r="J921" s="104">
        <v>7719</v>
      </c>
      <c r="K921" s="104">
        <v>2</v>
      </c>
      <c r="L921" s="104">
        <v>7717</v>
      </c>
      <c r="M921" s="104">
        <v>14853.246</v>
      </c>
      <c r="N921" s="104" t="s">
        <v>24</v>
      </c>
      <c r="O921" s="104" t="s">
        <v>25</v>
      </c>
      <c r="P921" s="104" t="s">
        <v>106</v>
      </c>
      <c r="Q921" s="104">
        <v>46121.4868055556</v>
      </c>
      <c r="R921" s="104">
        <v>46121.5229166667</v>
      </c>
      <c r="S921" s="104">
        <v>46121.5486111111</v>
      </c>
      <c r="T921" s="104" t="s">
        <v>980</v>
      </c>
    </row>
    <row r="922" s="102" customFormat="1" ht="15" spans="1:20">
      <c r="A922" s="104" t="s">
        <v>22</v>
      </c>
      <c r="B922" s="104" t="s">
        <v>197</v>
      </c>
      <c r="C922" s="104" t="s">
        <v>1088</v>
      </c>
      <c r="D922" s="104" t="s">
        <v>199</v>
      </c>
      <c r="E922" s="114"/>
      <c r="F922" s="114"/>
      <c r="G922" s="104">
        <v>11111111111111</v>
      </c>
      <c r="H922" s="104">
        <v>4090001</v>
      </c>
      <c r="I922" s="104">
        <v>4280</v>
      </c>
      <c r="J922" s="104">
        <v>4016</v>
      </c>
      <c r="K922" s="104">
        <v>31</v>
      </c>
      <c r="L922" s="104">
        <v>3985</v>
      </c>
      <c r="M922" s="104">
        <v>2937.38</v>
      </c>
      <c r="N922" s="104" t="s">
        <v>24</v>
      </c>
      <c r="O922" s="104" t="s">
        <v>25</v>
      </c>
      <c r="P922" s="104" t="s">
        <v>106</v>
      </c>
      <c r="Q922" s="104">
        <v>46121.5354166667</v>
      </c>
      <c r="R922" s="104">
        <v>46121.5409722222</v>
      </c>
      <c r="S922" s="104">
        <v>46121.5625</v>
      </c>
      <c r="T922" s="104" t="s">
        <v>474</v>
      </c>
    </row>
    <row r="923" s="102" customFormat="1" ht="15" spans="1:20">
      <c r="A923" s="104" t="s">
        <v>22</v>
      </c>
      <c r="B923" s="104" t="s">
        <v>23</v>
      </c>
      <c r="C923" s="114"/>
      <c r="D923" s="114"/>
      <c r="E923" s="114"/>
      <c r="F923" s="114"/>
      <c r="G923" s="114"/>
      <c r="H923" s="104">
        <v>4097327</v>
      </c>
      <c r="I923" s="104">
        <v>447</v>
      </c>
      <c r="J923" s="104">
        <v>447</v>
      </c>
      <c r="K923" s="104">
        <v>0</v>
      </c>
      <c r="L923" s="104">
        <v>447</v>
      </c>
      <c r="M923" s="104">
        <v>109.759</v>
      </c>
      <c r="N923" s="104" t="s">
        <v>24</v>
      </c>
      <c r="O923" s="104" t="s">
        <v>25</v>
      </c>
      <c r="P923" s="104" t="s">
        <v>106</v>
      </c>
      <c r="Q923" s="104">
        <v>46121.5513888889</v>
      </c>
      <c r="R923" s="104">
        <v>46121.5513888889</v>
      </c>
      <c r="S923" s="104">
        <v>46121.5625</v>
      </c>
      <c r="T923" s="104" t="s">
        <v>560</v>
      </c>
    </row>
    <row r="924" s="102" customFormat="1" ht="15" spans="1:20">
      <c r="A924" s="104" t="s">
        <v>22</v>
      </c>
      <c r="B924" s="104" t="s">
        <v>23</v>
      </c>
      <c r="C924" s="104" t="s">
        <v>1089</v>
      </c>
      <c r="D924" s="104" t="s">
        <v>193</v>
      </c>
      <c r="E924" s="114"/>
      <c r="F924" s="114"/>
      <c r="G924" s="114"/>
      <c r="H924" s="104">
        <v>4090001</v>
      </c>
      <c r="I924" s="104">
        <v>1068</v>
      </c>
      <c r="J924" s="104">
        <v>1068</v>
      </c>
      <c r="K924" s="104">
        <v>2</v>
      </c>
      <c r="L924" s="104">
        <v>1066</v>
      </c>
      <c r="M924" s="104">
        <v>1574.96</v>
      </c>
      <c r="N924" s="104" t="s">
        <v>24</v>
      </c>
      <c r="O924" s="104" t="s">
        <v>25</v>
      </c>
      <c r="P924" s="104" t="s">
        <v>106</v>
      </c>
      <c r="Q924" s="104">
        <v>46121.5513888889</v>
      </c>
      <c r="R924" s="104">
        <v>46121.5513888889</v>
      </c>
      <c r="S924" s="104">
        <v>46121.5625</v>
      </c>
      <c r="T924" s="104" t="s">
        <v>560</v>
      </c>
    </row>
    <row r="925" s="102" customFormat="1" ht="15" spans="1:20">
      <c r="A925" s="104" t="s">
        <v>22</v>
      </c>
      <c r="B925" s="104" t="s">
        <v>91</v>
      </c>
      <c r="C925" s="104" t="s">
        <v>1090</v>
      </c>
      <c r="D925" s="104" t="s">
        <v>93</v>
      </c>
      <c r="E925" s="114"/>
      <c r="F925" s="114"/>
      <c r="G925" s="104">
        <v>12345678900000</v>
      </c>
      <c r="H925" s="104">
        <v>4090003</v>
      </c>
      <c r="I925" s="104">
        <v>1876</v>
      </c>
      <c r="J925" s="104">
        <v>1876</v>
      </c>
      <c r="K925" s="104">
        <v>3</v>
      </c>
      <c r="L925" s="104">
        <v>1873</v>
      </c>
      <c r="M925" s="104">
        <v>4255.902</v>
      </c>
      <c r="N925" s="104" t="s">
        <v>24</v>
      </c>
      <c r="O925" s="104" t="s">
        <v>25</v>
      </c>
      <c r="P925" s="104" t="s">
        <v>106</v>
      </c>
      <c r="Q925" s="104">
        <v>46121.5479166667</v>
      </c>
      <c r="R925" s="104">
        <v>46121.5625</v>
      </c>
      <c r="S925" s="104">
        <v>46121.5951388889</v>
      </c>
      <c r="T925" s="104" t="s">
        <v>389</v>
      </c>
    </row>
    <row r="926" s="102" customFormat="1" ht="15" spans="1:20">
      <c r="A926" s="104" t="s">
        <v>22</v>
      </c>
      <c r="B926" s="104" t="s">
        <v>236</v>
      </c>
      <c r="C926" s="114"/>
      <c r="D926" s="114"/>
      <c r="E926" s="114"/>
      <c r="F926" s="114"/>
      <c r="G926" s="114"/>
      <c r="H926" s="104">
        <v>4094822</v>
      </c>
      <c r="I926" s="104">
        <v>77</v>
      </c>
      <c r="J926" s="104">
        <v>77</v>
      </c>
      <c r="K926" s="104">
        <v>0</v>
      </c>
      <c r="L926" s="104">
        <v>77</v>
      </c>
      <c r="M926" s="104">
        <v>6.16</v>
      </c>
      <c r="N926" s="104" t="s">
        <v>24</v>
      </c>
      <c r="O926" s="104" t="s">
        <v>25</v>
      </c>
      <c r="P926" s="104" t="s">
        <v>106</v>
      </c>
      <c r="Q926" s="104">
        <v>46121.5694444444</v>
      </c>
      <c r="R926" s="104">
        <v>46121.5694444444</v>
      </c>
      <c r="S926" s="104">
        <v>46121.5972222222</v>
      </c>
      <c r="T926" s="104" t="s">
        <v>391</v>
      </c>
    </row>
    <row r="927" s="102" customFormat="1" ht="15" spans="1:20">
      <c r="A927" s="104" t="s">
        <v>22</v>
      </c>
      <c r="B927" s="104" t="s">
        <v>201</v>
      </c>
      <c r="C927" s="104" t="s">
        <v>1091</v>
      </c>
      <c r="D927" s="104" t="s">
        <v>516</v>
      </c>
      <c r="E927" s="104" t="s">
        <v>517</v>
      </c>
      <c r="F927" s="104" t="s">
        <v>518</v>
      </c>
      <c r="G927" s="114"/>
      <c r="H927" s="104">
        <v>4090001</v>
      </c>
      <c r="I927" s="104">
        <v>16016</v>
      </c>
      <c r="J927" s="104">
        <v>3447</v>
      </c>
      <c r="K927" s="104">
        <v>7</v>
      </c>
      <c r="L927" s="104">
        <v>3440</v>
      </c>
      <c r="M927" s="104">
        <v>12054.396</v>
      </c>
      <c r="N927" s="104" t="s">
        <v>24</v>
      </c>
      <c r="O927" s="104" t="s">
        <v>70</v>
      </c>
      <c r="P927" s="104" t="s">
        <v>106</v>
      </c>
      <c r="Q927" s="104">
        <v>46121.48125</v>
      </c>
      <c r="R927" s="104">
        <v>46121.6270833333</v>
      </c>
      <c r="S927" s="104">
        <v>46121.6729166667</v>
      </c>
      <c r="T927" s="104" t="s">
        <v>586</v>
      </c>
    </row>
    <row r="928" s="102" customFormat="1" ht="15" spans="1:20">
      <c r="A928" s="104" t="s">
        <v>22</v>
      </c>
      <c r="B928" s="104" t="s">
        <v>207</v>
      </c>
      <c r="C928" s="104" t="s">
        <v>1092</v>
      </c>
      <c r="D928" s="104" t="s">
        <v>203</v>
      </c>
      <c r="E928" s="104" t="s">
        <v>204</v>
      </c>
      <c r="F928" s="104" t="s">
        <v>205</v>
      </c>
      <c r="G928" s="114"/>
      <c r="H928" s="104">
        <v>4090001</v>
      </c>
      <c r="I928" s="104">
        <v>13622</v>
      </c>
      <c r="J928" s="104">
        <v>2890</v>
      </c>
      <c r="K928" s="104">
        <v>1</v>
      </c>
      <c r="L928" s="104">
        <v>2889</v>
      </c>
      <c r="M928" s="104">
        <v>9333.07</v>
      </c>
      <c r="N928" s="104" t="s">
        <v>24</v>
      </c>
      <c r="O928" s="104" t="s">
        <v>70</v>
      </c>
      <c r="P928" s="104" t="s">
        <v>106</v>
      </c>
      <c r="Q928" s="104">
        <v>46121.5381944444</v>
      </c>
      <c r="R928" s="104">
        <v>46121.6270833333</v>
      </c>
      <c r="S928" s="104">
        <v>46121.68125</v>
      </c>
      <c r="T928" s="104" t="s">
        <v>450</v>
      </c>
    </row>
    <row r="929" s="102" customFormat="1" ht="15" spans="1:20">
      <c r="A929" s="104" t="s">
        <v>22</v>
      </c>
      <c r="B929" s="104" t="s">
        <v>587</v>
      </c>
      <c r="C929" s="104" t="s">
        <v>587</v>
      </c>
      <c r="D929" s="104" t="s">
        <v>29</v>
      </c>
      <c r="E929" s="114"/>
      <c r="F929" s="114"/>
      <c r="G929" s="114"/>
      <c r="H929" s="104" t="s">
        <v>587</v>
      </c>
      <c r="I929" s="104">
        <v>11593</v>
      </c>
      <c r="J929" s="104">
        <v>11593</v>
      </c>
      <c r="K929" s="104">
        <v>0</v>
      </c>
      <c r="L929" s="104">
        <v>4754</v>
      </c>
      <c r="M929" s="104">
        <v>20573.037</v>
      </c>
      <c r="N929" s="104" t="s">
        <v>24</v>
      </c>
      <c r="O929" s="104" t="s">
        <v>25</v>
      </c>
      <c r="P929" s="104" t="s">
        <v>1093</v>
      </c>
      <c r="Q929" s="114"/>
      <c r="R929" s="104">
        <v>46121.7083333333</v>
      </c>
      <c r="S929" s="114"/>
      <c r="T929" s="114"/>
    </row>
    <row r="930" s="102" customFormat="1" ht="15" spans="1:20">
      <c r="A930" s="104" t="s">
        <v>22</v>
      </c>
      <c r="B930" s="104" t="s">
        <v>164</v>
      </c>
      <c r="C930" s="104" t="s">
        <v>1094</v>
      </c>
      <c r="D930" s="104" t="s">
        <v>321</v>
      </c>
      <c r="E930" s="114"/>
      <c r="F930" s="114"/>
      <c r="G930" s="114"/>
      <c r="H930" s="104">
        <v>4090002</v>
      </c>
      <c r="I930" s="104">
        <v>4266</v>
      </c>
      <c r="J930" s="104">
        <v>4266</v>
      </c>
      <c r="K930" s="104">
        <v>1</v>
      </c>
      <c r="L930" s="104">
        <v>4265</v>
      </c>
      <c r="M930" s="104">
        <v>7557.69</v>
      </c>
      <c r="N930" s="104" t="s">
        <v>24</v>
      </c>
      <c r="O930" s="104" t="s">
        <v>25</v>
      </c>
      <c r="P930" s="104" t="s">
        <v>106</v>
      </c>
      <c r="Q930" s="104">
        <v>46121.7048611111</v>
      </c>
      <c r="R930" s="104">
        <v>46121.73125</v>
      </c>
      <c r="S930" s="104">
        <v>46121.7527777778</v>
      </c>
      <c r="T930" s="104" t="s">
        <v>474</v>
      </c>
    </row>
    <row r="931" s="102" customFormat="1" ht="15" spans="1:20">
      <c r="A931" s="104" t="s">
        <v>22</v>
      </c>
      <c r="B931" s="104" t="s">
        <v>219</v>
      </c>
      <c r="C931" s="104" t="s">
        <v>1095</v>
      </c>
      <c r="D931" s="104" t="s">
        <v>239</v>
      </c>
      <c r="E931" s="114"/>
      <c r="F931" s="114"/>
      <c r="G931" s="104">
        <v>11111111111111</v>
      </c>
      <c r="H931" s="104">
        <v>4090003</v>
      </c>
      <c r="I931" s="104">
        <v>2803</v>
      </c>
      <c r="J931" s="104">
        <v>2803</v>
      </c>
      <c r="K931" s="104">
        <v>29</v>
      </c>
      <c r="L931" s="104">
        <v>2774</v>
      </c>
      <c r="M931" s="104">
        <v>3181.05</v>
      </c>
      <c r="N931" s="104" t="s">
        <v>24</v>
      </c>
      <c r="O931" s="104" t="s">
        <v>25</v>
      </c>
      <c r="P931" s="104" t="s">
        <v>106</v>
      </c>
      <c r="Q931" s="104">
        <v>46121.7229166667</v>
      </c>
      <c r="R931" s="104">
        <v>46121.73125</v>
      </c>
      <c r="S931" s="104">
        <v>46121.7527777778</v>
      </c>
      <c r="T931" s="104" t="s">
        <v>141</v>
      </c>
    </row>
    <row r="932" s="102" customFormat="1" ht="15" spans="1:20">
      <c r="A932" s="104" t="s">
        <v>22</v>
      </c>
      <c r="B932" s="104" t="s">
        <v>219</v>
      </c>
      <c r="C932" s="104" t="s">
        <v>1096</v>
      </c>
      <c r="D932" s="104" t="s">
        <v>221</v>
      </c>
      <c r="E932" s="114"/>
      <c r="F932" s="114"/>
      <c r="G932" s="104">
        <v>11111111111111</v>
      </c>
      <c r="H932" s="104">
        <v>4090002</v>
      </c>
      <c r="I932" s="104">
        <v>5507</v>
      </c>
      <c r="J932" s="104">
        <v>5507</v>
      </c>
      <c r="K932" s="104">
        <v>62</v>
      </c>
      <c r="L932" s="104">
        <v>5445</v>
      </c>
      <c r="M932" s="104">
        <v>3179.21</v>
      </c>
      <c r="N932" s="104" t="s">
        <v>24</v>
      </c>
      <c r="O932" s="104" t="s">
        <v>25</v>
      </c>
      <c r="P932" s="104" t="s">
        <v>106</v>
      </c>
      <c r="Q932" s="104">
        <v>46121.7104166667</v>
      </c>
      <c r="R932" s="104">
        <v>46121.73125</v>
      </c>
      <c r="S932" s="104">
        <v>46121.7527777778</v>
      </c>
      <c r="T932" s="104" t="s">
        <v>141</v>
      </c>
    </row>
    <row r="933" s="102" customFormat="1" ht="15" spans="1:20">
      <c r="A933" s="104" t="s">
        <v>22</v>
      </c>
      <c r="B933" s="104" t="s">
        <v>175</v>
      </c>
      <c r="C933" s="104" t="s">
        <v>1097</v>
      </c>
      <c r="D933" s="104" t="s">
        <v>177</v>
      </c>
      <c r="E933" s="114"/>
      <c r="F933" s="114"/>
      <c r="G933" s="104">
        <v>11111111111111</v>
      </c>
      <c r="H933" s="104">
        <v>4090003</v>
      </c>
      <c r="I933" s="104">
        <v>2079</v>
      </c>
      <c r="J933" s="104">
        <v>2079</v>
      </c>
      <c r="K933" s="104">
        <v>226</v>
      </c>
      <c r="L933" s="104">
        <v>1853</v>
      </c>
      <c r="M933" s="104">
        <v>4396.84</v>
      </c>
      <c r="N933" s="104" t="s">
        <v>24</v>
      </c>
      <c r="O933" s="104" t="s">
        <v>25</v>
      </c>
      <c r="P933" s="104" t="s">
        <v>106</v>
      </c>
      <c r="Q933" s="104">
        <v>46121.7076388889</v>
      </c>
      <c r="R933" s="104">
        <v>46121.7319444444</v>
      </c>
      <c r="S933" s="104">
        <v>46121.7527777778</v>
      </c>
      <c r="T933" s="104" t="s">
        <v>141</v>
      </c>
    </row>
    <row r="934" s="102" customFormat="1" ht="15" spans="1:20">
      <c r="A934" s="104" t="s">
        <v>22</v>
      </c>
      <c r="B934" s="104" t="s">
        <v>332</v>
      </c>
      <c r="C934" s="104" t="s">
        <v>1098</v>
      </c>
      <c r="D934" s="104" t="s">
        <v>1099</v>
      </c>
      <c r="E934" s="114"/>
      <c r="F934" s="114"/>
      <c r="G934" s="114"/>
      <c r="H934" s="104">
        <v>4090001</v>
      </c>
      <c r="I934" s="104">
        <v>3823</v>
      </c>
      <c r="J934" s="104">
        <v>2956</v>
      </c>
      <c r="K934" s="104">
        <v>163</v>
      </c>
      <c r="L934" s="104">
        <v>2788</v>
      </c>
      <c r="M934" s="104">
        <v>2001.053</v>
      </c>
      <c r="N934" s="104" t="s">
        <v>24</v>
      </c>
      <c r="O934" s="104" t="s">
        <v>25</v>
      </c>
      <c r="P934" s="104" t="s">
        <v>106</v>
      </c>
      <c r="Q934" s="104">
        <v>46121.825</v>
      </c>
      <c r="R934" s="104">
        <v>46121.825</v>
      </c>
      <c r="S934" s="104">
        <v>46121.8430555556</v>
      </c>
      <c r="T934" s="104" t="s">
        <v>547</v>
      </c>
    </row>
    <row r="935" s="102" customFormat="1" ht="15" spans="1:20">
      <c r="A935" s="104" t="s">
        <v>22</v>
      </c>
      <c r="B935" s="104" t="s">
        <v>232</v>
      </c>
      <c r="C935" s="104" t="s">
        <v>1100</v>
      </c>
      <c r="D935" s="104" t="s">
        <v>1081</v>
      </c>
      <c r="E935" s="114"/>
      <c r="F935" s="114"/>
      <c r="G935" s="114"/>
      <c r="H935" s="104">
        <v>4090001</v>
      </c>
      <c r="I935" s="104">
        <v>4316</v>
      </c>
      <c r="J935" s="104">
        <v>3581</v>
      </c>
      <c r="K935" s="104">
        <v>104</v>
      </c>
      <c r="L935" s="104">
        <v>3477</v>
      </c>
      <c r="M935" s="104">
        <v>4466.891</v>
      </c>
      <c r="N935" s="104" t="s">
        <v>24</v>
      </c>
      <c r="O935" s="104" t="s">
        <v>25</v>
      </c>
      <c r="P935" s="104" t="s">
        <v>106</v>
      </c>
      <c r="Q935" s="104">
        <v>46121.8291666667</v>
      </c>
      <c r="R935" s="104">
        <v>46121.8298611111</v>
      </c>
      <c r="S935" s="104">
        <v>46121.8583333333</v>
      </c>
      <c r="T935" s="104" t="s">
        <v>423</v>
      </c>
    </row>
    <row r="936" s="102" customFormat="1" ht="15" spans="1:20">
      <c r="A936" s="104" t="s">
        <v>22</v>
      </c>
      <c r="B936" s="104" t="s">
        <v>223</v>
      </c>
      <c r="C936" s="104" t="s">
        <v>1101</v>
      </c>
      <c r="D936" s="104" t="s">
        <v>329</v>
      </c>
      <c r="E936" s="114"/>
      <c r="F936" s="114"/>
      <c r="G936" s="104" t="s">
        <v>1102</v>
      </c>
      <c r="H936" s="104">
        <v>4090001</v>
      </c>
      <c r="I936" s="104">
        <v>910</v>
      </c>
      <c r="J936" s="104">
        <v>910</v>
      </c>
      <c r="K936" s="104">
        <v>33</v>
      </c>
      <c r="L936" s="104">
        <v>877</v>
      </c>
      <c r="M936" s="104">
        <v>848.567</v>
      </c>
      <c r="N936" s="104" t="s">
        <v>24</v>
      </c>
      <c r="O936" s="104" t="s">
        <v>25</v>
      </c>
      <c r="P936" s="104" t="s">
        <v>106</v>
      </c>
      <c r="Q936" s="104">
        <v>46121.8347222222</v>
      </c>
      <c r="R936" s="104">
        <v>46121.8368055556</v>
      </c>
      <c r="S936" s="104">
        <v>46121.84375</v>
      </c>
      <c r="T936" s="104" t="s">
        <v>798</v>
      </c>
    </row>
    <row r="937" s="102" customFormat="1" ht="15" spans="1:20">
      <c r="A937" s="104" t="s">
        <v>22</v>
      </c>
      <c r="B937" s="104" t="s">
        <v>164</v>
      </c>
      <c r="C937" s="104" t="s">
        <v>1103</v>
      </c>
      <c r="D937" s="104" t="s">
        <v>1104</v>
      </c>
      <c r="E937" s="114"/>
      <c r="F937" s="114"/>
      <c r="G937" s="114"/>
      <c r="H937" s="104">
        <v>4090003</v>
      </c>
      <c r="I937" s="104">
        <v>1574</v>
      </c>
      <c r="J937" s="104">
        <v>1574</v>
      </c>
      <c r="K937" s="104">
        <v>1107</v>
      </c>
      <c r="L937" s="104">
        <v>467</v>
      </c>
      <c r="M937" s="104">
        <v>2788.291</v>
      </c>
      <c r="N937" s="104" t="s">
        <v>24</v>
      </c>
      <c r="O937" s="104" t="s">
        <v>25</v>
      </c>
      <c r="P937" s="104" t="s">
        <v>106</v>
      </c>
      <c r="Q937" s="104">
        <v>46121.8048611111</v>
      </c>
      <c r="R937" s="104">
        <v>46121.8423611111</v>
      </c>
      <c r="S937" s="104">
        <v>46121.8590277778</v>
      </c>
      <c r="T937" s="104" t="s">
        <v>464</v>
      </c>
    </row>
    <row r="938" s="102" customFormat="1" ht="15" spans="1:20">
      <c r="A938" s="104" t="s">
        <v>22</v>
      </c>
      <c r="B938" s="104" t="s">
        <v>229</v>
      </c>
      <c r="C938" s="104" t="s">
        <v>1105</v>
      </c>
      <c r="D938" s="104" t="s">
        <v>627</v>
      </c>
      <c r="E938" s="114"/>
      <c r="F938" s="104" t="s">
        <v>79</v>
      </c>
      <c r="G938" s="114"/>
      <c r="H938" s="104">
        <v>4090001</v>
      </c>
      <c r="I938" s="104">
        <v>5539</v>
      </c>
      <c r="J938" s="104">
        <v>5481</v>
      </c>
      <c r="K938" s="104">
        <v>4811</v>
      </c>
      <c r="L938" s="104">
        <v>670</v>
      </c>
      <c r="M938" s="104">
        <v>7619.56</v>
      </c>
      <c r="N938" s="104" t="s">
        <v>24</v>
      </c>
      <c r="O938" s="104" t="s">
        <v>25</v>
      </c>
      <c r="P938" s="104" t="s">
        <v>106</v>
      </c>
      <c r="Q938" s="104">
        <v>46121.8361111111</v>
      </c>
      <c r="R938" s="104">
        <v>46121.8736111111</v>
      </c>
      <c r="S938" s="104">
        <v>46121.9055555556</v>
      </c>
      <c r="T938" s="104" t="s">
        <v>389</v>
      </c>
    </row>
    <row r="939" s="102" customFormat="1" ht="15" spans="1:20">
      <c r="A939" s="104" t="s">
        <v>22</v>
      </c>
      <c r="B939" s="104" t="s">
        <v>336</v>
      </c>
      <c r="C939" s="104" t="s">
        <v>1106</v>
      </c>
      <c r="D939" s="104" t="s">
        <v>991</v>
      </c>
      <c r="E939" s="114"/>
      <c r="F939" s="114"/>
      <c r="G939" s="114"/>
      <c r="H939" s="104">
        <v>4090001</v>
      </c>
      <c r="I939" s="104">
        <v>7818</v>
      </c>
      <c r="J939" s="104">
        <v>7818</v>
      </c>
      <c r="K939" s="104">
        <v>1990</v>
      </c>
      <c r="L939" s="104">
        <v>5828</v>
      </c>
      <c r="M939" s="104">
        <v>6864.785</v>
      </c>
      <c r="N939" s="104" t="s">
        <v>24</v>
      </c>
      <c r="O939" s="104" t="s">
        <v>25</v>
      </c>
      <c r="P939" s="104" t="s">
        <v>106</v>
      </c>
      <c r="Q939" s="104">
        <v>46121.8395833333</v>
      </c>
      <c r="R939" s="104">
        <v>46121.8736111111</v>
      </c>
      <c r="S939" s="104">
        <v>46121.9055555556</v>
      </c>
      <c r="T939" s="104" t="s">
        <v>389</v>
      </c>
    </row>
    <row r="940" s="102" customFormat="1" ht="15" spans="1:20">
      <c r="A940" s="104" t="s">
        <v>22</v>
      </c>
      <c r="B940" s="104" t="s">
        <v>342</v>
      </c>
      <c r="C940" s="104" t="s">
        <v>1107</v>
      </c>
      <c r="D940" s="104" t="s">
        <v>374</v>
      </c>
      <c r="E940" s="104" t="s">
        <v>375</v>
      </c>
      <c r="F940" s="104" t="s">
        <v>376</v>
      </c>
      <c r="G940" s="114"/>
      <c r="H940" s="104">
        <v>4090001</v>
      </c>
      <c r="I940" s="104">
        <v>14764</v>
      </c>
      <c r="J940" s="104">
        <v>2734</v>
      </c>
      <c r="K940" s="104">
        <v>4</v>
      </c>
      <c r="L940" s="104">
        <v>2730</v>
      </c>
      <c r="M940" s="104">
        <v>10093.558</v>
      </c>
      <c r="N940" s="104" t="s">
        <v>24</v>
      </c>
      <c r="O940" s="104" t="s">
        <v>70</v>
      </c>
      <c r="P940" s="104" t="s">
        <v>106</v>
      </c>
      <c r="Q940" s="104">
        <v>46121.6368055556</v>
      </c>
      <c r="R940" s="104">
        <v>46121.9395833333</v>
      </c>
      <c r="S940" s="104">
        <v>46121.98125</v>
      </c>
      <c r="T940" s="104" t="s">
        <v>403</v>
      </c>
    </row>
    <row r="941" s="102" customFormat="1" ht="15" spans="1:20">
      <c r="A941" s="104" t="s">
        <v>22</v>
      </c>
      <c r="B941" s="104" t="s">
        <v>101</v>
      </c>
      <c r="C941" s="104" t="s">
        <v>1108</v>
      </c>
      <c r="D941" s="104" t="s">
        <v>504</v>
      </c>
      <c r="E941" s="104" t="s">
        <v>505</v>
      </c>
      <c r="F941" s="104" t="s">
        <v>506</v>
      </c>
      <c r="G941" s="114"/>
      <c r="H941" s="104">
        <v>4090001</v>
      </c>
      <c r="I941" s="104">
        <v>16242</v>
      </c>
      <c r="J941" s="104">
        <v>2739</v>
      </c>
      <c r="K941" s="104">
        <v>8</v>
      </c>
      <c r="L941" s="104">
        <v>2731</v>
      </c>
      <c r="M941" s="104">
        <v>9407.244</v>
      </c>
      <c r="N941" s="104" t="s">
        <v>24</v>
      </c>
      <c r="O941" s="104" t="s">
        <v>70</v>
      </c>
      <c r="P941" s="104" t="s">
        <v>106</v>
      </c>
      <c r="Q941" s="104">
        <v>46121.7354166667</v>
      </c>
      <c r="R941" s="104">
        <v>46121.9486111111</v>
      </c>
      <c r="S941" s="104">
        <v>46121.9868055556</v>
      </c>
      <c r="T941" s="104" t="s">
        <v>420</v>
      </c>
    </row>
    <row r="942" s="102" customFormat="1" ht="15" spans="1:20">
      <c r="A942" s="104" t="s">
        <v>22</v>
      </c>
      <c r="B942" s="104" t="s">
        <v>107</v>
      </c>
      <c r="C942" s="104" t="s">
        <v>1109</v>
      </c>
      <c r="D942" s="104" t="s">
        <v>353</v>
      </c>
      <c r="E942" s="104" t="s">
        <v>354</v>
      </c>
      <c r="F942" s="104" t="s">
        <v>355</v>
      </c>
      <c r="G942" s="114"/>
      <c r="H942" s="104">
        <v>4090001</v>
      </c>
      <c r="I942" s="104">
        <v>17280</v>
      </c>
      <c r="J942" s="104">
        <v>2789</v>
      </c>
      <c r="K942" s="104">
        <v>6</v>
      </c>
      <c r="L942" s="104">
        <v>2783</v>
      </c>
      <c r="M942" s="104">
        <v>10860.419</v>
      </c>
      <c r="N942" s="104" t="s">
        <v>24</v>
      </c>
      <c r="O942" s="104" t="s">
        <v>70</v>
      </c>
      <c r="P942" s="104" t="s">
        <v>106</v>
      </c>
      <c r="Q942" s="104">
        <v>46121.8256944444</v>
      </c>
      <c r="R942" s="104">
        <v>46121.9868055556</v>
      </c>
      <c r="S942" s="104">
        <v>46122.0298611111</v>
      </c>
      <c r="T942" s="104" t="s">
        <v>398</v>
      </c>
    </row>
    <row r="943" s="102" customFormat="1" ht="15" spans="1:20">
      <c r="A943" s="104" t="s">
        <v>22</v>
      </c>
      <c r="B943" s="104" t="s">
        <v>357</v>
      </c>
      <c r="C943" s="104" t="s">
        <v>1110</v>
      </c>
      <c r="D943" s="104" t="s">
        <v>359</v>
      </c>
      <c r="E943" s="104" t="s">
        <v>1111</v>
      </c>
      <c r="F943" s="104" t="s">
        <v>1112</v>
      </c>
      <c r="G943" s="114"/>
      <c r="H943" s="104">
        <v>4090001</v>
      </c>
      <c r="I943" s="104">
        <v>20163</v>
      </c>
      <c r="J943" s="104">
        <v>3197</v>
      </c>
      <c r="K943" s="104">
        <v>12</v>
      </c>
      <c r="L943" s="104">
        <v>3185</v>
      </c>
      <c r="M943" s="104">
        <v>11596.256</v>
      </c>
      <c r="N943" s="104" t="s">
        <v>24</v>
      </c>
      <c r="O943" s="104" t="s">
        <v>70</v>
      </c>
      <c r="P943" s="104" t="s">
        <v>106</v>
      </c>
      <c r="Q943" s="104">
        <v>46121.9541666667</v>
      </c>
      <c r="R943" s="104">
        <v>46121.9875</v>
      </c>
      <c r="S943" s="104">
        <v>46122.0298611111</v>
      </c>
      <c r="T943" s="104" t="s">
        <v>537</v>
      </c>
    </row>
  </sheetData>
  <mergeCells count="2">
    <mergeCell ref="A4:T4"/>
    <mergeCell ref="A1:T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O223"/>
  <sheetViews>
    <sheetView topLeftCell="A177" workbookViewId="0">
      <selection activeCell="Z14" sqref="Z14"/>
    </sheetView>
  </sheetViews>
  <sheetFormatPr defaultColWidth="8.88888888888889" defaultRowHeight="14.4"/>
  <cols>
    <col min="1" max="1" width="8.75" style="102"/>
    <col min="2" max="2" width="29.2222222222222" style="102"/>
    <col min="3" max="3" width="22.6388888888889" style="102"/>
    <col min="4" max="4" width="13.8055555555556" style="102"/>
    <col min="5" max="6" width="11.0833333333333" style="102"/>
    <col min="7" max="7" width="7.22222222222222" style="102"/>
    <col min="8" max="11" width="5.41666666666667" style="102"/>
    <col min="12" max="12" width="9.19444444444444" style="102"/>
    <col min="13" max="13" width="7.22222222222222" style="102"/>
    <col min="14" max="16" width="5.41666666666667" style="102"/>
    <col min="17" max="17" width="9.19444444444444" style="102"/>
    <col min="18" max="18" width="5.41666666666667" style="102"/>
    <col min="19" max="19" width="11.0833333333333" style="102"/>
    <col min="20" max="22" width="9.19444444444444" style="102"/>
    <col min="23" max="23" width="5.41666666666667" style="102"/>
    <col min="24" max="24" width="8.22222222222222" style="102"/>
    <col min="25" max="25" width="7.30555555555556" style="102"/>
    <col min="26" max="26" width="8.22222222222222" style="102"/>
    <col min="27" max="37" width="7.30555555555556" style="102"/>
    <col min="38" max="38" width="8.22222222222222" style="102"/>
    <col min="39" max="58" width="7.30555555555556" style="102"/>
    <col min="59" max="59" width="6.22222222222222" style="102"/>
    <col min="60" max="93" width="7.30555555555556" style="102"/>
    <col min="94" max="16384" width="8.88888888888889" style="102"/>
  </cols>
  <sheetData>
    <row r="1" s="102" customFormat="1" ht="22.2" customHeight="1" spans="1:93">
      <c r="A1" s="103" t="s">
        <v>1113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  <c r="BL1" s="103"/>
      <c r="BM1" s="103"/>
      <c r="BN1" s="103"/>
      <c r="BO1" s="103"/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3"/>
      <c r="CC1" s="103"/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3"/>
    </row>
    <row r="2" s="102" customFormat="1" ht="15" customHeight="1" spans="1:93">
      <c r="A2" s="104" t="s">
        <v>1114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</row>
    <row r="3" s="102" customFormat="1" ht="15" customHeight="1" spans="1:93">
      <c r="A3" s="104" t="s">
        <v>1115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  <c r="CB3" s="104"/>
      <c r="CC3" s="104"/>
      <c r="CD3" s="104"/>
      <c r="CE3" s="104"/>
      <c r="CF3" s="104"/>
      <c r="CG3" s="104"/>
      <c r="CH3" s="104"/>
      <c r="CI3" s="104"/>
      <c r="CJ3" s="104"/>
      <c r="CK3" s="104"/>
      <c r="CL3" s="104"/>
      <c r="CM3" s="104"/>
      <c r="CN3" s="104"/>
      <c r="CO3" s="104"/>
    </row>
    <row r="4" s="102" customFormat="1" ht="15" customHeight="1" spans="1:93">
      <c r="A4" s="104" t="s">
        <v>1116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</row>
    <row r="5" s="102" customFormat="1" ht="15" customHeight="1" spans="1:93">
      <c r="A5" s="104" t="s">
        <v>1117</v>
      </c>
      <c r="B5" s="104" t="s">
        <v>1118</v>
      </c>
      <c r="C5" s="104" t="s">
        <v>1119</v>
      </c>
      <c r="D5" s="104" t="s">
        <v>1120</v>
      </c>
      <c r="E5" s="104" t="s">
        <v>1121</v>
      </c>
      <c r="F5" s="104"/>
      <c r="G5" s="104" t="s">
        <v>1122</v>
      </c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 t="s">
        <v>1123</v>
      </c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 t="s">
        <v>1124</v>
      </c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</row>
    <row r="6" s="102" customFormat="1" ht="15" customHeight="1" spans="1:93">
      <c r="A6" s="104"/>
      <c r="B6" s="104"/>
      <c r="C6" s="104"/>
      <c r="D6" s="104"/>
      <c r="E6" s="104" t="s">
        <v>1125</v>
      </c>
      <c r="F6" s="104" t="s">
        <v>1126</v>
      </c>
      <c r="G6" s="104" t="s">
        <v>1121</v>
      </c>
      <c r="H6" s="104" t="s">
        <v>1127</v>
      </c>
      <c r="I6" s="104" t="s">
        <v>1128</v>
      </c>
      <c r="J6" s="104" t="s">
        <v>1129</v>
      </c>
      <c r="K6" s="104" t="s">
        <v>1130</v>
      </c>
      <c r="L6" s="104" t="s">
        <v>1131</v>
      </c>
      <c r="M6" s="104" t="s">
        <v>1132</v>
      </c>
      <c r="N6" s="104" t="s">
        <v>1133</v>
      </c>
      <c r="O6" s="104" t="s">
        <v>1134</v>
      </c>
      <c r="P6" s="104" t="s">
        <v>1135</v>
      </c>
      <c r="Q6" s="104" t="s">
        <v>1136</v>
      </c>
      <c r="R6" s="104" t="s">
        <v>1137</v>
      </c>
      <c r="S6" s="104" t="s">
        <v>1138</v>
      </c>
      <c r="T6" s="104" t="s">
        <v>1139</v>
      </c>
      <c r="U6" s="104" t="s">
        <v>1140</v>
      </c>
      <c r="V6" s="104" t="s">
        <v>1141</v>
      </c>
      <c r="W6" s="104" t="s">
        <v>1142</v>
      </c>
      <c r="X6" s="104" t="s">
        <v>1121</v>
      </c>
      <c r="Y6" s="104" t="s">
        <v>1143</v>
      </c>
      <c r="Z6" s="104"/>
      <c r="AA6" s="104" t="s">
        <v>1127</v>
      </c>
      <c r="AB6" s="104"/>
      <c r="AC6" s="104" t="s">
        <v>1128</v>
      </c>
      <c r="AD6" s="104"/>
      <c r="AE6" s="104" t="s">
        <v>1129</v>
      </c>
      <c r="AF6" s="104"/>
      <c r="AG6" s="104" t="s">
        <v>1130</v>
      </c>
      <c r="AH6" s="104"/>
      <c r="AI6" s="104" t="s">
        <v>1131</v>
      </c>
      <c r="AJ6" s="104"/>
      <c r="AK6" s="104" t="s">
        <v>1132</v>
      </c>
      <c r="AL6" s="104"/>
      <c r="AM6" s="104" t="s">
        <v>1133</v>
      </c>
      <c r="AN6" s="104"/>
      <c r="AO6" s="104" t="s">
        <v>1134</v>
      </c>
      <c r="AP6" s="104"/>
      <c r="AQ6" s="104" t="s">
        <v>1135</v>
      </c>
      <c r="AR6" s="104"/>
      <c r="AS6" s="104" t="s">
        <v>1136</v>
      </c>
      <c r="AT6" s="104"/>
      <c r="AU6" s="104" t="s">
        <v>1137</v>
      </c>
      <c r="AV6" s="104"/>
      <c r="AW6" s="104" t="s">
        <v>1138</v>
      </c>
      <c r="AX6" s="104"/>
      <c r="AY6" s="104" t="s">
        <v>1139</v>
      </c>
      <c r="AZ6" s="104"/>
      <c r="BA6" s="104" t="s">
        <v>1140</v>
      </c>
      <c r="BB6" s="104"/>
      <c r="BC6" s="104" t="s">
        <v>1141</v>
      </c>
      <c r="BD6" s="104"/>
      <c r="BE6" s="104" t="s">
        <v>1142</v>
      </c>
      <c r="BF6" s="104"/>
      <c r="BG6" s="104" t="s">
        <v>1121</v>
      </c>
      <c r="BH6" s="104" t="s">
        <v>1143</v>
      </c>
      <c r="BI6" s="104"/>
      <c r="BJ6" s="104" t="s">
        <v>1127</v>
      </c>
      <c r="BK6" s="104"/>
      <c r="BL6" s="104" t="s">
        <v>1128</v>
      </c>
      <c r="BM6" s="104"/>
      <c r="BN6" s="104" t="s">
        <v>1129</v>
      </c>
      <c r="BO6" s="104"/>
      <c r="BP6" s="104" t="s">
        <v>1130</v>
      </c>
      <c r="BQ6" s="104"/>
      <c r="BR6" s="104" t="s">
        <v>1131</v>
      </c>
      <c r="BS6" s="104"/>
      <c r="BT6" s="104" t="s">
        <v>1132</v>
      </c>
      <c r="BU6" s="104"/>
      <c r="BV6" s="104" t="s">
        <v>1133</v>
      </c>
      <c r="BW6" s="104"/>
      <c r="BX6" s="104" t="s">
        <v>1134</v>
      </c>
      <c r="BY6" s="104"/>
      <c r="BZ6" s="104" t="s">
        <v>1135</v>
      </c>
      <c r="CA6" s="104"/>
      <c r="CB6" s="104" t="s">
        <v>1136</v>
      </c>
      <c r="CC6" s="104"/>
      <c r="CD6" s="104" t="s">
        <v>1137</v>
      </c>
      <c r="CE6" s="104"/>
      <c r="CF6" s="104" t="s">
        <v>1138</v>
      </c>
      <c r="CG6" s="104"/>
      <c r="CH6" s="104" t="s">
        <v>1139</v>
      </c>
      <c r="CI6" s="104"/>
      <c r="CJ6" s="104" t="s">
        <v>1140</v>
      </c>
      <c r="CK6" s="104"/>
      <c r="CL6" s="104" t="s">
        <v>1141</v>
      </c>
      <c r="CM6" s="104"/>
      <c r="CN6" s="104" t="s">
        <v>1142</v>
      </c>
      <c r="CO6" s="104"/>
    </row>
    <row r="7" s="102" customFormat="1" ht="15" spans="1:93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 t="s">
        <v>1144</v>
      </c>
      <c r="Z7" s="104" t="s">
        <v>1145</v>
      </c>
      <c r="AA7" s="104" t="s">
        <v>1144</v>
      </c>
      <c r="AB7" s="104" t="s">
        <v>1145</v>
      </c>
      <c r="AC7" s="104" t="s">
        <v>1144</v>
      </c>
      <c r="AD7" s="104" t="s">
        <v>1145</v>
      </c>
      <c r="AE7" s="104" t="s">
        <v>1144</v>
      </c>
      <c r="AF7" s="104" t="s">
        <v>1145</v>
      </c>
      <c r="AG7" s="104" t="s">
        <v>1144</v>
      </c>
      <c r="AH7" s="104" t="s">
        <v>1145</v>
      </c>
      <c r="AI7" s="104" t="s">
        <v>1144</v>
      </c>
      <c r="AJ7" s="104" t="s">
        <v>1145</v>
      </c>
      <c r="AK7" s="104" t="s">
        <v>1144</v>
      </c>
      <c r="AL7" s="104" t="s">
        <v>1145</v>
      </c>
      <c r="AM7" s="104" t="s">
        <v>1144</v>
      </c>
      <c r="AN7" s="104" t="s">
        <v>1145</v>
      </c>
      <c r="AO7" s="104" t="s">
        <v>1144</v>
      </c>
      <c r="AP7" s="104" t="s">
        <v>1145</v>
      </c>
      <c r="AQ7" s="104" t="s">
        <v>1144</v>
      </c>
      <c r="AR7" s="104" t="s">
        <v>1145</v>
      </c>
      <c r="AS7" s="104" t="s">
        <v>1144</v>
      </c>
      <c r="AT7" s="104" t="s">
        <v>1145</v>
      </c>
      <c r="AU7" s="104" t="s">
        <v>1144</v>
      </c>
      <c r="AV7" s="104" t="s">
        <v>1145</v>
      </c>
      <c r="AW7" s="104" t="s">
        <v>1144</v>
      </c>
      <c r="AX7" s="104" t="s">
        <v>1145</v>
      </c>
      <c r="AY7" s="104" t="s">
        <v>1144</v>
      </c>
      <c r="AZ7" s="104" t="s">
        <v>1145</v>
      </c>
      <c r="BA7" s="104" t="s">
        <v>1144</v>
      </c>
      <c r="BB7" s="104" t="s">
        <v>1145</v>
      </c>
      <c r="BC7" s="104" t="s">
        <v>1144</v>
      </c>
      <c r="BD7" s="104" t="s">
        <v>1145</v>
      </c>
      <c r="BE7" s="104" t="s">
        <v>1144</v>
      </c>
      <c r="BF7" s="104" t="s">
        <v>1145</v>
      </c>
      <c r="BG7" s="104"/>
      <c r="BH7" s="104" t="s">
        <v>1144</v>
      </c>
      <c r="BI7" s="104" t="s">
        <v>1145</v>
      </c>
      <c r="BJ7" s="104" t="s">
        <v>1144</v>
      </c>
      <c r="BK7" s="104" t="s">
        <v>1145</v>
      </c>
      <c r="BL7" s="104" t="s">
        <v>1144</v>
      </c>
      <c r="BM7" s="104" t="s">
        <v>1145</v>
      </c>
      <c r="BN7" s="104" t="s">
        <v>1144</v>
      </c>
      <c r="BO7" s="104" t="s">
        <v>1145</v>
      </c>
      <c r="BP7" s="104" t="s">
        <v>1144</v>
      </c>
      <c r="BQ7" s="104" t="s">
        <v>1145</v>
      </c>
      <c r="BR7" s="104" t="s">
        <v>1144</v>
      </c>
      <c r="BS7" s="104" t="s">
        <v>1145</v>
      </c>
      <c r="BT7" s="104" t="s">
        <v>1144</v>
      </c>
      <c r="BU7" s="104" t="s">
        <v>1145</v>
      </c>
      <c r="BV7" s="104" t="s">
        <v>1144</v>
      </c>
      <c r="BW7" s="104" t="s">
        <v>1145</v>
      </c>
      <c r="BX7" s="104" t="s">
        <v>1144</v>
      </c>
      <c r="BY7" s="104" t="s">
        <v>1145</v>
      </c>
      <c r="BZ7" s="104" t="s">
        <v>1144</v>
      </c>
      <c r="CA7" s="104" t="s">
        <v>1145</v>
      </c>
      <c r="CB7" s="104" t="s">
        <v>1144</v>
      </c>
      <c r="CC7" s="104" t="s">
        <v>1145</v>
      </c>
      <c r="CD7" s="104" t="s">
        <v>1144</v>
      </c>
      <c r="CE7" s="104" t="s">
        <v>1145</v>
      </c>
      <c r="CF7" s="104" t="s">
        <v>1144</v>
      </c>
      <c r="CG7" s="104" t="s">
        <v>1145</v>
      </c>
      <c r="CH7" s="104" t="s">
        <v>1144</v>
      </c>
      <c r="CI7" s="104" t="s">
        <v>1145</v>
      </c>
      <c r="CJ7" s="104" t="s">
        <v>1144</v>
      </c>
      <c r="CK7" s="104" t="s">
        <v>1145</v>
      </c>
      <c r="CL7" s="104" t="s">
        <v>1144</v>
      </c>
      <c r="CM7" s="104" t="s">
        <v>1145</v>
      </c>
      <c r="CN7" s="104" t="s">
        <v>1144</v>
      </c>
      <c r="CO7" s="104" t="s">
        <v>1145</v>
      </c>
    </row>
    <row r="8" s="102" customFormat="1" ht="15" spans="1:93">
      <c r="A8" s="104">
        <v>1</v>
      </c>
      <c r="B8" s="104" t="s">
        <v>1146</v>
      </c>
      <c r="C8" s="104" t="s">
        <v>1147</v>
      </c>
      <c r="D8" s="104" t="s">
        <v>1148</v>
      </c>
      <c r="E8" s="104">
        <v>8828</v>
      </c>
      <c r="F8" s="104">
        <f>G8+Y8+BH8</f>
        <v>1608</v>
      </c>
      <c r="G8" s="104">
        <v>1440</v>
      </c>
      <c r="H8" s="104">
        <v>0</v>
      </c>
      <c r="I8" s="104">
        <v>0</v>
      </c>
      <c r="J8" s="104">
        <v>0</v>
      </c>
      <c r="K8" s="104">
        <v>0</v>
      </c>
      <c r="L8" s="104">
        <v>215</v>
      </c>
      <c r="M8" s="104">
        <v>1003</v>
      </c>
      <c r="N8" s="104">
        <v>16</v>
      </c>
      <c r="O8" s="104">
        <v>0</v>
      </c>
      <c r="P8" s="104">
        <v>1</v>
      </c>
      <c r="Q8" s="104">
        <v>0</v>
      </c>
      <c r="R8" s="104">
        <v>0</v>
      </c>
      <c r="S8" s="104">
        <v>0</v>
      </c>
      <c r="T8" s="104">
        <v>0</v>
      </c>
      <c r="U8" s="104">
        <v>2</v>
      </c>
      <c r="V8" s="104">
        <v>203</v>
      </c>
      <c r="W8" s="104">
        <v>0</v>
      </c>
      <c r="X8" s="104">
        <v>7347</v>
      </c>
      <c r="Y8" s="104">
        <v>127</v>
      </c>
      <c r="Z8" s="104">
        <v>7220</v>
      </c>
      <c r="AA8" s="104">
        <v>0</v>
      </c>
      <c r="AB8" s="104">
        <v>0</v>
      </c>
      <c r="AC8" s="104">
        <v>7</v>
      </c>
      <c r="AD8" s="104">
        <v>833</v>
      </c>
      <c r="AE8" s="104">
        <v>0</v>
      </c>
      <c r="AF8" s="104">
        <v>0</v>
      </c>
      <c r="AG8" s="104">
        <v>0</v>
      </c>
      <c r="AH8" s="104">
        <v>0</v>
      </c>
      <c r="AI8" s="104">
        <v>4</v>
      </c>
      <c r="AJ8" s="104">
        <v>101</v>
      </c>
      <c r="AK8" s="104">
        <v>116</v>
      </c>
      <c r="AL8" s="104">
        <v>6280</v>
      </c>
      <c r="AM8" s="104">
        <v>0</v>
      </c>
      <c r="AN8" s="104">
        <v>6</v>
      </c>
      <c r="AO8" s="104">
        <v>0</v>
      </c>
      <c r="AP8" s="104">
        <v>0</v>
      </c>
      <c r="AQ8" s="104">
        <v>0</v>
      </c>
      <c r="AR8" s="104">
        <v>0</v>
      </c>
      <c r="AS8" s="104">
        <v>0</v>
      </c>
      <c r="AT8" s="104">
        <v>0</v>
      </c>
      <c r="AU8" s="104">
        <v>0</v>
      </c>
      <c r="AV8" s="104">
        <v>0</v>
      </c>
      <c r="AW8" s="104">
        <v>0</v>
      </c>
      <c r="AX8" s="104">
        <v>0</v>
      </c>
      <c r="AY8" s="104">
        <v>0</v>
      </c>
      <c r="AZ8" s="104">
        <v>0</v>
      </c>
      <c r="BA8" s="104">
        <v>0</v>
      </c>
      <c r="BB8" s="104">
        <v>0</v>
      </c>
      <c r="BC8" s="104">
        <v>0</v>
      </c>
      <c r="BD8" s="104">
        <v>0</v>
      </c>
      <c r="BE8" s="104">
        <v>0</v>
      </c>
      <c r="BF8" s="104">
        <v>0</v>
      </c>
      <c r="BG8" s="104">
        <v>41</v>
      </c>
      <c r="BH8" s="104">
        <v>41</v>
      </c>
      <c r="BI8" s="104">
        <v>894</v>
      </c>
      <c r="BJ8" s="104">
        <v>0</v>
      </c>
      <c r="BK8" s="104">
        <v>0</v>
      </c>
      <c r="BL8" s="104">
        <v>0</v>
      </c>
      <c r="BM8" s="104">
        <v>0</v>
      </c>
      <c r="BN8" s="104">
        <v>0</v>
      </c>
      <c r="BO8" s="104">
        <v>0</v>
      </c>
      <c r="BP8" s="104">
        <v>0</v>
      </c>
      <c r="BQ8" s="104">
        <v>0</v>
      </c>
      <c r="BR8" s="104">
        <v>0</v>
      </c>
      <c r="BS8" s="104">
        <v>0</v>
      </c>
      <c r="BT8" s="104">
        <v>41</v>
      </c>
      <c r="BU8" s="104">
        <v>894</v>
      </c>
      <c r="BV8" s="104">
        <v>0</v>
      </c>
      <c r="BW8" s="104">
        <v>0</v>
      </c>
      <c r="BX8" s="104">
        <v>0</v>
      </c>
      <c r="BY8" s="104">
        <v>0</v>
      </c>
      <c r="BZ8" s="104">
        <v>0</v>
      </c>
      <c r="CA8" s="104">
        <v>0</v>
      </c>
      <c r="CB8" s="104">
        <v>0</v>
      </c>
      <c r="CC8" s="104">
        <v>0</v>
      </c>
      <c r="CD8" s="104">
        <v>0</v>
      </c>
      <c r="CE8" s="104">
        <v>0</v>
      </c>
      <c r="CF8" s="104">
        <v>0</v>
      </c>
      <c r="CG8" s="104">
        <v>0</v>
      </c>
      <c r="CH8" s="104">
        <v>0</v>
      </c>
      <c r="CI8" s="104">
        <v>0</v>
      </c>
      <c r="CJ8" s="104">
        <v>0</v>
      </c>
      <c r="CK8" s="104">
        <v>0</v>
      </c>
      <c r="CL8" s="104">
        <v>0</v>
      </c>
      <c r="CM8" s="104">
        <v>0</v>
      </c>
      <c r="CN8" s="104">
        <v>0</v>
      </c>
      <c r="CO8" s="104">
        <v>0</v>
      </c>
    </row>
    <row r="9" s="102" customFormat="1" ht="15" spans="1:93">
      <c r="A9" s="104">
        <v>2</v>
      </c>
      <c r="B9" s="104" t="s">
        <v>1146</v>
      </c>
      <c r="C9" s="104" t="s">
        <v>1147</v>
      </c>
      <c r="D9" s="104" t="s">
        <v>1149</v>
      </c>
      <c r="E9" s="104">
        <v>17122</v>
      </c>
      <c r="F9" s="104">
        <f t="shared" ref="F9:F72" si="0">G9+Y9+BH9</f>
        <v>4607</v>
      </c>
      <c r="G9" s="104">
        <v>4348</v>
      </c>
      <c r="H9" s="104">
        <v>0</v>
      </c>
      <c r="I9" s="104">
        <v>0</v>
      </c>
      <c r="J9" s="104">
        <v>0</v>
      </c>
      <c r="K9" s="104">
        <v>0</v>
      </c>
      <c r="L9" s="104">
        <v>372</v>
      </c>
      <c r="M9" s="104">
        <v>3089</v>
      </c>
      <c r="N9" s="104">
        <v>20</v>
      </c>
      <c r="O9" s="104">
        <v>0</v>
      </c>
      <c r="P9" s="104">
        <v>0</v>
      </c>
      <c r="Q9" s="104">
        <v>0</v>
      </c>
      <c r="R9" s="104">
        <v>0</v>
      </c>
      <c r="S9" s="104">
        <v>0</v>
      </c>
      <c r="T9" s="104">
        <v>0</v>
      </c>
      <c r="U9" s="104">
        <v>10</v>
      </c>
      <c r="V9" s="104">
        <v>857</v>
      </c>
      <c r="W9" s="104">
        <v>0</v>
      </c>
      <c r="X9" s="104">
        <v>12714</v>
      </c>
      <c r="Y9" s="104">
        <v>199</v>
      </c>
      <c r="Z9" s="104">
        <v>12515</v>
      </c>
      <c r="AA9" s="104">
        <v>0</v>
      </c>
      <c r="AB9" s="104">
        <v>0</v>
      </c>
      <c r="AC9" s="104">
        <v>2</v>
      </c>
      <c r="AD9" s="104">
        <v>238</v>
      </c>
      <c r="AE9" s="104">
        <v>0</v>
      </c>
      <c r="AF9" s="104">
        <v>0</v>
      </c>
      <c r="AG9" s="104">
        <v>0</v>
      </c>
      <c r="AH9" s="104">
        <v>0</v>
      </c>
      <c r="AI9" s="104">
        <v>17</v>
      </c>
      <c r="AJ9" s="104">
        <v>568</v>
      </c>
      <c r="AK9" s="104">
        <v>180</v>
      </c>
      <c r="AL9" s="104">
        <v>11706</v>
      </c>
      <c r="AM9" s="104">
        <v>0</v>
      </c>
      <c r="AN9" s="104">
        <v>3</v>
      </c>
      <c r="AO9" s="104">
        <v>0</v>
      </c>
      <c r="AP9" s="104">
        <v>0</v>
      </c>
      <c r="AQ9" s="104">
        <v>0</v>
      </c>
      <c r="AR9" s="104">
        <v>0</v>
      </c>
      <c r="AS9" s="104">
        <v>0</v>
      </c>
      <c r="AT9" s="104">
        <v>0</v>
      </c>
      <c r="AU9" s="104">
        <v>0</v>
      </c>
      <c r="AV9" s="104">
        <v>0</v>
      </c>
      <c r="AW9" s="104">
        <v>0</v>
      </c>
      <c r="AX9" s="104">
        <v>0</v>
      </c>
      <c r="AY9" s="104">
        <v>0</v>
      </c>
      <c r="AZ9" s="104">
        <v>0</v>
      </c>
      <c r="BA9" s="104">
        <v>0</v>
      </c>
      <c r="BB9" s="104">
        <v>0</v>
      </c>
      <c r="BC9" s="104">
        <v>0</v>
      </c>
      <c r="BD9" s="104">
        <v>0</v>
      </c>
      <c r="BE9" s="104">
        <v>0</v>
      </c>
      <c r="BF9" s="104">
        <v>0</v>
      </c>
      <c r="BG9" s="104">
        <v>60</v>
      </c>
      <c r="BH9" s="104">
        <v>60</v>
      </c>
      <c r="BI9" s="104">
        <v>2471</v>
      </c>
      <c r="BJ9" s="104">
        <v>0</v>
      </c>
      <c r="BK9" s="104">
        <v>0</v>
      </c>
      <c r="BL9" s="104">
        <v>0</v>
      </c>
      <c r="BM9" s="104">
        <v>0</v>
      </c>
      <c r="BN9" s="104">
        <v>0</v>
      </c>
      <c r="BO9" s="104">
        <v>0</v>
      </c>
      <c r="BP9" s="104">
        <v>0</v>
      </c>
      <c r="BQ9" s="104">
        <v>0</v>
      </c>
      <c r="BR9" s="104">
        <v>0</v>
      </c>
      <c r="BS9" s="104">
        <v>0</v>
      </c>
      <c r="BT9" s="104">
        <v>55</v>
      </c>
      <c r="BU9" s="104">
        <v>2431</v>
      </c>
      <c r="BV9" s="104">
        <v>0</v>
      </c>
      <c r="BW9" s="104">
        <v>0</v>
      </c>
      <c r="BX9" s="104">
        <v>5</v>
      </c>
      <c r="BY9" s="104">
        <v>40</v>
      </c>
      <c r="BZ9" s="104">
        <v>0</v>
      </c>
      <c r="CA9" s="104">
        <v>0</v>
      </c>
      <c r="CB9" s="104">
        <v>0</v>
      </c>
      <c r="CC9" s="104">
        <v>0</v>
      </c>
      <c r="CD9" s="104">
        <v>0</v>
      </c>
      <c r="CE9" s="104">
        <v>0</v>
      </c>
      <c r="CF9" s="104">
        <v>0</v>
      </c>
      <c r="CG9" s="104">
        <v>0</v>
      </c>
      <c r="CH9" s="104">
        <v>0</v>
      </c>
      <c r="CI9" s="104">
        <v>0</v>
      </c>
      <c r="CJ9" s="104">
        <v>0</v>
      </c>
      <c r="CK9" s="104">
        <v>0</v>
      </c>
      <c r="CL9" s="104">
        <v>0</v>
      </c>
      <c r="CM9" s="104">
        <v>0</v>
      </c>
      <c r="CN9" s="104">
        <v>0</v>
      </c>
      <c r="CO9" s="104">
        <v>0</v>
      </c>
    </row>
    <row r="10" s="102" customFormat="1" ht="15" spans="1:93">
      <c r="A10" s="104">
        <v>3</v>
      </c>
      <c r="B10" s="104" t="s">
        <v>1146</v>
      </c>
      <c r="C10" s="104" t="s">
        <v>1147</v>
      </c>
      <c r="D10" s="104" t="s">
        <v>1150</v>
      </c>
      <c r="E10" s="104">
        <v>18519</v>
      </c>
      <c r="F10" s="104">
        <f t="shared" si="0"/>
        <v>3701</v>
      </c>
      <c r="G10" s="104">
        <v>3414</v>
      </c>
      <c r="H10" s="104">
        <v>0</v>
      </c>
      <c r="I10" s="104">
        <v>0</v>
      </c>
      <c r="J10" s="104">
        <v>0</v>
      </c>
      <c r="K10" s="104">
        <v>0</v>
      </c>
      <c r="L10" s="104">
        <v>268</v>
      </c>
      <c r="M10" s="104">
        <v>2581</v>
      </c>
      <c r="N10" s="104">
        <v>7</v>
      </c>
      <c r="O10" s="104">
        <v>0</v>
      </c>
      <c r="P10" s="104">
        <v>2</v>
      </c>
      <c r="Q10" s="104">
        <v>0</v>
      </c>
      <c r="R10" s="104">
        <v>0</v>
      </c>
      <c r="S10" s="104">
        <v>0</v>
      </c>
      <c r="T10" s="104">
        <v>0</v>
      </c>
      <c r="U10" s="104">
        <v>6</v>
      </c>
      <c r="V10" s="104">
        <v>550</v>
      </c>
      <c r="W10" s="104">
        <v>0</v>
      </c>
      <c r="X10" s="104">
        <v>15043</v>
      </c>
      <c r="Y10" s="104">
        <v>225</v>
      </c>
      <c r="Z10" s="104">
        <v>14818</v>
      </c>
      <c r="AA10" s="104">
        <v>0</v>
      </c>
      <c r="AB10" s="104">
        <v>0</v>
      </c>
      <c r="AC10" s="104">
        <v>1</v>
      </c>
      <c r="AD10" s="104">
        <v>119</v>
      </c>
      <c r="AE10" s="104">
        <v>0</v>
      </c>
      <c r="AF10" s="104">
        <v>0</v>
      </c>
      <c r="AG10" s="104">
        <v>0</v>
      </c>
      <c r="AH10" s="104">
        <v>0</v>
      </c>
      <c r="AI10" s="104">
        <v>15</v>
      </c>
      <c r="AJ10" s="104">
        <v>476</v>
      </c>
      <c r="AK10" s="104">
        <v>209</v>
      </c>
      <c r="AL10" s="104">
        <v>14219</v>
      </c>
      <c r="AM10" s="104">
        <v>0</v>
      </c>
      <c r="AN10" s="104">
        <v>4</v>
      </c>
      <c r="AO10" s="104">
        <v>0</v>
      </c>
      <c r="AP10" s="104">
        <v>0</v>
      </c>
      <c r="AQ10" s="104">
        <v>0</v>
      </c>
      <c r="AR10" s="104">
        <v>0</v>
      </c>
      <c r="AS10" s="104">
        <v>0</v>
      </c>
      <c r="AT10" s="104">
        <v>0</v>
      </c>
      <c r="AU10" s="104">
        <v>0</v>
      </c>
      <c r="AV10" s="104">
        <v>0</v>
      </c>
      <c r="AW10" s="104">
        <v>0</v>
      </c>
      <c r="AX10" s="104">
        <v>0</v>
      </c>
      <c r="AY10" s="104">
        <v>0</v>
      </c>
      <c r="AZ10" s="104">
        <v>0</v>
      </c>
      <c r="BA10" s="104">
        <v>0</v>
      </c>
      <c r="BB10" s="104">
        <v>0</v>
      </c>
      <c r="BC10" s="104">
        <v>0</v>
      </c>
      <c r="BD10" s="104">
        <v>0</v>
      </c>
      <c r="BE10" s="104">
        <v>0</v>
      </c>
      <c r="BF10" s="104">
        <v>0</v>
      </c>
      <c r="BG10" s="104">
        <v>62</v>
      </c>
      <c r="BH10" s="104">
        <v>62</v>
      </c>
      <c r="BI10" s="104">
        <v>1392</v>
      </c>
      <c r="BJ10" s="104">
        <v>0</v>
      </c>
      <c r="BK10" s="104">
        <v>0</v>
      </c>
      <c r="BL10" s="104">
        <v>0</v>
      </c>
      <c r="BM10" s="104">
        <v>0</v>
      </c>
      <c r="BN10" s="104">
        <v>0</v>
      </c>
      <c r="BO10" s="104">
        <v>0</v>
      </c>
      <c r="BP10" s="104">
        <v>0</v>
      </c>
      <c r="BQ10" s="104">
        <v>0</v>
      </c>
      <c r="BR10" s="104">
        <v>0</v>
      </c>
      <c r="BS10" s="104">
        <v>0</v>
      </c>
      <c r="BT10" s="104">
        <v>51</v>
      </c>
      <c r="BU10" s="104">
        <v>1299</v>
      </c>
      <c r="BV10" s="104">
        <v>0</v>
      </c>
      <c r="BW10" s="104">
        <v>0</v>
      </c>
      <c r="BX10" s="104">
        <v>11</v>
      </c>
      <c r="BY10" s="104">
        <v>93</v>
      </c>
      <c r="BZ10" s="104">
        <v>0</v>
      </c>
      <c r="CA10" s="104">
        <v>0</v>
      </c>
      <c r="CB10" s="104">
        <v>0</v>
      </c>
      <c r="CC10" s="104">
        <v>0</v>
      </c>
      <c r="CD10" s="104">
        <v>0</v>
      </c>
      <c r="CE10" s="104">
        <v>0</v>
      </c>
      <c r="CF10" s="104">
        <v>0</v>
      </c>
      <c r="CG10" s="104">
        <v>0</v>
      </c>
      <c r="CH10" s="104">
        <v>0</v>
      </c>
      <c r="CI10" s="104">
        <v>0</v>
      </c>
      <c r="CJ10" s="104">
        <v>0</v>
      </c>
      <c r="CK10" s="104">
        <v>0</v>
      </c>
      <c r="CL10" s="104">
        <v>0</v>
      </c>
      <c r="CM10" s="104">
        <v>0</v>
      </c>
      <c r="CN10" s="104">
        <v>0</v>
      </c>
      <c r="CO10" s="104">
        <v>0</v>
      </c>
    </row>
    <row r="11" s="102" customFormat="1" ht="15" spans="1:93">
      <c r="A11" s="104">
        <v>4</v>
      </c>
      <c r="B11" s="104" t="s">
        <v>1146</v>
      </c>
      <c r="C11" s="104" t="s">
        <v>1147</v>
      </c>
      <c r="D11" s="104" t="s">
        <v>1151</v>
      </c>
      <c r="E11" s="104">
        <v>17442</v>
      </c>
      <c r="F11" s="104">
        <f t="shared" si="0"/>
        <v>4838</v>
      </c>
      <c r="G11" s="104">
        <v>4644</v>
      </c>
      <c r="H11" s="104">
        <v>0</v>
      </c>
      <c r="I11" s="104">
        <v>0</v>
      </c>
      <c r="J11" s="104">
        <v>0</v>
      </c>
      <c r="K11" s="104">
        <v>0</v>
      </c>
      <c r="L11" s="104">
        <v>1477</v>
      </c>
      <c r="M11" s="104">
        <v>2596</v>
      </c>
      <c r="N11" s="104">
        <v>7</v>
      </c>
      <c r="O11" s="104">
        <v>0</v>
      </c>
      <c r="P11" s="104">
        <v>1</v>
      </c>
      <c r="Q11" s="104">
        <v>0</v>
      </c>
      <c r="R11" s="104">
        <v>0</v>
      </c>
      <c r="S11" s="104">
        <v>0</v>
      </c>
      <c r="T11" s="104">
        <v>0</v>
      </c>
      <c r="U11" s="104">
        <v>6</v>
      </c>
      <c r="V11" s="104">
        <v>557</v>
      </c>
      <c r="W11" s="104">
        <v>0</v>
      </c>
      <c r="X11" s="104">
        <v>12772</v>
      </c>
      <c r="Y11" s="104">
        <v>168</v>
      </c>
      <c r="Z11" s="104">
        <v>12604</v>
      </c>
      <c r="AA11" s="104">
        <v>0</v>
      </c>
      <c r="AB11" s="104">
        <v>0</v>
      </c>
      <c r="AC11" s="104">
        <v>0</v>
      </c>
      <c r="AD11" s="104">
        <v>0</v>
      </c>
      <c r="AE11" s="104">
        <v>0</v>
      </c>
      <c r="AF11" s="104">
        <v>0</v>
      </c>
      <c r="AG11" s="104">
        <v>0</v>
      </c>
      <c r="AH11" s="104">
        <v>0</v>
      </c>
      <c r="AI11" s="104">
        <v>16</v>
      </c>
      <c r="AJ11" s="104">
        <v>397</v>
      </c>
      <c r="AK11" s="104">
        <v>152</v>
      </c>
      <c r="AL11" s="104">
        <v>12203</v>
      </c>
      <c r="AM11" s="104">
        <v>0</v>
      </c>
      <c r="AN11" s="104">
        <v>4</v>
      </c>
      <c r="AO11" s="104">
        <v>0</v>
      </c>
      <c r="AP11" s="104">
        <v>0</v>
      </c>
      <c r="AQ11" s="104">
        <v>0</v>
      </c>
      <c r="AR11" s="104">
        <v>0</v>
      </c>
      <c r="AS11" s="104">
        <v>0</v>
      </c>
      <c r="AT11" s="104">
        <v>0</v>
      </c>
      <c r="AU11" s="104">
        <v>0</v>
      </c>
      <c r="AV11" s="104">
        <v>0</v>
      </c>
      <c r="AW11" s="104">
        <v>0</v>
      </c>
      <c r="AX11" s="104">
        <v>0</v>
      </c>
      <c r="AY11" s="104">
        <v>0</v>
      </c>
      <c r="AZ11" s="104">
        <v>0</v>
      </c>
      <c r="BA11" s="104">
        <v>0</v>
      </c>
      <c r="BB11" s="104">
        <v>0</v>
      </c>
      <c r="BC11" s="104">
        <v>0</v>
      </c>
      <c r="BD11" s="104">
        <v>0</v>
      </c>
      <c r="BE11" s="104">
        <v>0</v>
      </c>
      <c r="BF11" s="104">
        <v>0</v>
      </c>
      <c r="BG11" s="104">
        <v>26</v>
      </c>
      <c r="BH11" s="104">
        <v>26</v>
      </c>
      <c r="BI11" s="104">
        <v>926</v>
      </c>
      <c r="BJ11" s="104">
        <v>0</v>
      </c>
      <c r="BK11" s="104">
        <v>0</v>
      </c>
      <c r="BL11" s="104">
        <v>0</v>
      </c>
      <c r="BM11" s="104">
        <v>0</v>
      </c>
      <c r="BN11" s="104">
        <v>0</v>
      </c>
      <c r="BO11" s="104">
        <v>0</v>
      </c>
      <c r="BP11" s="104">
        <v>0</v>
      </c>
      <c r="BQ11" s="104">
        <v>0</v>
      </c>
      <c r="BR11" s="104">
        <v>1</v>
      </c>
      <c r="BS11" s="104">
        <v>1</v>
      </c>
      <c r="BT11" s="104">
        <v>25</v>
      </c>
      <c r="BU11" s="104">
        <v>925</v>
      </c>
      <c r="BV11" s="104">
        <v>0</v>
      </c>
      <c r="BW11" s="104">
        <v>0</v>
      </c>
      <c r="BX11" s="104">
        <v>0</v>
      </c>
      <c r="BY11" s="104">
        <v>0</v>
      </c>
      <c r="BZ11" s="104">
        <v>0</v>
      </c>
      <c r="CA11" s="104">
        <v>0</v>
      </c>
      <c r="CB11" s="104">
        <v>0</v>
      </c>
      <c r="CC11" s="104">
        <v>0</v>
      </c>
      <c r="CD11" s="104">
        <v>0</v>
      </c>
      <c r="CE11" s="104">
        <v>0</v>
      </c>
      <c r="CF11" s="104">
        <v>0</v>
      </c>
      <c r="CG11" s="104">
        <v>0</v>
      </c>
      <c r="CH11" s="104">
        <v>0</v>
      </c>
      <c r="CI11" s="104">
        <v>0</v>
      </c>
      <c r="CJ11" s="104">
        <v>0</v>
      </c>
      <c r="CK11" s="104">
        <v>0</v>
      </c>
      <c r="CL11" s="104">
        <v>0</v>
      </c>
      <c r="CM11" s="104">
        <v>0</v>
      </c>
      <c r="CN11" s="104">
        <v>0</v>
      </c>
      <c r="CO11" s="104">
        <v>0</v>
      </c>
    </row>
    <row r="12" s="102" customFormat="1" ht="15" spans="1:93">
      <c r="A12" s="104">
        <v>5</v>
      </c>
      <c r="B12" s="104" t="s">
        <v>1146</v>
      </c>
      <c r="C12" s="104" t="s">
        <v>1147</v>
      </c>
      <c r="D12" s="104" t="s">
        <v>1152</v>
      </c>
      <c r="E12" s="104">
        <v>21881</v>
      </c>
      <c r="F12" s="104">
        <f t="shared" si="0"/>
        <v>5326</v>
      </c>
      <c r="G12" s="104">
        <v>4995</v>
      </c>
      <c r="H12" s="104">
        <v>0</v>
      </c>
      <c r="I12" s="104">
        <v>0</v>
      </c>
      <c r="J12" s="104">
        <v>0</v>
      </c>
      <c r="K12" s="104">
        <v>0</v>
      </c>
      <c r="L12" s="104">
        <v>842</v>
      </c>
      <c r="M12" s="104">
        <v>3312</v>
      </c>
      <c r="N12" s="104">
        <v>21</v>
      </c>
      <c r="O12" s="104">
        <v>0</v>
      </c>
      <c r="P12" s="104">
        <v>1</v>
      </c>
      <c r="Q12" s="104">
        <v>0</v>
      </c>
      <c r="R12" s="104">
        <v>0</v>
      </c>
      <c r="S12" s="104">
        <v>0</v>
      </c>
      <c r="T12" s="104">
        <v>0</v>
      </c>
      <c r="U12" s="104">
        <v>8</v>
      </c>
      <c r="V12" s="104">
        <v>811</v>
      </c>
      <c r="W12" s="104">
        <v>0</v>
      </c>
      <c r="X12" s="104">
        <v>16818</v>
      </c>
      <c r="Y12" s="104">
        <v>263</v>
      </c>
      <c r="Z12" s="104">
        <v>16555</v>
      </c>
      <c r="AA12" s="104">
        <v>0</v>
      </c>
      <c r="AB12" s="104">
        <v>0</v>
      </c>
      <c r="AC12" s="104">
        <v>11</v>
      </c>
      <c r="AD12" s="104">
        <v>1309</v>
      </c>
      <c r="AE12" s="104">
        <v>0</v>
      </c>
      <c r="AF12" s="104">
        <v>0</v>
      </c>
      <c r="AG12" s="104">
        <v>0</v>
      </c>
      <c r="AH12" s="104">
        <v>0</v>
      </c>
      <c r="AI12" s="104">
        <v>86</v>
      </c>
      <c r="AJ12" s="104">
        <v>2546</v>
      </c>
      <c r="AK12" s="104">
        <v>166</v>
      </c>
      <c r="AL12" s="104">
        <v>12694</v>
      </c>
      <c r="AM12" s="104">
        <v>0</v>
      </c>
      <c r="AN12" s="104">
        <v>6</v>
      </c>
      <c r="AO12" s="104">
        <v>0</v>
      </c>
      <c r="AP12" s="104">
        <v>0</v>
      </c>
      <c r="AQ12" s="104">
        <v>0</v>
      </c>
      <c r="AR12" s="104">
        <v>0</v>
      </c>
      <c r="AS12" s="104">
        <v>0</v>
      </c>
      <c r="AT12" s="104">
        <v>0</v>
      </c>
      <c r="AU12" s="104">
        <v>0</v>
      </c>
      <c r="AV12" s="104">
        <v>0</v>
      </c>
      <c r="AW12" s="104">
        <v>0</v>
      </c>
      <c r="AX12" s="104">
        <v>0</v>
      </c>
      <c r="AY12" s="104">
        <v>0</v>
      </c>
      <c r="AZ12" s="104">
        <v>0</v>
      </c>
      <c r="BA12" s="104">
        <v>0</v>
      </c>
      <c r="BB12" s="104">
        <v>0</v>
      </c>
      <c r="BC12" s="104">
        <v>0</v>
      </c>
      <c r="BD12" s="104">
        <v>0</v>
      </c>
      <c r="BE12" s="104">
        <v>0</v>
      </c>
      <c r="BF12" s="104">
        <v>0</v>
      </c>
      <c r="BG12" s="104">
        <v>68</v>
      </c>
      <c r="BH12" s="104">
        <v>68</v>
      </c>
      <c r="BI12" s="104">
        <v>4097</v>
      </c>
      <c r="BJ12" s="104">
        <v>0</v>
      </c>
      <c r="BK12" s="104">
        <v>0</v>
      </c>
      <c r="BL12" s="104">
        <v>0</v>
      </c>
      <c r="BM12" s="104">
        <v>0</v>
      </c>
      <c r="BN12" s="104">
        <v>0</v>
      </c>
      <c r="BO12" s="104">
        <v>0</v>
      </c>
      <c r="BP12" s="104">
        <v>0</v>
      </c>
      <c r="BQ12" s="104">
        <v>0</v>
      </c>
      <c r="BR12" s="104">
        <v>0</v>
      </c>
      <c r="BS12" s="104">
        <v>0</v>
      </c>
      <c r="BT12" s="104">
        <v>68</v>
      </c>
      <c r="BU12" s="104">
        <v>4097</v>
      </c>
      <c r="BV12" s="104">
        <v>0</v>
      </c>
      <c r="BW12" s="104">
        <v>0</v>
      </c>
      <c r="BX12" s="104">
        <v>0</v>
      </c>
      <c r="BY12" s="104">
        <v>0</v>
      </c>
      <c r="BZ12" s="104">
        <v>0</v>
      </c>
      <c r="CA12" s="104">
        <v>0</v>
      </c>
      <c r="CB12" s="104">
        <v>0</v>
      </c>
      <c r="CC12" s="104">
        <v>0</v>
      </c>
      <c r="CD12" s="104">
        <v>0</v>
      </c>
      <c r="CE12" s="104">
        <v>0</v>
      </c>
      <c r="CF12" s="104">
        <v>0</v>
      </c>
      <c r="CG12" s="104">
        <v>0</v>
      </c>
      <c r="CH12" s="104">
        <v>0</v>
      </c>
      <c r="CI12" s="104">
        <v>0</v>
      </c>
      <c r="CJ12" s="104">
        <v>0</v>
      </c>
      <c r="CK12" s="104">
        <v>0</v>
      </c>
      <c r="CL12" s="104">
        <v>0</v>
      </c>
      <c r="CM12" s="104">
        <v>0</v>
      </c>
      <c r="CN12" s="104">
        <v>0</v>
      </c>
      <c r="CO12" s="104">
        <v>0</v>
      </c>
    </row>
    <row r="13" s="102" customFormat="1" ht="15" spans="1:93">
      <c r="A13" s="104">
        <v>6</v>
      </c>
      <c r="B13" s="104" t="s">
        <v>1146</v>
      </c>
      <c r="C13" s="104" t="s">
        <v>1147</v>
      </c>
      <c r="D13" s="104" t="s">
        <v>1153</v>
      </c>
      <c r="E13" s="104">
        <v>12631</v>
      </c>
      <c r="F13" s="104">
        <f t="shared" si="0"/>
        <v>3064</v>
      </c>
      <c r="G13" s="104">
        <v>2517</v>
      </c>
      <c r="H13" s="104">
        <v>0</v>
      </c>
      <c r="I13" s="104">
        <v>0</v>
      </c>
      <c r="J13" s="104">
        <v>0</v>
      </c>
      <c r="K13" s="104">
        <v>0</v>
      </c>
      <c r="L13" s="104">
        <v>291</v>
      </c>
      <c r="M13" s="104">
        <v>1999</v>
      </c>
      <c r="N13" s="104">
        <v>4</v>
      </c>
      <c r="O13" s="104">
        <v>3</v>
      </c>
      <c r="P13" s="104">
        <v>1</v>
      </c>
      <c r="Q13" s="104">
        <v>0</v>
      </c>
      <c r="R13" s="104">
        <v>0</v>
      </c>
      <c r="S13" s="104">
        <v>0</v>
      </c>
      <c r="T13" s="104">
        <v>0</v>
      </c>
      <c r="U13" s="104">
        <v>3</v>
      </c>
      <c r="V13" s="104">
        <v>216</v>
      </c>
      <c r="W13" s="104">
        <v>0</v>
      </c>
      <c r="X13" s="104">
        <v>9994</v>
      </c>
      <c r="Y13" s="104">
        <v>427</v>
      </c>
      <c r="Z13" s="104">
        <v>9567</v>
      </c>
      <c r="AA13" s="104">
        <v>0</v>
      </c>
      <c r="AB13" s="104">
        <v>0</v>
      </c>
      <c r="AC13" s="104">
        <v>0</v>
      </c>
      <c r="AD13" s="104">
        <v>0</v>
      </c>
      <c r="AE13" s="104">
        <v>0</v>
      </c>
      <c r="AF13" s="104">
        <v>0</v>
      </c>
      <c r="AG13" s="104">
        <v>0</v>
      </c>
      <c r="AH13" s="104">
        <v>0</v>
      </c>
      <c r="AI13" s="104">
        <v>204</v>
      </c>
      <c r="AJ13" s="104">
        <v>1662</v>
      </c>
      <c r="AK13" s="104">
        <v>223</v>
      </c>
      <c r="AL13" s="104">
        <v>7896</v>
      </c>
      <c r="AM13" s="104">
        <v>0</v>
      </c>
      <c r="AN13" s="104">
        <v>9</v>
      </c>
      <c r="AO13" s="104">
        <v>0</v>
      </c>
      <c r="AP13" s="104">
        <v>0</v>
      </c>
      <c r="AQ13" s="104">
        <v>0</v>
      </c>
      <c r="AR13" s="104">
        <v>0</v>
      </c>
      <c r="AS13" s="104">
        <v>0</v>
      </c>
      <c r="AT13" s="104">
        <v>0</v>
      </c>
      <c r="AU13" s="104">
        <v>0</v>
      </c>
      <c r="AV13" s="104">
        <v>0</v>
      </c>
      <c r="AW13" s="104">
        <v>0</v>
      </c>
      <c r="AX13" s="104">
        <v>0</v>
      </c>
      <c r="AY13" s="104">
        <v>0</v>
      </c>
      <c r="AZ13" s="104">
        <v>0</v>
      </c>
      <c r="BA13" s="104">
        <v>0</v>
      </c>
      <c r="BB13" s="104">
        <v>0</v>
      </c>
      <c r="BC13" s="104">
        <v>0</v>
      </c>
      <c r="BD13" s="104">
        <v>0</v>
      </c>
      <c r="BE13" s="104">
        <v>0</v>
      </c>
      <c r="BF13" s="104">
        <v>0</v>
      </c>
      <c r="BG13" s="104">
        <v>120</v>
      </c>
      <c r="BH13" s="104">
        <v>120</v>
      </c>
      <c r="BI13" s="104">
        <v>216</v>
      </c>
      <c r="BJ13" s="104">
        <v>0</v>
      </c>
      <c r="BK13" s="104">
        <v>0</v>
      </c>
      <c r="BL13" s="104">
        <v>0</v>
      </c>
      <c r="BM13" s="104">
        <v>0</v>
      </c>
      <c r="BN13" s="104">
        <v>118</v>
      </c>
      <c r="BO13" s="104">
        <v>127</v>
      </c>
      <c r="BP13" s="104">
        <v>0</v>
      </c>
      <c r="BQ13" s="104">
        <v>0</v>
      </c>
      <c r="BR13" s="104">
        <v>0</v>
      </c>
      <c r="BS13" s="104">
        <v>0</v>
      </c>
      <c r="BT13" s="104">
        <v>2</v>
      </c>
      <c r="BU13" s="104">
        <v>89</v>
      </c>
      <c r="BV13" s="104">
        <v>0</v>
      </c>
      <c r="BW13" s="104">
        <v>0</v>
      </c>
      <c r="BX13" s="104">
        <v>0</v>
      </c>
      <c r="BY13" s="104">
        <v>0</v>
      </c>
      <c r="BZ13" s="104">
        <v>0</v>
      </c>
      <c r="CA13" s="104">
        <v>0</v>
      </c>
      <c r="CB13" s="104">
        <v>0</v>
      </c>
      <c r="CC13" s="104">
        <v>0</v>
      </c>
      <c r="CD13" s="104">
        <v>0</v>
      </c>
      <c r="CE13" s="104">
        <v>0</v>
      </c>
      <c r="CF13" s="104">
        <v>0</v>
      </c>
      <c r="CG13" s="104">
        <v>0</v>
      </c>
      <c r="CH13" s="104">
        <v>0</v>
      </c>
      <c r="CI13" s="104">
        <v>0</v>
      </c>
      <c r="CJ13" s="104">
        <v>0</v>
      </c>
      <c r="CK13" s="104">
        <v>0</v>
      </c>
      <c r="CL13" s="104">
        <v>0</v>
      </c>
      <c r="CM13" s="104">
        <v>0</v>
      </c>
      <c r="CN13" s="104">
        <v>0</v>
      </c>
      <c r="CO13" s="104">
        <v>0</v>
      </c>
    </row>
    <row r="14" s="102" customFormat="1" ht="15" spans="1:93">
      <c r="A14" s="104">
        <v>7</v>
      </c>
      <c r="B14" s="104" t="s">
        <v>1146</v>
      </c>
      <c r="C14" s="104" t="s">
        <v>1147</v>
      </c>
      <c r="D14" s="104" t="s">
        <v>1154</v>
      </c>
      <c r="E14" s="104">
        <v>1229</v>
      </c>
      <c r="F14" s="104">
        <f t="shared" si="0"/>
        <v>1229</v>
      </c>
      <c r="G14" s="104">
        <v>1229</v>
      </c>
      <c r="H14" s="104">
        <v>0</v>
      </c>
      <c r="I14" s="104">
        <v>0</v>
      </c>
      <c r="J14" s="104">
        <v>0</v>
      </c>
      <c r="K14" s="104">
        <v>0</v>
      </c>
      <c r="L14" s="104">
        <v>603</v>
      </c>
      <c r="M14" s="104">
        <v>175</v>
      </c>
      <c r="N14" s="104">
        <v>0</v>
      </c>
      <c r="O14" s="104">
        <v>0</v>
      </c>
      <c r="P14" s="104">
        <v>1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450</v>
      </c>
      <c r="W14" s="104">
        <v>0</v>
      </c>
      <c r="X14" s="104">
        <v>0</v>
      </c>
      <c r="Y14" s="104">
        <v>0</v>
      </c>
      <c r="Z14" s="104">
        <v>0</v>
      </c>
      <c r="AA14" s="104">
        <v>0</v>
      </c>
      <c r="AB14" s="104">
        <v>0</v>
      </c>
      <c r="AC14" s="104">
        <v>0</v>
      </c>
      <c r="AD14" s="104">
        <v>0</v>
      </c>
      <c r="AE14" s="104">
        <v>0</v>
      </c>
      <c r="AF14" s="104">
        <v>0</v>
      </c>
      <c r="AG14" s="104">
        <v>0</v>
      </c>
      <c r="AH14" s="104">
        <v>0</v>
      </c>
      <c r="AI14" s="104">
        <v>0</v>
      </c>
      <c r="AJ14" s="104">
        <v>0</v>
      </c>
      <c r="AK14" s="104">
        <v>0</v>
      </c>
      <c r="AL14" s="104">
        <v>0</v>
      </c>
      <c r="AM14" s="104">
        <v>0</v>
      </c>
      <c r="AN14" s="104">
        <v>0</v>
      </c>
      <c r="AO14" s="104">
        <v>0</v>
      </c>
      <c r="AP14" s="104">
        <v>0</v>
      </c>
      <c r="AQ14" s="104">
        <v>0</v>
      </c>
      <c r="AR14" s="104">
        <v>0</v>
      </c>
      <c r="AS14" s="104">
        <v>0</v>
      </c>
      <c r="AT14" s="104">
        <v>0</v>
      </c>
      <c r="AU14" s="104">
        <v>0</v>
      </c>
      <c r="AV14" s="104">
        <v>0</v>
      </c>
      <c r="AW14" s="104">
        <v>0</v>
      </c>
      <c r="AX14" s="104">
        <v>0</v>
      </c>
      <c r="AY14" s="104">
        <v>0</v>
      </c>
      <c r="AZ14" s="104">
        <v>0</v>
      </c>
      <c r="BA14" s="104">
        <v>0</v>
      </c>
      <c r="BB14" s="104">
        <v>0</v>
      </c>
      <c r="BC14" s="104">
        <v>0</v>
      </c>
      <c r="BD14" s="104">
        <v>0</v>
      </c>
      <c r="BE14" s="104">
        <v>0</v>
      </c>
      <c r="BF14" s="104">
        <v>0</v>
      </c>
      <c r="BG14" s="104">
        <v>0</v>
      </c>
      <c r="BH14" s="104">
        <v>0</v>
      </c>
      <c r="BI14" s="104">
        <v>0</v>
      </c>
      <c r="BJ14" s="104">
        <v>0</v>
      </c>
      <c r="BK14" s="104">
        <v>0</v>
      </c>
      <c r="BL14" s="104">
        <v>0</v>
      </c>
      <c r="BM14" s="104">
        <v>0</v>
      </c>
      <c r="BN14" s="104">
        <v>0</v>
      </c>
      <c r="BO14" s="104">
        <v>0</v>
      </c>
      <c r="BP14" s="104">
        <v>0</v>
      </c>
      <c r="BQ14" s="104">
        <v>0</v>
      </c>
      <c r="BR14" s="104">
        <v>0</v>
      </c>
      <c r="BS14" s="104">
        <v>0</v>
      </c>
      <c r="BT14" s="104">
        <v>0</v>
      </c>
      <c r="BU14" s="104">
        <v>0</v>
      </c>
      <c r="BV14" s="104">
        <v>0</v>
      </c>
      <c r="BW14" s="104">
        <v>0</v>
      </c>
      <c r="BX14" s="104">
        <v>0</v>
      </c>
      <c r="BY14" s="104">
        <v>0</v>
      </c>
      <c r="BZ14" s="104">
        <v>0</v>
      </c>
      <c r="CA14" s="104">
        <v>0</v>
      </c>
      <c r="CB14" s="104">
        <v>0</v>
      </c>
      <c r="CC14" s="104">
        <v>0</v>
      </c>
      <c r="CD14" s="104">
        <v>0</v>
      </c>
      <c r="CE14" s="104">
        <v>0</v>
      </c>
      <c r="CF14" s="104">
        <v>0</v>
      </c>
      <c r="CG14" s="104">
        <v>0</v>
      </c>
      <c r="CH14" s="104">
        <v>0</v>
      </c>
      <c r="CI14" s="104">
        <v>0</v>
      </c>
      <c r="CJ14" s="104">
        <v>0</v>
      </c>
      <c r="CK14" s="104">
        <v>0</v>
      </c>
      <c r="CL14" s="104">
        <v>0</v>
      </c>
      <c r="CM14" s="104">
        <v>0</v>
      </c>
      <c r="CN14" s="104">
        <v>0</v>
      </c>
      <c r="CO14" s="104">
        <v>0</v>
      </c>
    </row>
    <row r="15" s="102" customFormat="1" ht="15" spans="1:93">
      <c r="A15" s="104">
        <v>8</v>
      </c>
      <c r="B15" s="104" t="s">
        <v>1146</v>
      </c>
      <c r="C15" s="104" t="s">
        <v>1147</v>
      </c>
      <c r="D15" s="104" t="s">
        <v>1155</v>
      </c>
      <c r="E15" s="104">
        <v>1528</v>
      </c>
      <c r="F15" s="104">
        <f t="shared" si="0"/>
        <v>1528</v>
      </c>
      <c r="G15" s="104">
        <v>1521</v>
      </c>
      <c r="H15" s="104">
        <v>0</v>
      </c>
      <c r="I15" s="104">
        <v>0</v>
      </c>
      <c r="J15" s="104">
        <v>0</v>
      </c>
      <c r="K15" s="104">
        <v>0</v>
      </c>
      <c r="L15" s="104">
        <v>84</v>
      </c>
      <c r="M15" s="104">
        <v>1057</v>
      </c>
      <c r="N15" s="104">
        <v>6</v>
      </c>
      <c r="O15" s="104">
        <v>0</v>
      </c>
      <c r="P15" s="104">
        <v>0</v>
      </c>
      <c r="Q15" s="104">
        <v>0</v>
      </c>
      <c r="R15" s="104">
        <v>0</v>
      </c>
      <c r="S15" s="104">
        <v>0</v>
      </c>
      <c r="T15" s="104">
        <v>0</v>
      </c>
      <c r="U15" s="104">
        <v>1</v>
      </c>
      <c r="V15" s="104">
        <v>373</v>
      </c>
      <c r="W15" s="104">
        <v>0</v>
      </c>
      <c r="X15" s="104">
        <v>0</v>
      </c>
      <c r="Y15" s="104">
        <v>0</v>
      </c>
      <c r="Z15" s="104">
        <v>0</v>
      </c>
      <c r="AA15" s="104">
        <v>0</v>
      </c>
      <c r="AB15" s="104">
        <v>0</v>
      </c>
      <c r="AC15" s="104">
        <v>0</v>
      </c>
      <c r="AD15" s="104">
        <v>0</v>
      </c>
      <c r="AE15" s="104">
        <v>0</v>
      </c>
      <c r="AF15" s="104">
        <v>0</v>
      </c>
      <c r="AG15" s="104">
        <v>0</v>
      </c>
      <c r="AH15" s="104">
        <v>0</v>
      </c>
      <c r="AI15" s="104">
        <v>0</v>
      </c>
      <c r="AJ15" s="104">
        <v>0</v>
      </c>
      <c r="AK15" s="104">
        <v>0</v>
      </c>
      <c r="AL15" s="104">
        <v>0</v>
      </c>
      <c r="AM15" s="104">
        <v>0</v>
      </c>
      <c r="AN15" s="104">
        <v>0</v>
      </c>
      <c r="AO15" s="104">
        <v>0</v>
      </c>
      <c r="AP15" s="104">
        <v>0</v>
      </c>
      <c r="AQ15" s="104">
        <v>0</v>
      </c>
      <c r="AR15" s="104">
        <v>0</v>
      </c>
      <c r="AS15" s="104">
        <v>0</v>
      </c>
      <c r="AT15" s="104">
        <v>0</v>
      </c>
      <c r="AU15" s="104">
        <v>0</v>
      </c>
      <c r="AV15" s="104">
        <v>0</v>
      </c>
      <c r="AW15" s="104">
        <v>0</v>
      </c>
      <c r="AX15" s="104">
        <v>0</v>
      </c>
      <c r="AY15" s="104">
        <v>0</v>
      </c>
      <c r="AZ15" s="104">
        <v>0</v>
      </c>
      <c r="BA15" s="104">
        <v>0</v>
      </c>
      <c r="BB15" s="104">
        <v>0</v>
      </c>
      <c r="BC15" s="104">
        <v>0</v>
      </c>
      <c r="BD15" s="104">
        <v>0</v>
      </c>
      <c r="BE15" s="104">
        <v>0</v>
      </c>
      <c r="BF15" s="104">
        <v>0</v>
      </c>
      <c r="BG15" s="104">
        <v>7</v>
      </c>
      <c r="BH15" s="104">
        <v>7</v>
      </c>
      <c r="BI15" s="104">
        <v>7</v>
      </c>
      <c r="BJ15" s="104">
        <v>0</v>
      </c>
      <c r="BK15" s="104">
        <v>0</v>
      </c>
      <c r="BL15" s="104">
        <v>0</v>
      </c>
      <c r="BM15" s="104">
        <v>0</v>
      </c>
      <c r="BN15" s="104">
        <v>7</v>
      </c>
      <c r="BO15" s="104">
        <v>7</v>
      </c>
      <c r="BP15" s="104">
        <v>0</v>
      </c>
      <c r="BQ15" s="104">
        <v>0</v>
      </c>
      <c r="BR15" s="104">
        <v>0</v>
      </c>
      <c r="BS15" s="104">
        <v>0</v>
      </c>
      <c r="BT15" s="104">
        <v>0</v>
      </c>
      <c r="BU15" s="104">
        <v>0</v>
      </c>
      <c r="BV15" s="104">
        <v>0</v>
      </c>
      <c r="BW15" s="104">
        <v>0</v>
      </c>
      <c r="BX15" s="104">
        <v>0</v>
      </c>
      <c r="BY15" s="104">
        <v>0</v>
      </c>
      <c r="BZ15" s="104">
        <v>0</v>
      </c>
      <c r="CA15" s="104">
        <v>0</v>
      </c>
      <c r="CB15" s="104">
        <v>0</v>
      </c>
      <c r="CC15" s="104">
        <v>0</v>
      </c>
      <c r="CD15" s="104">
        <v>0</v>
      </c>
      <c r="CE15" s="104">
        <v>0</v>
      </c>
      <c r="CF15" s="104">
        <v>0</v>
      </c>
      <c r="CG15" s="104">
        <v>0</v>
      </c>
      <c r="CH15" s="104">
        <v>0</v>
      </c>
      <c r="CI15" s="104">
        <v>0</v>
      </c>
      <c r="CJ15" s="104">
        <v>0</v>
      </c>
      <c r="CK15" s="104">
        <v>0</v>
      </c>
      <c r="CL15" s="104">
        <v>0</v>
      </c>
      <c r="CM15" s="104">
        <v>0</v>
      </c>
      <c r="CN15" s="104">
        <v>0</v>
      </c>
      <c r="CO15" s="104">
        <v>0</v>
      </c>
    </row>
    <row r="16" s="102" customFormat="1" ht="15" spans="1:93">
      <c r="A16" s="104">
        <v>9</v>
      </c>
      <c r="B16" s="104" t="s">
        <v>1146</v>
      </c>
      <c r="C16" s="104" t="s">
        <v>1147</v>
      </c>
      <c r="D16" s="104" t="s">
        <v>1156</v>
      </c>
      <c r="E16" s="104">
        <v>7398</v>
      </c>
      <c r="F16" s="104">
        <f t="shared" si="0"/>
        <v>3243</v>
      </c>
      <c r="G16" s="104">
        <v>3048</v>
      </c>
      <c r="H16" s="104">
        <v>0</v>
      </c>
      <c r="I16" s="104">
        <v>0</v>
      </c>
      <c r="J16" s="104">
        <v>0</v>
      </c>
      <c r="K16" s="104">
        <v>0</v>
      </c>
      <c r="L16" s="104">
        <v>212</v>
      </c>
      <c r="M16" s="104">
        <v>2217</v>
      </c>
      <c r="N16" s="104">
        <v>10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5</v>
      </c>
      <c r="V16" s="104">
        <v>604</v>
      </c>
      <c r="W16" s="104">
        <v>0</v>
      </c>
      <c r="X16" s="104">
        <v>4252</v>
      </c>
      <c r="Y16" s="104">
        <v>97</v>
      </c>
      <c r="Z16" s="104">
        <v>4155</v>
      </c>
      <c r="AA16" s="104">
        <v>0</v>
      </c>
      <c r="AB16" s="104">
        <v>0</v>
      </c>
      <c r="AC16" s="104">
        <v>0</v>
      </c>
      <c r="AD16" s="104">
        <v>0</v>
      </c>
      <c r="AE16" s="104">
        <v>0</v>
      </c>
      <c r="AF16" s="104">
        <v>0</v>
      </c>
      <c r="AG16" s="104">
        <v>0</v>
      </c>
      <c r="AH16" s="104">
        <v>0</v>
      </c>
      <c r="AI16" s="104">
        <v>2</v>
      </c>
      <c r="AJ16" s="104">
        <v>44</v>
      </c>
      <c r="AK16" s="104">
        <v>95</v>
      </c>
      <c r="AL16" s="104">
        <v>4110</v>
      </c>
      <c r="AM16" s="104">
        <v>0</v>
      </c>
      <c r="AN16" s="104">
        <v>1</v>
      </c>
      <c r="AO16" s="104">
        <v>0</v>
      </c>
      <c r="AP16" s="104">
        <v>0</v>
      </c>
      <c r="AQ16" s="104">
        <v>0</v>
      </c>
      <c r="AR16" s="104">
        <v>0</v>
      </c>
      <c r="AS16" s="104">
        <v>0</v>
      </c>
      <c r="AT16" s="104">
        <v>0</v>
      </c>
      <c r="AU16" s="104">
        <v>0</v>
      </c>
      <c r="AV16" s="104">
        <v>0</v>
      </c>
      <c r="AW16" s="104">
        <v>0</v>
      </c>
      <c r="AX16" s="104">
        <v>0</v>
      </c>
      <c r="AY16" s="104">
        <v>0</v>
      </c>
      <c r="AZ16" s="104">
        <v>0</v>
      </c>
      <c r="BA16" s="104">
        <v>0</v>
      </c>
      <c r="BB16" s="104">
        <v>0</v>
      </c>
      <c r="BC16" s="104">
        <v>0</v>
      </c>
      <c r="BD16" s="104">
        <v>0</v>
      </c>
      <c r="BE16" s="104">
        <v>0</v>
      </c>
      <c r="BF16" s="104">
        <v>0</v>
      </c>
      <c r="BG16" s="104">
        <v>98</v>
      </c>
      <c r="BH16" s="104">
        <v>98</v>
      </c>
      <c r="BI16" s="104">
        <v>5168</v>
      </c>
      <c r="BJ16" s="104">
        <v>7</v>
      </c>
      <c r="BK16" s="104">
        <v>0</v>
      </c>
      <c r="BL16" s="104">
        <v>0</v>
      </c>
      <c r="BM16" s="104">
        <v>0</v>
      </c>
      <c r="BN16" s="104">
        <v>0</v>
      </c>
      <c r="BO16" s="104">
        <v>0</v>
      </c>
      <c r="BP16" s="104">
        <v>0</v>
      </c>
      <c r="BQ16" s="104">
        <v>0</v>
      </c>
      <c r="BR16" s="104">
        <v>0</v>
      </c>
      <c r="BS16" s="104">
        <v>0</v>
      </c>
      <c r="BT16" s="104">
        <v>82</v>
      </c>
      <c r="BU16" s="104">
        <v>5052</v>
      </c>
      <c r="BV16" s="104">
        <v>0</v>
      </c>
      <c r="BW16" s="104">
        <v>0</v>
      </c>
      <c r="BX16" s="104">
        <v>9</v>
      </c>
      <c r="BY16" s="104">
        <v>116</v>
      </c>
      <c r="BZ16" s="104">
        <v>0</v>
      </c>
      <c r="CA16" s="104">
        <v>0</v>
      </c>
      <c r="CB16" s="104">
        <v>0</v>
      </c>
      <c r="CC16" s="104">
        <v>0</v>
      </c>
      <c r="CD16" s="104">
        <v>0</v>
      </c>
      <c r="CE16" s="104">
        <v>0</v>
      </c>
      <c r="CF16" s="104">
        <v>0</v>
      </c>
      <c r="CG16" s="104">
        <v>0</v>
      </c>
      <c r="CH16" s="104">
        <v>0</v>
      </c>
      <c r="CI16" s="104">
        <v>0</v>
      </c>
      <c r="CJ16" s="104">
        <v>0</v>
      </c>
      <c r="CK16" s="104">
        <v>0</v>
      </c>
      <c r="CL16" s="104">
        <v>0</v>
      </c>
      <c r="CM16" s="104">
        <v>0</v>
      </c>
      <c r="CN16" s="104">
        <v>0</v>
      </c>
      <c r="CO16" s="104">
        <v>0</v>
      </c>
    </row>
    <row r="17" s="102" customFormat="1" ht="15" spans="1:93">
      <c r="A17" s="104">
        <v>10</v>
      </c>
      <c r="B17" s="104" t="s">
        <v>1146</v>
      </c>
      <c r="C17" s="104" t="s">
        <v>1147</v>
      </c>
      <c r="D17" s="104" t="s">
        <v>1157</v>
      </c>
      <c r="E17" s="104">
        <v>18134</v>
      </c>
      <c r="F17" s="104">
        <f t="shared" si="0"/>
        <v>3163</v>
      </c>
      <c r="G17" s="104">
        <v>2650</v>
      </c>
      <c r="H17" s="104">
        <v>0</v>
      </c>
      <c r="I17" s="104">
        <v>0</v>
      </c>
      <c r="J17" s="104">
        <v>0</v>
      </c>
      <c r="K17" s="104">
        <v>0</v>
      </c>
      <c r="L17" s="104">
        <v>240</v>
      </c>
      <c r="M17" s="104">
        <v>1916</v>
      </c>
      <c r="N17" s="104">
        <v>13</v>
      </c>
      <c r="O17" s="104">
        <v>0</v>
      </c>
      <c r="P17" s="104">
        <v>0</v>
      </c>
      <c r="Q17" s="104">
        <v>0</v>
      </c>
      <c r="R17" s="104">
        <v>0</v>
      </c>
      <c r="S17" s="104">
        <v>0</v>
      </c>
      <c r="T17" s="104">
        <v>0</v>
      </c>
      <c r="U17" s="104">
        <v>5</v>
      </c>
      <c r="V17" s="104">
        <v>476</v>
      </c>
      <c r="W17" s="104">
        <v>0</v>
      </c>
      <c r="X17" s="104">
        <v>15424</v>
      </c>
      <c r="Y17" s="104">
        <v>453</v>
      </c>
      <c r="Z17" s="104">
        <v>14971</v>
      </c>
      <c r="AA17" s="104">
        <v>0</v>
      </c>
      <c r="AB17" s="104">
        <v>0</v>
      </c>
      <c r="AC17" s="104">
        <v>0</v>
      </c>
      <c r="AD17" s="104">
        <v>0</v>
      </c>
      <c r="AE17" s="104">
        <v>0</v>
      </c>
      <c r="AF17" s="104">
        <v>0</v>
      </c>
      <c r="AG17" s="104">
        <v>0</v>
      </c>
      <c r="AH17" s="104">
        <v>0</v>
      </c>
      <c r="AI17" s="104">
        <v>41</v>
      </c>
      <c r="AJ17" s="104">
        <v>891</v>
      </c>
      <c r="AK17" s="104">
        <v>412</v>
      </c>
      <c r="AL17" s="104">
        <v>14073</v>
      </c>
      <c r="AM17" s="104">
        <v>0</v>
      </c>
      <c r="AN17" s="104">
        <v>7</v>
      </c>
      <c r="AO17" s="104">
        <v>0</v>
      </c>
      <c r="AP17" s="104">
        <v>0</v>
      </c>
      <c r="AQ17" s="104">
        <v>0</v>
      </c>
      <c r="AR17" s="104">
        <v>0</v>
      </c>
      <c r="AS17" s="104">
        <v>0</v>
      </c>
      <c r="AT17" s="104">
        <v>0</v>
      </c>
      <c r="AU17" s="104">
        <v>0</v>
      </c>
      <c r="AV17" s="104">
        <v>0</v>
      </c>
      <c r="AW17" s="104">
        <v>0</v>
      </c>
      <c r="AX17" s="104">
        <v>0</v>
      </c>
      <c r="AY17" s="104">
        <v>0</v>
      </c>
      <c r="AZ17" s="104">
        <v>0</v>
      </c>
      <c r="BA17" s="104">
        <v>0</v>
      </c>
      <c r="BB17" s="104">
        <v>0</v>
      </c>
      <c r="BC17" s="104">
        <v>0</v>
      </c>
      <c r="BD17" s="104">
        <v>0</v>
      </c>
      <c r="BE17" s="104">
        <v>0</v>
      </c>
      <c r="BF17" s="104">
        <v>0</v>
      </c>
      <c r="BG17" s="104">
        <v>60</v>
      </c>
      <c r="BH17" s="104">
        <v>60</v>
      </c>
      <c r="BI17" s="104">
        <v>3112</v>
      </c>
      <c r="BJ17" s="104">
        <v>0</v>
      </c>
      <c r="BK17" s="104">
        <v>0</v>
      </c>
      <c r="BL17" s="104">
        <v>0</v>
      </c>
      <c r="BM17" s="104">
        <v>0</v>
      </c>
      <c r="BN17" s="104">
        <v>0</v>
      </c>
      <c r="BO17" s="104">
        <v>0</v>
      </c>
      <c r="BP17" s="104">
        <v>0</v>
      </c>
      <c r="BQ17" s="104">
        <v>0</v>
      </c>
      <c r="BR17" s="104">
        <v>0</v>
      </c>
      <c r="BS17" s="104">
        <v>0</v>
      </c>
      <c r="BT17" s="104">
        <v>60</v>
      </c>
      <c r="BU17" s="104">
        <v>3112</v>
      </c>
      <c r="BV17" s="104">
        <v>0</v>
      </c>
      <c r="BW17" s="104">
        <v>0</v>
      </c>
      <c r="BX17" s="104">
        <v>0</v>
      </c>
      <c r="BY17" s="104">
        <v>0</v>
      </c>
      <c r="BZ17" s="104">
        <v>0</v>
      </c>
      <c r="CA17" s="104">
        <v>0</v>
      </c>
      <c r="CB17" s="104">
        <v>0</v>
      </c>
      <c r="CC17" s="104">
        <v>0</v>
      </c>
      <c r="CD17" s="104">
        <v>0</v>
      </c>
      <c r="CE17" s="104">
        <v>0</v>
      </c>
      <c r="CF17" s="104">
        <v>0</v>
      </c>
      <c r="CG17" s="104">
        <v>0</v>
      </c>
      <c r="CH17" s="104">
        <v>0</v>
      </c>
      <c r="CI17" s="104">
        <v>0</v>
      </c>
      <c r="CJ17" s="104">
        <v>0</v>
      </c>
      <c r="CK17" s="104">
        <v>0</v>
      </c>
      <c r="CL17" s="104">
        <v>0</v>
      </c>
      <c r="CM17" s="104">
        <v>0</v>
      </c>
      <c r="CN17" s="104">
        <v>0</v>
      </c>
      <c r="CO17" s="104">
        <v>0</v>
      </c>
    </row>
    <row r="18" s="102" customFormat="1" ht="15" spans="1:93">
      <c r="A18" s="104">
        <v>11</v>
      </c>
      <c r="B18" s="104" t="s">
        <v>1146</v>
      </c>
      <c r="C18" s="104" t="s">
        <v>1147</v>
      </c>
      <c r="D18" s="104" t="s">
        <v>1158</v>
      </c>
      <c r="E18" s="104">
        <v>1253</v>
      </c>
      <c r="F18" s="104">
        <f t="shared" si="0"/>
        <v>763</v>
      </c>
      <c r="G18" s="104">
        <v>403</v>
      </c>
      <c r="H18" s="104">
        <v>0</v>
      </c>
      <c r="I18" s="104">
        <v>0</v>
      </c>
      <c r="J18" s="104">
        <v>0</v>
      </c>
      <c r="K18" s="104">
        <v>0</v>
      </c>
      <c r="L18" s="104">
        <v>38</v>
      </c>
      <c r="M18" s="104">
        <v>340</v>
      </c>
      <c r="N18" s="104">
        <v>3</v>
      </c>
      <c r="O18" s="104">
        <v>0</v>
      </c>
      <c r="P18" s="104">
        <v>0</v>
      </c>
      <c r="Q18" s="104">
        <v>0</v>
      </c>
      <c r="R18" s="104">
        <v>0</v>
      </c>
      <c r="S18" s="104">
        <v>0</v>
      </c>
      <c r="T18" s="104">
        <v>0</v>
      </c>
      <c r="U18" s="104">
        <v>0</v>
      </c>
      <c r="V18" s="104">
        <v>22</v>
      </c>
      <c r="W18" s="104">
        <v>0</v>
      </c>
      <c r="X18" s="104">
        <v>505</v>
      </c>
      <c r="Y18" s="104">
        <v>15</v>
      </c>
      <c r="Z18" s="104">
        <v>490</v>
      </c>
      <c r="AA18" s="104">
        <v>0</v>
      </c>
      <c r="AB18" s="104">
        <v>0</v>
      </c>
      <c r="AC18" s="104">
        <v>2</v>
      </c>
      <c r="AD18" s="104">
        <v>238</v>
      </c>
      <c r="AE18" s="104">
        <v>0</v>
      </c>
      <c r="AF18" s="104">
        <v>0</v>
      </c>
      <c r="AG18" s="104">
        <v>0</v>
      </c>
      <c r="AH18" s="104">
        <v>0</v>
      </c>
      <c r="AI18" s="104">
        <v>0</v>
      </c>
      <c r="AJ18" s="104">
        <v>1</v>
      </c>
      <c r="AK18" s="104">
        <v>13</v>
      </c>
      <c r="AL18" s="104">
        <v>251</v>
      </c>
      <c r="AM18" s="104">
        <v>0</v>
      </c>
      <c r="AN18" s="104">
        <v>0</v>
      </c>
      <c r="AO18" s="104">
        <v>0</v>
      </c>
      <c r="AP18" s="104">
        <v>0</v>
      </c>
      <c r="AQ18" s="104">
        <v>0</v>
      </c>
      <c r="AR18" s="104">
        <v>0</v>
      </c>
      <c r="AS18" s="104">
        <v>0</v>
      </c>
      <c r="AT18" s="104">
        <v>0</v>
      </c>
      <c r="AU18" s="104">
        <v>0</v>
      </c>
      <c r="AV18" s="104">
        <v>0</v>
      </c>
      <c r="AW18" s="104">
        <v>0</v>
      </c>
      <c r="AX18" s="104">
        <v>0</v>
      </c>
      <c r="AY18" s="104">
        <v>0</v>
      </c>
      <c r="AZ18" s="104">
        <v>0</v>
      </c>
      <c r="BA18" s="104">
        <v>0</v>
      </c>
      <c r="BB18" s="104">
        <v>0</v>
      </c>
      <c r="BC18" s="104">
        <v>0</v>
      </c>
      <c r="BD18" s="104">
        <v>0</v>
      </c>
      <c r="BE18" s="104">
        <v>0</v>
      </c>
      <c r="BF18" s="104">
        <v>0</v>
      </c>
      <c r="BG18" s="104">
        <v>345</v>
      </c>
      <c r="BH18" s="104">
        <v>345</v>
      </c>
      <c r="BI18" s="104">
        <v>345</v>
      </c>
      <c r="BJ18" s="104">
        <v>0</v>
      </c>
      <c r="BK18" s="104">
        <v>0</v>
      </c>
      <c r="BL18" s="104">
        <v>0</v>
      </c>
      <c r="BM18" s="104">
        <v>0</v>
      </c>
      <c r="BN18" s="104">
        <v>345</v>
      </c>
      <c r="BO18" s="104">
        <v>345</v>
      </c>
      <c r="BP18" s="104">
        <v>0</v>
      </c>
      <c r="BQ18" s="104">
        <v>0</v>
      </c>
      <c r="BR18" s="104">
        <v>0</v>
      </c>
      <c r="BS18" s="104">
        <v>0</v>
      </c>
      <c r="BT18" s="104">
        <v>0</v>
      </c>
      <c r="BU18" s="104">
        <v>0</v>
      </c>
      <c r="BV18" s="104">
        <v>0</v>
      </c>
      <c r="BW18" s="104">
        <v>0</v>
      </c>
      <c r="BX18" s="104">
        <v>0</v>
      </c>
      <c r="BY18" s="104">
        <v>0</v>
      </c>
      <c r="BZ18" s="104">
        <v>0</v>
      </c>
      <c r="CA18" s="104">
        <v>0</v>
      </c>
      <c r="CB18" s="104">
        <v>0</v>
      </c>
      <c r="CC18" s="104">
        <v>0</v>
      </c>
      <c r="CD18" s="104">
        <v>0</v>
      </c>
      <c r="CE18" s="104">
        <v>0</v>
      </c>
      <c r="CF18" s="104">
        <v>0</v>
      </c>
      <c r="CG18" s="104">
        <v>0</v>
      </c>
      <c r="CH18" s="104">
        <v>0</v>
      </c>
      <c r="CI18" s="104">
        <v>0</v>
      </c>
      <c r="CJ18" s="104">
        <v>0</v>
      </c>
      <c r="CK18" s="104">
        <v>0</v>
      </c>
      <c r="CL18" s="104">
        <v>0</v>
      </c>
      <c r="CM18" s="104">
        <v>0</v>
      </c>
      <c r="CN18" s="104">
        <v>0</v>
      </c>
      <c r="CO18" s="104">
        <v>0</v>
      </c>
    </row>
    <row r="19" s="102" customFormat="1" ht="15" spans="1:93">
      <c r="A19" s="104">
        <v>12</v>
      </c>
      <c r="B19" s="104" t="s">
        <v>1146</v>
      </c>
      <c r="C19" s="104" t="s">
        <v>1147</v>
      </c>
      <c r="D19" s="104" t="s">
        <v>1159</v>
      </c>
      <c r="E19" s="104">
        <v>2067</v>
      </c>
      <c r="F19" s="104">
        <f t="shared" si="0"/>
        <v>520</v>
      </c>
      <c r="G19" s="104">
        <v>489</v>
      </c>
      <c r="H19" s="104">
        <v>0</v>
      </c>
      <c r="I19" s="104">
        <v>0</v>
      </c>
      <c r="J19" s="104">
        <v>0</v>
      </c>
      <c r="K19" s="104">
        <v>0</v>
      </c>
      <c r="L19" s="104">
        <v>30</v>
      </c>
      <c r="M19" s="104">
        <v>381</v>
      </c>
      <c r="N19" s="104">
        <v>2</v>
      </c>
      <c r="O19" s="104">
        <v>0</v>
      </c>
      <c r="P19" s="104">
        <v>1</v>
      </c>
      <c r="Q19" s="104">
        <v>0</v>
      </c>
      <c r="R19" s="104">
        <v>0</v>
      </c>
      <c r="S19" s="104">
        <v>0</v>
      </c>
      <c r="T19" s="104">
        <v>0</v>
      </c>
      <c r="U19" s="104">
        <v>0</v>
      </c>
      <c r="V19" s="104">
        <v>75</v>
      </c>
      <c r="W19" s="104">
        <v>0</v>
      </c>
      <c r="X19" s="104">
        <v>1560</v>
      </c>
      <c r="Y19" s="104">
        <v>13</v>
      </c>
      <c r="Z19" s="104">
        <v>1547</v>
      </c>
      <c r="AA19" s="104">
        <v>0</v>
      </c>
      <c r="AB19" s="104">
        <v>0</v>
      </c>
      <c r="AC19" s="104">
        <v>13</v>
      </c>
      <c r="AD19" s="104">
        <v>1547</v>
      </c>
      <c r="AE19" s="104">
        <v>0</v>
      </c>
      <c r="AF19" s="104">
        <v>0</v>
      </c>
      <c r="AG19" s="104">
        <v>0</v>
      </c>
      <c r="AH19" s="104">
        <v>0</v>
      </c>
      <c r="AI19" s="104">
        <v>0</v>
      </c>
      <c r="AJ19" s="104">
        <v>0</v>
      </c>
      <c r="AK19" s="104">
        <v>0</v>
      </c>
      <c r="AL19" s="104">
        <v>0</v>
      </c>
      <c r="AM19" s="104">
        <v>0</v>
      </c>
      <c r="AN19" s="104">
        <v>0</v>
      </c>
      <c r="AO19" s="104">
        <v>0</v>
      </c>
      <c r="AP19" s="104">
        <v>0</v>
      </c>
      <c r="AQ19" s="104">
        <v>0</v>
      </c>
      <c r="AR19" s="104">
        <v>0</v>
      </c>
      <c r="AS19" s="104">
        <v>0</v>
      </c>
      <c r="AT19" s="104">
        <v>0</v>
      </c>
      <c r="AU19" s="104">
        <v>0</v>
      </c>
      <c r="AV19" s="104">
        <v>0</v>
      </c>
      <c r="AW19" s="104">
        <v>0</v>
      </c>
      <c r="AX19" s="104">
        <v>0</v>
      </c>
      <c r="AY19" s="104">
        <v>0</v>
      </c>
      <c r="AZ19" s="104">
        <v>0</v>
      </c>
      <c r="BA19" s="104">
        <v>0</v>
      </c>
      <c r="BB19" s="104">
        <v>0</v>
      </c>
      <c r="BC19" s="104">
        <v>0</v>
      </c>
      <c r="BD19" s="104">
        <v>0</v>
      </c>
      <c r="BE19" s="104">
        <v>0</v>
      </c>
      <c r="BF19" s="104">
        <v>0</v>
      </c>
      <c r="BG19" s="104">
        <v>18</v>
      </c>
      <c r="BH19" s="104">
        <v>18</v>
      </c>
      <c r="BI19" s="104">
        <v>25</v>
      </c>
      <c r="BJ19" s="104">
        <v>0</v>
      </c>
      <c r="BK19" s="104">
        <v>0</v>
      </c>
      <c r="BL19" s="104">
        <v>0</v>
      </c>
      <c r="BM19" s="104">
        <v>0</v>
      </c>
      <c r="BN19" s="104">
        <v>2</v>
      </c>
      <c r="BO19" s="104">
        <v>2</v>
      </c>
      <c r="BP19" s="104">
        <v>0</v>
      </c>
      <c r="BQ19" s="104">
        <v>0</v>
      </c>
      <c r="BR19" s="104">
        <v>0</v>
      </c>
      <c r="BS19" s="104">
        <v>0</v>
      </c>
      <c r="BT19" s="104">
        <v>15</v>
      </c>
      <c r="BU19" s="104">
        <v>22</v>
      </c>
      <c r="BV19" s="104">
        <v>0</v>
      </c>
      <c r="BW19" s="104">
        <v>0</v>
      </c>
      <c r="BX19" s="104">
        <v>0</v>
      </c>
      <c r="BY19" s="104">
        <v>0</v>
      </c>
      <c r="BZ19" s="104">
        <v>0</v>
      </c>
      <c r="CA19" s="104">
        <v>0</v>
      </c>
      <c r="CB19" s="104">
        <v>0</v>
      </c>
      <c r="CC19" s="104">
        <v>0</v>
      </c>
      <c r="CD19" s="104">
        <v>0</v>
      </c>
      <c r="CE19" s="104">
        <v>0</v>
      </c>
      <c r="CF19" s="104">
        <v>0</v>
      </c>
      <c r="CG19" s="104">
        <v>0</v>
      </c>
      <c r="CH19" s="104">
        <v>0</v>
      </c>
      <c r="CI19" s="104">
        <v>0</v>
      </c>
      <c r="CJ19" s="104">
        <v>1</v>
      </c>
      <c r="CK19" s="104">
        <v>1</v>
      </c>
      <c r="CL19" s="104">
        <v>0</v>
      </c>
      <c r="CM19" s="104">
        <v>0</v>
      </c>
      <c r="CN19" s="104">
        <v>0</v>
      </c>
      <c r="CO19" s="104">
        <v>0</v>
      </c>
    </row>
    <row r="20" s="102" customFormat="1" ht="15" spans="1:93">
      <c r="A20" s="104">
        <v>13</v>
      </c>
      <c r="B20" s="104" t="s">
        <v>1146</v>
      </c>
      <c r="C20" s="104" t="s">
        <v>1147</v>
      </c>
      <c r="D20" s="104" t="s">
        <v>1160</v>
      </c>
      <c r="E20" s="104">
        <v>8294</v>
      </c>
      <c r="F20" s="104">
        <f t="shared" si="0"/>
        <v>7662</v>
      </c>
      <c r="G20" s="104">
        <v>7618</v>
      </c>
      <c r="H20" s="104">
        <v>0</v>
      </c>
      <c r="I20" s="104">
        <v>0</v>
      </c>
      <c r="J20" s="104">
        <v>0</v>
      </c>
      <c r="K20" s="104">
        <v>0</v>
      </c>
      <c r="L20" s="104">
        <v>62</v>
      </c>
      <c r="M20" s="104">
        <v>7057</v>
      </c>
      <c r="N20" s="104">
        <v>5</v>
      </c>
      <c r="O20" s="104">
        <v>0</v>
      </c>
      <c r="P20" s="104">
        <v>0</v>
      </c>
      <c r="Q20" s="104">
        <v>0</v>
      </c>
      <c r="R20" s="104">
        <v>0</v>
      </c>
      <c r="S20" s="104">
        <v>0</v>
      </c>
      <c r="T20" s="104">
        <v>0</v>
      </c>
      <c r="U20" s="104">
        <v>5</v>
      </c>
      <c r="V20" s="104">
        <v>489</v>
      </c>
      <c r="W20" s="104">
        <v>0</v>
      </c>
      <c r="X20" s="104">
        <v>657</v>
      </c>
      <c r="Y20" s="104">
        <v>25</v>
      </c>
      <c r="Z20" s="104">
        <v>632</v>
      </c>
      <c r="AA20" s="104">
        <v>0</v>
      </c>
      <c r="AB20" s="104">
        <v>0</v>
      </c>
      <c r="AC20" s="104">
        <v>0</v>
      </c>
      <c r="AD20" s="104">
        <v>0</v>
      </c>
      <c r="AE20" s="104">
        <v>0</v>
      </c>
      <c r="AF20" s="104">
        <v>0</v>
      </c>
      <c r="AG20" s="104">
        <v>0</v>
      </c>
      <c r="AH20" s="104">
        <v>0</v>
      </c>
      <c r="AI20" s="104">
        <v>25</v>
      </c>
      <c r="AJ20" s="104">
        <v>632</v>
      </c>
      <c r="AK20" s="104">
        <v>0</v>
      </c>
      <c r="AL20" s="104">
        <v>0</v>
      </c>
      <c r="AM20" s="104">
        <v>0</v>
      </c>
      <c r="AN20" s="104">
        <v>0</v>
      </c>
      <c r="AO20" s="104">
        <v>0</v>
      </c>
      <c r="AP20" s="104">
        <v>0</v>
      </c>
      <c r="AQ20" s="104">
        <v>0</v>
      </c>
      <c r="AR20" s="104">
        <v>0</v>
      </c>
      <c r="AS20" s="104">
        <v>0</v>
      </c>
      <c r="AT20" s="104">
        <v>0</v>
      </c>
      <c r="AU20" s="104">
        <v>0</v>
      </c>
      <c r="AV20" s="104">
        <v>0</v>
      </c>
      <c r="AW20" s="104">
        <v>0</v>
      </c>
      <c r="AX20" s="104">
        <v>0</v>
      </c>
      <c r="AY20" s="104">
        <v>0</v>
      </c>
      <c r="AZ20" s="104">
        <v>0</v>
      </c>
      <c r="BA20" s="104">
        <v>0</v>
      </c>
      <c r="BB20" s="104">
        <v>0</v>
      </c>
      <c r="BC20" s="104">
        <v>0</v>
      </c>
      <c r="BD20" s="104">
        <v>0</v>
      </c>
      <c r="BE20" s="104">
        <v>0</v>
      </c>
      <c r="BF20" s="104">
        <v>0</v>
      </c>
      <c r="BG20" s="104">
        <v>19</v>
      </c>
      <c r="BH20" s="104">
        <v>19</v>
      </c>
      <c r="BI20" s="104">
        <v>79</v>
      </c>
      <c r="BJ20" s="104">
        <v>0</v>
      </c>
      <c r="BK20" s="104">
        <v>0</v>
      </c>
      <c r="BL20" s="104">
        <v>0</v>
      </c>
      <c r="BM20" s="104">
        <v>0</v>
      </c>
      <c r="BN20" s="104">
        <v>0</v>
      </c>
      <c r="BO20" s="104">
        <v>0</v>
      </c>
      <c r="BP20" s="104">
        <v>0</v>
      </c>
      <c r="BQ20" s="104">
        <v>0</v>
      </c>
      <c r="BR20" s="104">
        <v>0</v>
      </c>
      <c r="BS20" s="104">
        <v>0</v>
      </c>
      <c r="BT20" s="104">
        <v>19</v>
      </c>
      <c r="BU20" s="104">
        <v>79</v>
      </c>
      <c r="BV20" s="104">
        <v>0</v>
      </c>
      <c r="BW20" s="104">
        <v>0</v>
      </c>
      <c r="BX20" s="104">
        <v>0</v>
      </c>
      <c r="BY20" s="104">
        <v>0</v>
      </c>
      <c r="BZ20" s="104">
        <v>0</v>
      </c>
      <c r="CA20" s="104">
        <v>0</v>
      </c>
      <c r="CB20" s="104">
        <v>0</v>
      </c>
      <c r="CC20" s="104">
        <v>0</v>
      </c>
      <c r="CD20" s="104">
        <v>0</v>
      </c>
      <c r="CE20" s="104">
        <v>0</v>
      </c>
      <c r="CF20" s="104">
        <v>0</v>
      </c>
      <c r="CG20" s="104">
        <v>0</v>
      </c>
      <c r="CH20" s="104">
        <v>0</v>
      </c>
      <c r="CI20" s="104">
        <v>0</v>
      </c>
      <c r="CJ20" s="104">
        <v>0</v>
      </c>
      <c r="CK20" s="104">
        <v>0</v>
      </c>
      <c r="CL20" s="104">
        <v>0</v>
      </c>
      <c r="CM20" s="104">
        <v>0</v>
      </c>
      <c r="CN20" s="104">
        <v>0</v>
      </c>
      <c r="CO20" s="104">
        <v>0</v>
      </c>
    </row>
    <row r="21" s="102" customFormat="1" ht="15" spans="1:93">
      <c r="A21" s="104">
        <v>14</v>
      </c>
      <c r="B21" s="104" t="s">
        <v>1146</v>
      </c>
      <c r="C21" s="104" t="s">
        <v>1147</v>
      </c>
      <c r="D21" s="104" t="s">
        <v>1161</v>
      </c>
      <c r="E21" s="104">
        <v>8497</v>
      </c>
      <c r="F21" s="104">
        <f t="shared" si="0"/>
        <v>4201</v>
      </c>
      <c r="G21" s="104">
        <v>4016</v>
      </c>
      <c r="H21" s="104">
        <v>0</v>
      </c>
      <c r="I21" s="104">
        <v>0</v>
      </c>
      <c r="J21" s="104">
        <v>0</v>
      </c>
      <c r="K21" s="104">
        <v>0</v>
      </c>
      <c r="L21" s="104">
        <v>29</v>
      </c>
      <c r="M21" s="104">
        <v>3576</v>
      </c>
      <c r="N21" s="104">
        <v>1</v>
      </c>
      <c r="O21" s="104">
        <v>0</v>
      </c>
      <c r="P21" s="104">
        <v>0</v>
      </c>
      <c r="Q21" s="104">
        <v>0</v>
      </c>
      <c r="R21" s="104">
        <v>0</v>
      </c>
      <c r="S21" s="104">
        <v>0</v>
      </c>
      <c r="T21" s="104">
        <v>0</v>
      </c>
      <c r="U21" s="104">
        <v>0</v>
      </c>
      <c r="V21" s="104">
        <v>410</v>
      </c>
      <c r="W21" s="104">
        <v>0</v>
      </c>
      <c r="X21" s="104">
        <v>4481</v>
      </c>
      <c r="Y21" s="104">
        <v>185</v>
      </c>
      <c r="Z21" s="104">
        <v>4296</v>
      </c>
      <c r="AA21" s="104">
        <v>0</v>
      </c>
      <c r="AB21" s="104">
        <v>0</v>
      </c>
      <c r="AC21" s="104">
        <v>0</v>
      </c>
      <c r="AD21" s="104">
        <v>0</v>
      </c>
      <c r="AE21" s="104">
        <v>0</v>
      </c>
      <c r="AF21" s="104">
        <v>0</v>
      </c>
      <c r="AG21" s="104">
        <v>0</v>
      </c>
      <c r="AH21" s="104">
        <v>0</v>
      </c>
      <c r="AI21" s="104">
        <v>1</v>
      </c>
      <c r="AJ21" s="104">
        <v>5</v>
      </c>
      <c r="AK21" s="104">
        <v>184</v>
      </c>
      <c r="AL21" s="104">
        <v>4291</v>
      </c>
      <c r="AM21" s="104">
        <v>0</v>
      </c>
      <c r="AN21" s="104">
        <v>0</v>
      </c>
      <c r="AO21" s="104">
        <v>0</v>
      </c>
      <c r="AP21" s="104">
        <v>0</v>
      </c>
      <c r="AQ21" s="104">
        <v>0</v>
      </c>
      <c r="AR21" s="104">
        <v>0</v>
      </c>
      <c r="AS21" s="104">
        <v>0</v>
      </c>
      <c r="AT21" s="104">
        <v>0</v>
      </c>
      <c r="AU21" s="104">
        <v>0</v>
      </c>
      <c r="AV21" s="104">
        <v>0</v>
      </c>
      <c r="AW21" s="104">
        <v>0</v>
      </c>
      <c r="AX21" s="104">
        <v>0</v>
      </c>
      <c r="AY21" s="104">
        <v>0</v>
      </c>
      <c r="AZ21" s="104">
        <v>0</v>
      </c>
      <c r="BA21" s="104">
        <v>0</v>
      </c>
      <c r="BB21" s="104">
        <v>0</v>
      </c>
      <c r="BC21" s="104">
        <v>0</v>
      </c>
      <c r="BD21" s="104">
        <v>0</v>
      </c>
      <c r="BE21" s="104">
        <v>0</v>
      </c>
      <c r="BF21" s="104">
        <v>0</v>
      </c>
      <c r="BG21" s="104">
        <v>0</v>
      </c>
      <c r="BH21" s="104">
        <v>0</v>
      </c>
      <c r="BI21" s="104">
        <v>0</v>
      </c>
      <c r="BJ21" s="104">
        <v>0</v>
      </c>
      <c r="BK21" s="104">
        <v>0</v>
      </c>
      <c r="BL21" s="104">
        <v>0</v>
      </c>
      <c r="BM21" s="104">
        <v>0</v>
      </c>
      <c r="BN21" s="104">
        <v>0</v>
      </c>
      <c r="BO21" s="104">
        <v>0</v>
      </c>
      <c r="BP21" s="104">
        <v>0</v>
      </c>
      <c r="BQ21" s="104">
        <v>0</v>
      </c>
      <c r="BR21" s="104">
        <v>0</v>
      </c>
      <c r="BS21" s="104">
        <v>0</v>
      </c>
      <c r="BT21" s="104">
        <v>0</v>
      </c>
      <c r="BU21" s="104">
        <v>0</v>
      </c>
      <c r="BV21" s="104">
        <v>0</v>
      </c>
      <c r="BW21" s="104">
        <v>0</v>
      </c>
      <c r="BX21" s="104">
        <v>0</v>
      </c>
      <c r="BY21" s="104">
        <v>0</v>
      </c>
      <c r="BZ21" s="104">
        <v>0</v>
      </c>
      <c r="CA21" s="104">
        <v>0</v>
      </c>
      <c r="CB21" s="104">
        <v>0</v>
      </c>
      <c r="CC21" s="104">
        <v>0</v>
      </c>
      <c r="CD21" s="104">
        <v>0</v>
      </c>
      <c r="CE21" s="104">
        <v>0</v>
      </c>
      <c r="CF21" s="104">
        <v>0</v>
      </c>
      <c r="CG21" s="104">
        <v>0</v>
      </c>
      <c r="CH21" s="104">
        <v>0</v>
      </c>
      <c r="CI21" s="104">
        <v>0</v>
      </c>
      <c r="CJ21" s="104">
        <v>0</v>
      </c>
      <c r="CK21" s="104">
        <v>0</v>
      </c>
      <c r="CL21" s="104">
        <v>0</v>
      </c>
      <c r="CM21" s="104">
        <v>0</v>
      </c>
      <c r="CN21" s="104">
        <v>0</v>
      </c>
      <c r="CO21" s="104">
        <v>0</v>
      </c>
    </row>
    <row r="22" s="102" customFormat="1" ht="15" spans="1:93">
      <c r="A22" s="104">
        <v>15</v>
      </c>
      <c r="B22" s="104" t="s">
        <v>1146</v>
      </c>
      <c r="C22" s="104" t="s">
        <v>1147</v>
      </c>
      <c r="D22" s="104" t="s">
        <v>1162</v>
      </c>
      <c r="E22" s="104">
        <v>10953</v>
      </c>
      <c r="F22" s="104">
        <f t="shared" si="0"/>
        <v>1069</v>
      </c>
      <c r="G22" s="104">
        <v>623</v>
      </c>
      <c r="H22" s="104">
        <v>0</v>
      </c>
      <c r="I22" s="104">
        <v>0</v>
      </c>
      <c r="J22" s="104">
        <v>0</v>
      </c>
      <c r="K22" s="104">
        <v>0</v>
      </c>
      <c r="L22" s="104">
        <v>15</v>
      </c>
      <c r="M22" s="104">
        <v>443</v>
      </c>
      <c r="N22" s="104">
        <v>0</v>
      </c>
      <c r="O22" s="104">
        <v>0</v>
      </c>
      <c r="P22" s="104">
        <v>0</v>
      </c>
      <c r="Q22" s="104">
        <v>0</v>
      </c>
      <c r="R22" s="104">
        <v>0</v>
      </c>
      <c r="S22" s="104">
        <v>0</v>
      </c>
      <c r="T22" s="104">
        <v>0</v>
      </c>
      <c r="U22" s="104">
        <v>0</v>
      </c>
      <c r="V22" s="104">
        <v>165</v>
      </c>
      <c r="W22" s="104">
        <v>0</v>
      </c>
      <c r="X22" s="104">
        <v>10330</v>
      </c>
      <c r="Y22" s="104">
        <v>446</v>
      </c>
      <c r="Z22" s="104">
        <v>9884</v>
      </c>
      <c r="AA22" s="104">
        <v>0</v>
      </c>
      <c r="AB22" s="104">
        <v>0</v>
      </c>
      <c r="AC22" s="104">
        <v>0</v>
      </c>
      <c r="AD22" s="104">
        <v>0</v>
      </c>
      <c r="AE22" s="104">
        <v>0</v>
      </c>
      <c r="AF22" s="104">
        <v>0</v>
      </c>
      <c r="AG22" s="104">
        <v>0</v>
      </c>
      <c r="AH22" s="104">
        <v>0</v>
      </c>
      <c r="AI22" s="104">
        <v>1</v>
      </c>
      <c r="AJ22" s="104">
        <v>6</v>
      </c>
      <c r="AK22" s="104">
        <v>445</v>
      </c>
      <c r="AL22" s="104">
        <v>9878</v>
      </c>
      <c r="AM22" s="104">
        <v>0</v>
      </c>
      <c r="AN22" s="104">
        <v>0</v>
      </c>
      <c r="AO22" s="104">
        <v>0</v>
      </c>
      <c r="AP22" s="104">
        <v>0</v>
      </c>
      <c r="AQ22" s="104">
        <v>0</v>
      </c>
      <c r="AR22" s="104">
        <v>0</v>
      </c>
      <c r="AS22" s="104">
        <v>0</v>
      </c>
      <c r="AT22" s="104">
        <v>0</v>
      </c>
      <c r="AU22" s="104">
        <v>0</v>
      </c>
      <c r="AV22" s="104">
        <v>0</v>
      </c>
      <c r="AW22" s="104">
        <v>0</v>
      </c>
      <c r="AX22" s="104">
        <v>0</v>
      </c>
      <c r="AY22" s="104">
        <v>0</v>
      </c>
      <c r="AZ22" s="104">
        <v>0</v>
      </c>
      <c r="BA22" s="104">
        <v>0</v>
      </c>
      <c r="BB22" s="104">
        <v>0</v>
      </c>
      <c r="BC22" s="104">
        <v>0</v>
      </c>
      <c r="BD22" s="104">
        <v>0</v>
      </c>
      <c r="BE22" s="104">
        <v>0</v>
      </c>
      <c r="BF22" s="104">
        <v>0</v>
      </c>
      <c r="BG22" s="104">
        <v>0</v>
      </c>
      <c r="BH22" s="104">
        <v>0</v>
      </c>
      <c r="BI22" s="104">
        <v>0</v>
      </c>
      <c r="BJ22" s="104">
        <v>0</v>
      </c>
      <c r="BK22" s="104">
        <v>0</v>
      </c>
      <c r="BL22" s="104">
        <v>0</v>
      </c>
      <c r="BM22" s="104">
        <v>0</v>
      </c>
      <c r="BN22" s="104">
        <v>0</v>
      </c>
      <c r="BO22" s="104">
        <v>0</v>
      </c>
      <c r="BP22" s="104">
        <v>0</v>
      </c>
      <c r="BQ22" s="104">
        <v>0</v>
      </c>
      <c r="BR22" s="104">
        <v>0</v>
      </c>
      <c r="BS22" s="104">
        <v>0</v>
      </c>
      <c r="BT22" s="104">
        <v>0</v>
      </c>
      <c r="BU22" s="104">
        <v>0</v>
      </c>
      <c r="BV22" s="104">
        <v>0</v>
      </c>
      <c r="BW22" s="104">
        <v>0</v>
      </c>
      <c r="BX22" s="104">
        <v>0</v>
      </c>
      <c r="BY22" s="104">
        <v>0</v>
      </c>
      <c r="BZ22" s="104">
        <v>0</v>
      </c>
      <c r="CA22" s="104">
        <v>0</v>
      </c>
      <c r="CB22" s="104">
        <v>0</v>
      </c>
      <c r="CC22" s="104">
        <v>0</v>
      </c>
      <c r="CD22" s="104">
        <v>0</v>
      </c>
      <c r="CE22" s="104">
        <v>0</v>
      </c>
      <c r="CF22" s="104">
        <v>0</v>
      </c>
      <c r="CG22" s="104">
        <v>0</v>
      </c>
      <c r="CH22" s="104">
        <v>0</v>
      </c>
      <c r="CI22" s="104">
        <v>0</v>
      </c>
      <c r="CJ22" s="104">
        <v>0</v>
      </c>
      <c r="CK22" s="104">
        <v>0</v>
      </c>
      <c r="CL22" s="104">
        <v>0</v>
      </c>
      <c r="CM22" s="104">
        <v>0</v>
      </c>
      <c r="CN22" s="104">
        <v>0</v>
      </c>
      <c r="CO22" s="104">
        <v>0</v>
      </c>
    </row>
    <row r="23" s="102" customFormat="1" ht="15" spans="1:93">
      <c r="A23" s="104">
        <v>16</v>
      </c>
      <c r="B23" s="104" t="s">
        <v>1146</v>
      </c>
      <c r="C23" s="104" t="s">
        <v>1147</v>
      </c>
      <c r="D23" s="104" t="s">
        <v>1163</v>
      </c>
      <c r="E23" s="104">
        <v>12787</v>
      </c>
      <c r="F23" s="104">
        <f t="shared" si="0"/>
        <v>3796</v>
      </c>
      <c r="G23" s="104">
        <v>3576</v>
      </c>
      <c r="H23" s="104">
        <v>0</v>
      </c>
      <c r="I23" s="104">
        <v>0</v>
      </c>
      <c r="J23" s="104">
        <v>0</v>
      </c>
      <c r="K23" s="104">
        <v>0</v>
      </c>
      <c r="L23" s="104">
        <v>341</v>
      </c>
      <c r="M23" s="104">
        <v>2570</v>
      </c>
      <c r="N23" s="104">
        <v>13</v>
      </c>
      <c r="O23" s="104">
        <v>0</v>
      </c>
      <c r="P23" s="104">
        <v>0</v>
      </c>
      <c r="Q23" s="104">
        <v>0</v>
      </c>
      <c r="R23" s="104">
        <v>0</v>
      </c>
      <c r="S23" s="104">
        <v>0</v>
      </c>
      <c r="T23" s="104">
        <v>0</v>
      </c>
      <c r="U23" s="104">
        <v>8</v>
      </c>
      <c r="V23" s="104">
        <v>644</v>
      </c>
      <c r="W23" s="104">
        <v>0</v>
      </c>
      <c r="X23" s="104">
        <v>9174</v>
      </c>
      <c r="Y23" s="104">
        <v>183</v>
      </c>
      <c r="Z23" s="104">
        <v>8991</v>
      </c>
      <c r="AA23" s="104">
        <v>0</v>
      </c>
      <c r="AB23" s="104">
        <v>0</v>
      </c>
      <c r="AC23" s="104">
        <v>0</v>
      </c>
      <c r="AD23" s="104">
        <v>0</v>
      </c>
      <c r="AE23" s="104">
        <v>0</v>
      </c>
      <c r="AF23" s="104">
        <v>0</v>
      </c>
      <c r="AG23" s="104">
        <v>0</v>
      </c>
      <c r="AH23" s="104">
        <v>0</v>
      </c>
      <c r="AI23" s="104">
        <v>10</v>
      </c>
      <c r="AJ23" s="104">
        <v>245</v>
      </c>
      <c r="AK23" s="104">
        <v>173</v>
      </c>
      <c r="AL23" s="104">
        <v>8742</v>
      </c>
      <c r="AM23" s="104">
        <v>0</v>
      </c>
      <c r="AN23" s="104">
        <v>4</v>
      </c>
      <c r="AO23" s="104">
        <v>0</v>
      </c>
      <c r="AP23" s="104">
        <v>0</v>
      </c>
      <c r="AQ23" s="104">
        <v>0</v>
      </c>
      <c r="AR23" s="104">
        <v>0</v>
      </c>
      <c r="AS23" s="104">
        <v>0</v>
      </c>
      <c r="AT23" s="104">
        <v>0</v>
      </c>
      <c r="AU23" s="104">
        <v>0</v>
      </c>
      <c r="AV23" s="104">
        <v>0</v>
      </c>
      <c r="AW23" s="104">
        <v>0</v>
      </c>
      <c r="AX23" s="104">
        <v>0</v>
      </c>
      <c r="AY23" s="104">
        <v>0</v>
      </c>
      <c r="AZ23" s="104">
        <v>0</v>
      </c>
      <c r="BA23" s="104">
        <v>0</v>
      </c>
      <c r="BB23" s="104">
        <v>0</v>
      </c>
      <c r="BC23" s="104">
        <v>0</v>
      </c>
      <c r="BD23" s="104">
        <v>0</v>
      </c>
      <c r="BE23" s="104">
        <v>0</v>
      </c>
      <c r="BF23" s="104">
        <v>0</v>
      </c>
      <c r="BG23" s="104">
        <v>37</v>
      </c>
      <c r="BH23" s="104">
        <v>37</v>
      </c>
      <c r="BI23" s="104">
        <v>1173</v>
      </c>
      <c r="BJ23" s="104">
        <v>0</v>
      </c>
      <c r="BK23" s="104">
        <v>0</v>
      </c>
      <c r="BL23" s="104">
        <v>0</v>
      </c>
      <c r="BM23" s="104">
        <v>0</v>
      </c>
      <c r="BN23" s="104">
        <v>0</v>
      </c>
      <c r="BO23" s="104">
        <v>0</v>
      </c>
      <c r="BP23" s="104">
        <v>0</v>
      </c>
      <c r="BQ23" s="104">
        <v>0</v>
      </c>
      <c r="BR23" s="104">
        <v>0</v>
      </c>
      <c r="BS23" s="104">
        <v>0</v>
      </c>
      <c r="BT23" s="104">
        <v>37</v>
      </c>
      <c r="BU23" s="104">
        <v>1173</v>
      </c>
      <c r="BV23" s="104">
        <v>0</v>
      </c>
      <c r="BW23" s="104">
        <v>0</v>
      </c>
      <c r="BX23" s="104">
        <v>0</v>
      </c>
      <c r="BY23" s="104">
        <v>0</v>
      </c>
      <c r="BZ23" s="104">
        <v>0</v>
      </c>
      <c r="CA23" s="104">
        <v>0</v>
      </c>
      <c r="CB23" s="104">
        <v>0</v>
      </c>
      <c r="CC23" s="104">
        <v>0</v>
      </c>
      <c r="CD23" s="104">
        <v>0</v>
      </c>
      <c r="CE23" s="104">
        <v>0</v>
      </c>
      <c r="CF23" s="104">
        <v>0</v>
      </c>
      <c r="CG23" s="104">
        <v>0</v>
      </c>
      <c r="CH23" s="104">
        <v>0</v>
      </c>
      <c r="CI23" s="104">
        <v>0</v>
      </c>
      <c r="CJ23" s="104">
        <v>0</v>
      </c>
      <c r="CK23" s="104">
        <v>0</v>
      </c>
      <c r="CL23" s="104">
        <v>0</v>
      </c>
      <c r="CM23" s="104">
        <v>0</v>
      </c>
      <c r="CN23" s="104">
        <v>0</v>
      </c>
      <c r="CO23" s="104">
        <v>0</v>
      </c>
    </row>
    <row r="24" s="102" customFormat="1" ht="15" spans="1:93">
      <c r="A24" s="104">
        <v>17</v>
      </c>
      <c r="B24" s="104" t="s">
        <v>1146</v>
      </c>
      <c r="C24" s="104" t="s">
        <v>1147</v>
      </c>
      <c r="D24" s="104" t="s">
        <v>1164</v>
      </c>
      <c r="E24" s="104">
        <v>17623</v>
      </c>
      <c r="F24" s="104">
        <f t="shared" si="0"/>
        <v>3310</v>
      </c>
      <c r="G24" s="104">
        <v>2868</v>
      </c>
      <c r="H24" s="104">
        <v>0</v>
      </c>
      <c r="I24" s="104">
        <v>0</v>
      </c>
      <c r="J24" s="104">
        <v>0</v>
      </c>
      <c r="K24" s="104">
        <v>0</v>
      </c>
      <c r="L24" s="104">
        <v>192</v>
      </c>
      <c r="M24" s="104">
        <v>2144</v>
      </c>
      <c r="N24" s="104">
        <v>5</v>
      </c>
      <c r="O24" s="104">
        <v>0</v>
      </c>
      <c r="P24" s="104">
        <v>0</v>
      </c>
      <c r="Q24" s="104">
        <v>0</v>
      </c>
      <c r="R24" s="104">
        <v>0</v>
      </c>
      <c r="S24" s="104">
        <v>0</v>
      </c>
      <c r="T24" s="104">
        <v>0</v>
      </c>
      <c r="U24" s="104">
        <v>3</v>
      </c>
      <c r="V24" s="104">
        <v>524</v>
      </c>
      <c r="W24" s="104">
        <v>0</v>
      </c>
      <c r="X24" s="104">
        <v>14699</v>
      </c>
      <c r="Y24" s="104">
        <v>386</v>
      </c>
      <c r="Z24" s="104">
        <v>14313</v>
      </c>
      <c r="AA24" s="104">
        <v>0</v>
      </c>
      <c r="AB24" s="104">
        <v>0</v>
      </c>
      <c r="AC24" s="104">
        <v>0</v>
      </c>
      <c r="AD24" s="104">
        <v>0</v>
      </c>
      <c r="AE24" s="104">
        <v>0</v>
      </c>
      <c r="AF24" s="104">
        <v>0</v>
      </c>
      <c r="AG24" s="104">
        <v>0</v>
      </c>
      <c r="AH24" s="104">
        <v>0</v>
      </c>
      <c r="AI24" s="104">
        <v>36</v>
      </c>
      <c r="AJ24" s="104">
        <v>714</v>
      </c>
      <c r="AK24" s="104">
        <v>350</v>
      </c>
      <c r="AL24" s="104">
        <v>13599</v>
      </c>
      <c r="AM24" s="104">
        <v>0</v>
      </c>
      <c r="AN24" s="104">
        <v>0</v>
      </c>
      <c r="AO24" s="104">
        <v>0</v>
      </c>
      <c r="AP24" s="104">
        <v>0</v>
      </c>
      <c r="AQ24" s="104">
        <v>0</v>
      </c>
      <c r="AR24" s="104">
        <v>0</v>
      </c>
      <c r="AS24" s="104">
        <v>0</v>
      </c>
      <c r="AT24" s="104">
        <v>0</v>
      </c>
      <c r="AU24" s="104">
        <v>0</v>
      </c>
      <c r="AV24" s="104">
        <v>0</v>
      </c>
      <c r="AW24" s="104">
        <v>0</v>
      </c>
      <c r="AX24" s="104">
        <v>0</v>
      </c>
      <c r="AY24" s="104">
        <v>0</v>
      </c>
      <c r="AZ24" s="104">
        <v>0</v>
      </c>
      <c r="BA24" s="104">
        <v>0</v>
      </c>
      <c r="BB24" s="104">
        <v>0</v>
      </c>
      <c r="BC24" s="104">
        <v>0</v>
      </c>
      <c r="BD24" s="104">
        <v>0</v>
      </c>
      <c r="BE24" s="104">
        <v>0</v>
      </c>
      <c r="BF24" s="104">
        <v>0</v>
      </c>
      <c r="BG24" s="104">
        <v>56</v>
      </c>
      <c r="BH24" s="104">
        <v>56</v>
      </c>
      <c r="BI24" s="104">
        <v>2224</v>
      </c>
      <c r="BJ24" s="104">
        <v>0</v>
      </c>
      <c r="BK24" s="104">
        <v>0</v>
      </c>
      <c r="BL24" s="104">
        <v>0</v>
      </c>
      <c r="BM24" s="104">
        <v>0</v>
      </c>
      <c r="BN24" s="104">
        <v>0</v>
      </c>
      <c r="BO24" s="104">
        <v>0</v>
      </c>
      <c r="BP24" s="104">
        <v>0</v>
      </c>
      <c r="BQ24" s="104">
        <v>0</v>
      </c>
      <c r="BR24" s="104">
        <v>0</v>
      </c>
      <c r="BS24" s="104">
        <v>0</v>
      </c>
      <c r="BT24" s="104">
        <v>56</v>
      </c>
      <c r="BU24" s="104">
        <v>2224</v>
      </c>
      <c r="BV24" s="104">
        <v>0</v>
      </c>
      <c r="BW24" s="104">
        <v>0</v>
      </c>
      <c r="BX24" s="104">
        <v>0</v>
      </c>
      <c r="BY24" s="104">
        <v>0</v>
      </c>
      <c r="BZ24" s="104">
        <v>0</v>
      </c>
      <c r="CA24" s="104">
        <v>0</v>
      </c>
      <c r="CB24" s="104">
        <v>0</v>
      </c>
      <c r="CC24" s="104">
        <v>0</v>
      </c>
      <c r="CD24" s="104">
        <v>0</v>
      </c>
      <c r="CE24" s="104">
        <v>0</v>
      </c>
      <c r="CF24" s="104">
        <v>0</v>
      </c>
      <c r="CG24" s="104">
        <v>0</v>
      </c>
      <c r="CH24" s="104">
        <v>0</v>
      </c>
      <c r="CI24" s="104">
        <v>0</v>
      </c>
      <c r="CJ24" s="104">
        <v>0</v>
      </c>
      <c r="CK24" s="104">
        <v>0</v>
      </c>
      <c r="CL24" s="104">
        <v>0</v>
      </c>
      <c r="CM24" s="104">
        <v>0</v>
      </c>
      <c r="CN24" s="104">
        <v>0</v>
      </c>
      <c r="CO24" s="104">
        <v>0</v>
      </c>
    </row>
    <row r="25" s="102" customFormat="1" ht="15" spans="1:93">
      <c r="A25" s="104">
        <v>18</v>
      </c>
      <c r="B25" s="104" t="s">
        <v>1146</v>
      </c>
      <c r="C25" s="104" t="s">
        <v>1147</v>
      </c>
      <c r="D25" s="104" t="s">
        <v>1165</v>
      </c>
      <c r="E25" s="104">
        <v>4220</v>
      </c>
      <c r="F25" s="104">
        <f t="shared" si="0"/>
        <v>4220</v>
      </c>
      <c r="G25" s="104">
        <v>4220</v>
      </c>
      <c r="H25" s="104">
        <v>0</v>
      </c>
      <c r="I25" s="104">
        <v>0</v>
      </c>
      <c r="J25" s="104">
        <v>0</v>
      </c>
      <c r="K25" s="104">
        <v>0</v>
      </c>
      <c r="L25" s="104">
        <v>62</v>
      </c>
      <c r="M25" s="104">
        <v>2410</v>
      </c>
      <c r="N25" s="104">
        <v>0</v>
      </c>
      <c r="O25" s="104">
        <v>0</v>
      </c>
      <c r="P25" s="104">
        <v>0</v>
      </c>
      <c r="Q25" s="104">
        <v>0</v>
      </c>
      <c r="R25" s="104">
        <v>0</v>
      </c>
      <c r="S25" s="104">
        <v>0</v>
      </c>
      <c r="T25" s="104">
        <v>0</v>
      </c>
      <c r="U25" s="104">
        <v>0</v>
      </c>
      <c r="V25" s="104">
        <v>1748</v>
      </c>
      <c r="W25" s="104">
        <v>0</v>
      </c>
      <c r="X25" s="104">
        <v>0</v>
      </c>
      <c r="Y25" s="104">
        <v>0</v>
      </c>
      <c r="Z25" s="104">
        <v>0</v>
      </c>
      <c r="AA25" s="104">
        <v>0</v>
      </c>
      <c r="AB25" s="104">
        <v>0</v>
      </c>
      <c r="AC25" s="104">
        <v>0</v>
      </c>
      <c r="AD25" s="104">
        <v>0</v>
      </c>
      <c r="AE25" s="104">
        <v>0</v>
      </c>
      <c r="AF25" s="104">
        <v>0</v>
      </c>
      <c r="AG25" s="104">
        <v>0</v>
      </c>
      <c r="AH25" s="104">
        <v>0</v>
      </c>
      <c r="AI25" s="104">
        <v>0</v>
      </c>
      <c r="AJ25" s="104">
        <v>0</v>
      </c>
      <c r="AK25" s="104">
        <v>0</v>
      </c>
      <c r="AL25" s="104">
        <v>0</v>
      </c>
      <c r="AM25" s="104">
        <v>0</v>
      </c>
      <c r="AN25" s="104">
        <v>0</v>
      </c>
      <c r="AO25" s="104">
        <v>0</v>
      </c>
      <c r="AP25" s="104">
        <v>0</v>
      </c>
      <c r="AQ25" s="104">
        <v>0</v>
      </c>
      <c r="AR25" s="104">
        <v>0</v>
      </c>
      <c r="AS25" s="104">
        <v>0</v>
      </c>
      <c r="AT25" s="104">
        <v>0</v>
      </c>
      <c r="AU25" s="104">
        <v>0</v>
      </c>
      <c r="AV25" s="104">
        <v>0</v>
      </c>
      <c r="AW25" s="104">
        <v>0</v>
      </c>
      <c r="AX25" s="104">
        <v>0</v>
      </c>
      <c r="AY25" s="104">
        <v>0</v>
      </c>
      <c r="AZ25" s="104">
        <v>0</v>
      </c>
      <c r="BA25" s="104">
        <v>0</v>
      </c>
      <c r="BB25" s="104">
        <v>0</v>
      </c>
      <c r="BC25" s="104">
        <v>0</v>
      </c>
      <c r="BD25" s="104">
        <v>0</v>
      </c>
      <c r="BE25" s="104">
        <v>0</v>
      </c>
      <c r="BF25" s="104">
        <v>0</v>
      </c>
      <c r="BG25" s="104">
        <v>0</v>
      </c>
      <c r="BH25" s="104">
        <v>0</v>
      </c>
      <c r="BI25" s="104">
        <v>0</v>
      </c>
      <c r="BJ25" s="104">
        <v>0</v>
      </c>
      <c r="BK25" s="104">
        <v>0</v>
      </c>
      <c r="BL25" s="104">
        <v>0</v>
      </c>
      <c r="BM25" s="104">
        <v>0</v>
      </c>
      <c r="BN25" s="104">
        <v>0</v>
      </c>
      <c r="BO25" s="104">
        <v>0</v>
      </c>
      <c r="BP25" s="104">
        <v>0</v>
      </c>
      <c r="BQ25" s="104">
        <v>0</v>
      </c>
      <c r="BR25" s="104">
        <v>0</v>
      </c>
      <c r="BS25" s="104">
        <v>0</v>
      </c>
      <c r="BT25" s="104">
        <v>0</v>
      </c>
      <c r="BU25" s="104">
        <v>0</v>
      </c>
      <c r="BV25" s="104">
        <v>0</v>
      </c>
      <c r="BW25" s="104">
        <v>0</v>
      </c>
      <c r="BX25" s="104">
        <v>0</v>
      </c>
      <c r="BY25" s="104">
        <v>0</v>
      </c>
      <c r="BZ25" s="104">
        <v>0</v>
      </c>
      <c r="CA25" s="104">
        <v>0</v>
      </c>
      <c r="CB25" s="104">
        <v>0</v>
      </c>
      <c r="CC25" s="104">
        <v>0</v>
      </c>
      <c r="CD25" s="104">
        <v>0</v>
      </c>
      <c r="CE25" s="104">
        <v>0</v>
      </c>
      <c r="CF25" s="104">
        <v>0</v>
      </c>
      <c r="CG25" s="104">
        <v>0</v>
      </c>
      <c r="CH25" s="104">
        <v>0</v>
      </c>
      <c r="CI25" s="104">
        <v>0</v>
      </c>
      <c r="CJ25" s="104">
        <v>0</v>
      </c>
      <c r="CK25" s="104">
        <v>0</v>
      </c>
      <c r="CL25" s="104">
        <v>0</v>
      </c>
      <c r="CM25" s="104">
        <v>0</v>
      </c>
      <c r="CN25" s="104">
        <v>0</v>
      </c>
      <c r="CO25" s="104">
        <v>0</v>
      </c>
    </row>
    <row r="26" s="102" customFormat="1" ht="15" spans="1:93">
      <c r="A26" s="104">
        <v>19</v>
      </c>
      <c r="B26" s="104" t="s">
        <v>1146</v>
      </c>
      <c r="C26" s="104" t="s">
        <v>1147</v>
      </c>
      <c r="D26" s="104" t="s">
        <v>1166</v>
      </c>
      <c r="E26" s="104">
        <v>9903</v>
      </c>
      <c r="F26" s="104">
        <f t="shared" si="0"/>
        <v>5114</v>
      </c>
      <c r="G26" s="104">
        <v>4939</v>
      </c>
      <c r="H26" s="104">
        <v>0</v>
      </c>
      <c r="I26" s="104">
        <v>0</v>
      </c>
      <c r="J26" s="104">
        <v>0</v>
      </c>
      <c r="K26" s="104">
        <v>0</v>
      </c>
      <c r="L26" s="104">
        <v>7</v>
      </c>
      <c r="M26" s="104">
        <v>4761</v>
      </c>
      <c r="N26" s="104">
        <v>0</v>
      </c>
      <c r="O26" s="104">
        <v>0</v>
      </c>
      <c r="P26" s="104">
        <v>0</v>
      </c>
      <c r="Q26" s="104">
        <v>0</v>
      </c>
      <c r="R26" s="104">
        <v>0</v>
      </c>
      <c r="S26" s="104">
        <v>0</v>
      </c>
      <c r="T26" s="104">
        <v>0</v>
      </c>
      <c r="U26" s="104">
        <v>0</v>
      </c>
      <c r="V26" s="104">
        <v>171</v>
      </c>
      <c r="W26" s="104">
        <v>0</v>
      </c>
      <c r="X26" s="104">
        <v>4964</v>
      </c>
      <c r="Y26" s="104">
        <v>175</v>
      </c>
      <c r="Z26" s="104">
        <v>4789</v>
      </c>
      <c r="AA26" s="104">
        <v>0</v>
      </c>
      <c r="AB26" s="104">
        <v>0</v>
      </c>
      <c r="AC26" s="104">
        <v>0</v>
      </c>
      <c r="AD26" s="104">
        <v>0</v>
      </c>
      <c r="AE26" s="104">
        <v>0</v>
      </c>
      <c r="AF26" s="104">
        <v>0</v>
      </c>
      <c r="AG26" s="104">
        <v>0</v>
      </c>
      <c r="AH26" s="104">
        <v>0</v>
      </c>
      <c r="AI26" s="104">
        <v>5</v>
      </c>
      <c r="AJ26" s="104">
        <v>5</v>
      </c>
      <c r="AK26" s="104">
        <v>170</v>
      </c>
      <c r="AL26" s="104">
        <v>4784</v>
      </c>
      <c r="AM26" s="104">
        <v>0</v>
      </c>
      <c r="AN26" s="104">
        <v>0</v>
      </c>
      <c r="AO26" s="104">
        <v>0</v>
      </c>
      <c r="AP26" s="104">
        <v>0</v>
      </c>
      <c r="AQ26" s="104">
        <v>0</v>
      </c>
      <c r="AR26" s="104">
        <v>0</v>
      </c>
      <c r="AS26" s="104">
        <v>0</v>
      </c>
      <c r="AT26" s="104">
        <v>0</v>
      </c>
      <c r="AU26" s="104">
        <v>0</v>
      </c>
      <c r="AV26" s="104">
        <v>0</v>
      </c>
      <c r="AW26" s="104">
        <v>0</v>
      </c>
      <c r="AX26" s="104">
        <v>0</v>
      </c>
      <c r="AY26" s="104">
        <v>0</v>
      </c>
      <c r="AZ26" s="104">
        <v>0</v>
      </c>
      <c r="BA26" s="104">
        <v>0</v>
      </c>
      <c r="BB26" s="104">
        <v>0</v>
      </c>
      <c r="BC26" s="104">
        <v>0</v>
      </c>
      <c r="BD26" s="104">
        <v>0</v>
      </c>
      <c r="BE26" s="104">
        <v>0</v>
      </c>
      <c r="BF26" s="104">
        <v>0</v>
      </c>
      <c r="BG26" s="104">
        <v>0</v>
      </c>
      <c r="BH26" s="104">
        <v>0</v>
      </c>
      <c r="BI26" s="104">
        <v>0</v>
      </c>
      <c r="BJ26" s="104">
        <v>0</v>
      </c>
      <c r="BK26" s="104">
        <v>0</v>
      </c>
      <c r="BL26" s="104">
        <v>0</v>
      </c>
      <c r="BM26" s="104">
        <v>0</v>
      </c>
      <c r="BN26" s="104">
        <v>0</v>
      </c>
      <c r="BO26" s="104">
        <v>0</v>
      </c>
      <c r="BP26" s="104">
        <v>0</v>
      </c>
      <c r="BQ26" s="104">
        <v>0</v>
      </c>
      <c r="BR26" s="104">
        <v>0</v>
      </c>
      <c r="BS26" s="104">
        <v>0</v>
      </c>
      <c r="BT26" s="104">
        <v>0</v>
      </c>
      <c r="BU26" s="104">
        <v>0</v>
      </c>
      <c r="BV26" s="104">
        <v>0</v>
      </c>
      <c r="BW26" s="104">
        <v>0</v>
      </c>
      <c r="BX26" s="104">
        <v>0</v>
      </c>
      <c r="BY26" s="104">
        <v>0</v>
      </c>
      <c r="BZ26" s="104">
        <v>0</v>
      </c>
      <c r="CA26" s="104">
        <v>0</v>
      </c>
      <c r="CB26" s="104">
        <v>0</v>
      </c>
      <c r="CC26" s="104">
        <v>0</v>
      </c>
      <c r="CD26" s="104">
        <v>0</v>
      </c>
      <c r="CE26" s="104">
        <v>0</v>
      </c>
      <c r="CF26" s="104">
        <v>0</v>
      </c>
      <c r="CG26" s="104">
        <v>0</v>
      </c>
      <c r="CH26" s="104">
        <v>0</v>
      </c>
      <c r="CI26" s="104">
        <v>0</v>
      </c>
      <c r="CJ26" s="104">
        <v>0</v>
      </c>
      <c r="CK26" s="104">
        <v>0</v>
      </c>
      <c r="CL26" s="104">
        <v>0</v>
      </c>
      <c r="CM26" s="104">
        <v>0</v>
      </c>
      <c r="CN26" s="104">
        <v>0</v>
      </c>
      <c r="CO26" s="104">
        <v>0</v>
      </c>
    </row>
    <row r="27" s="102" customFormat="1" ht="15" spans="1:93">
      <c r="A27" s="104">
        <v>20</v>
      </c>
      <c r="B27" s="104" t="s">
        <v>1146</v>
      </c>
      <c r="C27" s="104" t="s">
        <v>1147</v>
      </c>
      <c r="D27" s="104" t="s">
        <v>1167</v>
      </c>
      <c r="E27" s="104">
        <v>19749</v>
      </c>
      <c r="F27" s="104">
        <f t="shared" si="0"/>
        <v>5639</v>
      </c>
      <c r="G27" s="104">
        <v>5047</v>
      </c>
      <c r="H27" s="104">
        <v>0</v>
      </c>
      <c r="I27" s="104">
        <v>0</v>
      </c>
      <c r="J27" s="104">
        <v>0</v>
      </c>
      <c r="K27" s="104">
        <v>0</v>
      </c>
      <c r="L27" s="104">
        <v>318</v>
      </c>
      <c r="M27" s="104">
        <v>3279</v>
      </c>
      <c r="N27" s="104">
        <v>23</v>
      </c>
      <c r="O27" s="104">
        <v>0</v>
      </c>
      <c r="P27" s="104">
        <v>0</v>
      </c>
      <c r="Q27" s="104">
        <v>0</v>
      </c>
      <c r="R27" s="104">
        <v>0</v>
      </c>
      <c r="S27" s="104">
        <v>0</v>
      </c>
      <c r="T27" s="104">
        <v>0</v>
      </c>
      <c r="U27" s="104">
        <v>17</v>
      </c>
      <c r="V27" s="104">
        <v>1410</v>
      </c>
      <c r="W27" s="104">
        <v>0</v>
      </c>
      <c r="X27" s="104">
        <v>14702</v>
      </c>
      <c r="Y27" s="104">
        <v>592</v>
      </c>
      <c r="Z27" s="104">
        <v>14110</v>
      </c>
      <c r="AA27" s="104">
        <v>0</v>
      </c>
      <c r="AB27" s="104">
        <v>0</v>
      </c>
      <c r="AC27" s="104">
        <v>0</v>
      </c>
      <c r="AD27" s="104">
        <v>0</v>
      </c>
      <c r="AE27" s="104">
        <v>0</v>
      </c>
      <c r="AF27" s="104">
        <v>0</v>
      </c>
      <c r="AG27" s="104">
        <v>0</v>
      </c>
      <c r="AH27" s="104">
        <v>0</v>
      </c>
      <c r="AI27" s="104">
        <v>3</v>
      </c>
      <c r="AJ27" s="104">
        <v>65</v>
      </c>
      <c r="AK27" s="104">
        <v>589</v>
      </c>
      <c r="AL27" s="104">
        <v>14045</v>
      </c>
      <c r="AM27" s="104">
        <v>0</v>
      </c>
      <c r="AN27" s="104">
        <v>0</v>
      </c>
      <c r="AO27" s="104">
        <v>0</v>
      </c>
      <c r="AP27" s="104">
        <v>0</v>
      </c>
      <c r="AQ27" s="104">
        <v>0</v>
      </c>
      <c r="AR27" s="104">
        <v>0</v>
      </c>
      <c r="AS27" s="104">
        <v>0</v>
      </c>
      <c r="AT27" s="104">
        <v>0</v>
      </c>
      <c r="AU27" s="104">
        <v>0</v>
      </c>
      <c r="AV27" s="104">
        <v>0</v>
      </c>
      <c r="AW27" s="104">
        <v>0</v>
      </c>
      <c r="AX27" s="104">
        <v>0</v>
      </c>
      <c r="AY27" s="104">
        <v>0</v>
      </c>
      <c r="AZ27" s="104">
        <v>0</v>
      </c>
      <c r="BA27" s="104">
        <v>0</v>
      </c>
      <c r="BB27" s="104">
        <v>0</v>
      </c>
      <c r="BC27" s="104">
        <v>0</v>
      </c>
      <c r="BD27" s="104">
        <v>0</v>
      </c>
      <c r="BE27" s="104">
        <v>0</v>
      </c>
      <c r="BF27" s="104">
        <v>0</v>
      </c>
      <c r="BG27" s="104">
        <v>0</v>
      </c>
      <c r="BH27" s="104">
        <v>0</v>
      </c>
      <c r="BI27" s="104">
        <v>0</v>
      </c>
      <c r="BJ27" s="104">
        <v>0</v>
      </c>
      <c r="BK27" s="104">
        <v>0</v>
      </c>
      <c r="BL27" s="104">
        <v>0</v>
      </c>
      <c r="BM27" s="104">
        <v>0</v>
      </c>
      <c r="BN27" s="104">
        <v>0</v>
      </c>
      <c r="BO27" s="104">
        <v>0</v>
      </c>
      <c r="BP27" s="104">
        <v>0</v>
      </c>
      <c r="BQ27" s="104">
        <v>0</v>
      </c>
      <c r="BR27" s="104">
        <v>0</v>
      </c>
      <c r="BS27" s="104">
        <v>0</v>
      </c>
      <c r="BT27" s="104">
        <v>0</v>
      </c>
      <c r="BU27" s="104">
        <v>0</v>
      </c>
      <c r="BV27" s="104">
        <v>0</v>
      </c>
      <c r="BW27" s="104">
        <v>0</v>
      </c>
      <c r="BX27" s="104">
        <v>0</v>
      </c>
      <c r="BY27" s="104">
        <v>0</v>
      </c>
      <c r="BZ27" s="104">
        <v>0</v>
      </c>
      <c r="CA27" s="104">
        <v>0</v>
      </c>
      <c r="CB27" s="104">
        <v>0</v>
      </c>
      <c r="CC27" s="104">
        <v>0</v>
      </c>
      <c r="CD27" s="104">
        <v>0</v>
      </c>
      <c r="CE27" s="104">
        <v>0</v>
      </c>
      <c r="CF27" s="104">
        <v>0</v>
      </c>
      <c r="CG27" s="104">
        <v>0</v>
      </c>
      <c r="CH27" s="104">
        <v>0</v>
      </c>
      <c r="CI27" s="104">
        <v>0</v>
      </c>
      <c r="CJ27" s="104">
        <v>0</v>
      </c>
      <c r="CK27" s="104">
        <v>0</v>
      </c>
      <c r="CL27" s="104">
        <v>0</v>
      </c>
      <c r="CM27" s="104">
        <v>0</v>
      </c>
      <c r="CN27" s="104">
        <v>0</v>
      </c>
      <c r="CO27" s="104">
        <v>0</v>
      </c>
    </row>
    <row r="28" s="102" customFormat="1" ht="15" spans="1:93">
      <c r="A28" s="104">
        <v>21</v>
      </c>
      <c r="B28" s="104" t="s">
        <v>1146</v>
      </c>
      <c r="C28" s="104" t="s">
        <v>1147</v>
      </c>
      <c r="D28" s="104" t="s">
        <v>1168</v>
      </c>
      <c r="E28" s="104">
        <v>21225</v>
      </c>
      <c r="F28" s="104">
        <f t="shared" si="0"/>
        <v>4949</v>
      </c>
      <c r="G28" s="104">
        <v>4400</v>
      </c>
      <c r="H28" s="104">
        <v>0</v>
      </c>
      <c r="I28" s="104">
        <v>0</v>
      </c>
      <c r="J28" s="104">
        <v>0</v>
      </c>
      <c r="K28" s="104">
        <v>0</v>
      </c>
      <c r="L28" s="104">
        <v>563</v>
      </c>
      <c r="M28" s="104">
        <v>2680</v>
      </c>
      <c r="N28" s="104">
        <v>40</v>
      </c>
      <c r="O28" s="104">
        <v>0</v>
      </c>
      <c r="P28" s="104">
        <v>0</v>
      </c>
      <c r="Q28" s="104">
        <v>0</v>
      </c>
      <c r="R28" s="104">
        <v>0</v>
      </c>
      <c r="S28" s="104">
        <v>0</v>
      </c>
      <c r="T28" s="104">
        <v>0</v>
      </c>
      <c r="U28" s="104">
        <v>22</v>
      </c>
      <c r="V28" s="104">
        <v>1095</v>
      </c>
      <c r="W28" s="104">
        <v>0</v>
      </c>
      <c r="X28" s="104">
        <v>16825</v>
      </c>
      <c r="Y28" s="104">
        <v>549</v>
      </c>
      <c r="Z28" s="104">
        <v>16276</v>
      </c>
      <c r="AA28" s="104">
        <v>0</v>
      </c>
      <c r="AB28" s="104">
        <v>0</v>
      </c>
      <c r="AC28" s="104">
        <v>0</v>
      </c>
      <c r="AD28" s="104">
        <v>0</v>
      </c>
      <c r="AE28" s="104">
        <v>0</v>
      </c>
      <c r="AF28" s="104">
        <v>0</v>
      </c>
      <c r="AG28" s="104">
        <v>0</v>
      </c>
      <c r="AH28" s="104">
        <v>0</v>
      </c>
      <c r="AI28" s="104">
        <v>128</v>
      </c>
      <c r="AJ28" s="104">
        <v>1849</v>
      </c>
      <c r="AK28" s="104">
        <v>421</v>
      </c>
      <c r="AL28" s="104">
        <v>14409</v>
      </c>
      <c r="AM28" s="104">
        <v>0</v>
      </c>
      <c r="AN28" s="104">
        <v>18</v>
      </c>
      <c r="AO28" s="104">
        <v>0</v>
      </c>
      <c r="AP28" s="104">
        <v>0</v>
      </c>
      <c r="AQ28" s="104">
        <v>0</v>
      </c>
      <c r="AR28" s="104">
        <v>0</v>
      </c>
      <c r="AS28" s="104">
        <v>0</v>
      </c>
      <c r="AT28" s="104">
        <v>0</v>
      </c>
      <c r="AU28" s="104">
        <v>0</v>
      </c>
      <c r="AV28" s="104">
        <v>0</v>
      </c>
      <c r="AW28" s="104">
        <v>0</v>
      </c>
      <c r="AX28" s="104">
        <v>0</v>
      </c>
      <c r="AY28" s="104">
        <v>0</v>
      </c>
      <c r="AZ28" s="104">
        <v>0</v>
      </c>
      <c r="BA28" s="104">
        <v>0</v>
      </c>
      <c r="BB28" s="104">
        <v>0</v>
      </c>
      <c r="BC28" s="104">
        <v>0</v>
      </c>
      <c r="BD28" s="104">
        <v>0</v>
      </c>
      <c r="BE28" s="104">
        <v>0</v>
      </c>
      <c r="BF28" s="104">
        <v>0</v>
      </c>
      <c r="BG28" s="104">
        <v>0</v>
      </c>
      <c r="BH28" s="104">
        <v>0</v>
      </c>
      <c r="BI28" s="104">
        <v>0</v>
      </c>
      <c r="BJ28" s="104">
        <v>0</v>
      </c>
      <c r="BK28" s="104">
        <v>0</v>
      </c>
      <c r="BL28" s="104">
        <v>0</v>
      </c>
      <c r="BM28" s="104">
        <v>0</v>
      </c>
      <c r="BN28" s="104">
        <v>0</v>
      </c>
      <c r="BO28" s="104">
        <v>0</v>
      </c>
      <c r="BP28" s="104">
        <v>0</v>
      </c>
      <c r="BQ28" s="104">
        <v>0</v>
      </c>
      <c r="BR28" s="104">
        <v>0</v>
      </c>
      <c r="BS28" s="104">
        <v>0</v>
      </c>
      <c r="BT28" s="104">
        <v>0</v>
      </c>
      <c r="BU28" s="104">
        <v>0</v>
      </c>
      <c r="BV28" s="104">
        <v>0</v>
      </c>
      <c r="BW28" s="104">
        <v>0</v>
      </c>
      <c r="BX28" s="104">
        <v>0</v>
      </c>
      <c r="BY28" s="104">
        <v>0</v>
      </c>
      <c r="BZ28" s="104">
        <v>0</v>
      </c>
      <c r="CA28" s="104">
        <v>0</v>
      </c>
      <c r="CB28" s="104">
        <v>0</v>
      </c>
      <c r="CC28" s="104">
        <v>0</v>
      </c>
      <c r="CD28" s="104">
        <v>0</v>
      </c>
      <c r="CE28" s="104">
        <v>0</v>
      </c>
      <c r="CF28" s="104">
        <v>0</v>
      </c>
      <c r="CG28" s="104">
        <v>0</v>
      </c>
      <c r="CH28" s="104">
        <v>0</v>
      </c>
      <c r="CI28" s="104">
        <v>0</v>
      </c>
      <c r="CJ28" s="104">
        <v>0</v>
      </c>
      <c r="CK28" s="104">
        <v>0</v>
      </c>
      <c r="CL28" s="104">
        <v>0</v>
      </c>
      <c r="CM28" s="104">
        <v>0</v>
      </c>
      <c r="CN28" s="104">
        <v>0</v>
      </c>
      <c r="CO28" s="104">
        <v>0</v>
      </c>
    </row>
    <row r="29" s="102" customFormat="1" ht="15" spans="1:93">
      <c r="A29" s="104">
        <v>22</v>
      </c>
      <c r="B29" s="104" t="s">
        <v>1146</v>
      </c>
      <c r="C29" s="104" t="s">
        <v>1147</v>
      </c>
      <c r="D29" s="104" t="s">
        <v>1169</v>
      </c>
      <c r="E29" s="104">
        <v>20974</v>
      </c>
      <c r="F29" s="104">
        <f t="shared" si="0"/>
        <v>5056</v>
      </c>
      <c r="G29" s="104">
        <v>4444</v>
      </c>
      <c r="H29" s="104">
        <v>0</v>
      </c>
      <c r="I29" s="104">
        <v>0</v>
      </c>
      <c r="J29" s="104">
        <v>0</v>
      </c>
      <c r="K29" s="104">
        <v>0</v>
      </c>
      <c r="L29" s="104">
        <v>239</v>
      </c>
      <c r="M29" s="104">
        <v>3442</v>
      </c>
      <c r="N29" s="104">
        <v>32</v>
      </c>
      <c r="O29" s="104">
        <v>0</v>
      </c>
      <c r="P29" s="104">
        <v>0</v>
      </c>
      <c r="Q29" s="104">
        <v>0</v>
      </c>
      <c r="R29" s="104">
        <v>0</v>
      </c>
      <c r="S29" s="104">
        <v>0</v>
      </c>
      <c r="T29" s="104">
        <v>0</v>
      </c>
      <c r="U29" s="104">
        <v>4</v>
      </c>
      <c r="V29" s="104">
        <v>727</v>
      </c>
      <c r="W29" s="104">
        <v>0</v>
      </c>
      <c r="X29" s="104">
        <v>16527</v>
      </c>
      <c r="Y29" s="104">
        <v>609</v>
      </c>
      <c r="Z29" s="104">
        <v>15918</v>
      </c>
      <c r="AA29" s="104">
        <v>0</v>
      </c>
      <c r="AB29" s="104">
        <v>0</v>
      </c>
      <c r="AC29" s="104">
        <v>0</v>
      </c>
      <c r="AD29" s="104">
        <v>0</v>
      </c>
      <c r="AE29" s="104">
        <v>0</v>
      </c>
      <c r="AF29" s="104">
        <v>0</v>
      </c>
      <c r="AG29" s="104">
        <v>0</v>
      </c>
      <c r="AH29" s="104">
        <v>0</v>
      </c>
      <c r="AI29" s="104">
        <v>41</v>
      </c>
      <c r="AJ29" s="104">
        <v>539</v>
      </c>
      <c r="AK29" s="104">
        <v>546</v>
      </c>
      <c r="AL29" s="104">
        <v>15288</v>
      </c>
      <c r="AM29" s="104">
        <v>0</v>
      </c>
      <c r="AN29" s="104">
        <v>44</v>
      </c>
      <c r="AO29" s="104">
        <v>0</v>
      </c>
      <c r="AP29" s="104">
        <v>0</v>
      </c>
      <c r="AQ29" s="104">
        <v>0</v>
      </c>
      <c r="AR29" s="104">
        <v>0</v>
      </c>
      <c r="AS29" s="104">
        <v>0</v>
      </c>
      <c r="AT29" s="104">
        <v>0</v>
      </c>
      <c r="AU29" s="104">
        <v>22</v>
      </c>
      <c r="AV29" s="104">
        <v>47</v>
      </c>
      <c r="AW29" s="104">
        <v>0</v>
      </c>
      <c r="AX29" s="104">
        <v>0</v>
      </c>
      <c r="AY29" s="104">
        <v>0</v>
      </c>
      <c r="AZ29" s="104">
        <v>0</v>
      </c>
      <c r="BA29" s="104">
        <v>0</v>
      </c>
      <c r="BB29" s="104">
        <v>0</v>
      </c>
      <c r="BC29" s="104">
        <v>0</v>
      </c>
      <c r="BD29" s="104">
        <v>0</v>
      </c>
      <c r="BE29" s="104">
        <v>0</v>
      </c>
      <c r="BF29" s="104">
        <v>0</v>
      </c>
      <c r="BG29" s="104">
        <v>3</v>
      </c>
      <c r="BH29" s="104">
        <v>3</v>
      </c>
      <c r="BI29" s="104">
        <v>12</v>
      </c>
      <c r="BJ29" s="104">
        <v>0</v>
      </c>
      <c r="BK29" s="104">
        <v>0</v>
      </c>
      <c r="BL29" s="104">
        <v>0</v>
      </c>
      <c r="BM29" s="104">
        <v>0</v>
      </c>
      <c r="BN29" s="104">
        <v>0</v>
      </c>
      <c r="BO29" s="104">
        <v>0</v>
      </c>
      <c r="BP29" s="104">
        <v>0</v>
      </c>
      <c r="BQ29" s="104">
        <v>0</v>
      </c>
      <c r="BR29" s="104">
        <v>3</v>
      </c>
      <c r="BS29" s="104">
        <v>12</v>
      </c>
      <c r="BT29" s="104">
        <v>0</v>
      </c>
      <c r="BU29" s="104">
        <v>0</v>
      </c>
      <c r="BV29" s="104">
        <v>0</v>
      </c>
      <c r="BW29" s="104">
        <v>0</v>
      </c>
      <c r="BX29" s="104">
        <v>0</v>
      </c>
      <c r="BY29" s="104">
        <v>0</v>
      </c>
      <c r="BZ29" s="104">
        <v>0</v>
      </c>
      <c r="CA29" s="104">
        <v>0</v>
      </c>
      <c r="CB29" s="104">
        <v>0</v>
      </c>
      <c r="CC29" s="104">
        <v>0</v>
      </c>
      <c r="CD29" s="104">
        <v>0</v>
      </c>
      <c r="CE29" s="104">
        <v>0</v>
      </c>
      <c r="CF29" s="104">
        <v>0</v>
      </c>
      <c r="CG29" s="104">
        <v>0</v>
      </c>
      <c r="CH29" s="104">
        <v>0</v>
      </c>
      <c r="CI29" s="104">
        <v>0</v>
      </c>
      <c r="CJ29" s="104">
        <v>0</v>
      </c>
      <c r="CK29" s="104">
        <v>0</v>
      </c>
      <c r="CL29" s="104">
        <v>0</v>
      </c>
      <c r="CM29" s="104">
        <v>0</v>
      </c>
      <c r="CN29" s="104">
        <v>0</v>
      </c>
      <c r="CO29" s="104">
        <v>0</v>
      </c>
    </row>
    <row r="30" s="102" customFormat="1" ht="15" spans="1:93">
      <c r="A30" s="104">
        <v>23</v>
      </c>
      <c r="B30" s="104" t="s">
        <v>1146</v>
      </c>
      <c r="C30" s="104" t="s">
        <v>1147</v>
      </c>
      <c r="D30" s="104" t="s">
        <v>1170</v>
      </c>
      <c r="E30" s="104">
        <v>6303</v>
      </c>
      <c r="F30" s="104">
        <f t="shared" si="0"/>
        <v>1608</v>
      </c>
      <c r="G30" s="104">
        <v>1191</v>
      </c>
      <c r="H30" s="104">
        <v>0</v>
      </c>
      <c r="I30" s="104">
        <v>0</v>
      </c>
      <c r="J30" s="104">
        <v>0</v>
      </c>
      <c r="K30" s="104">
        <v>0</v>
      </c>
      <c r="L30" s="104">
        <v>83</v>
      </c>
      <c r="M30" s="104">
        <v>828</v>
      </c>
      <c r="N30" s="104">
        <v>26</v>
      </c>
      <c r="O30" s="104">
        <v>0</v>
      </c>
      <c r="P30" s="104">
        <v>0</v>
      </c>
      <c r="Q30" s="104">
        <v>0</v>
      </c>
      <c r="R30" s="104">
        <v>0</v>
      </c>
      <c r="S30" s="104">
        <v>0</v>
      </c>
      <c r="T30" s="104">
        <v>0</v>
      </c>
      <c r="U30" s="104">
        <v>8</v>
      </c>
      <c r="V30" s="104">
        <v>246</v>
      </c>
      <c r="W30" s="104">
        <v>0</v>
      </c>
      <c r="X30" s="104">
        <v>5035</v>
      </c>
      <c r="Y30" s="104">
        <v>340</v>
      </c>
      <c r="Z30" s="104">
        <v>4695</v>
      </c>
      <c r="AA30" s="104">
        <v>0</v>
      </c>
      <c r="AB30" s="104">
        <v>0</v>
      </c>
      <c r="AC30" s="104">
        <v>0</v>
      </c>
      <c r="AD30" s="104">
        <v>0</v>
      </c>
      <c r="AE30" s="104">
        <v>0</v>
      </c>
      <c r="AF30" s="104">
        <v>0</v>
      </c>
      <c r="AG30" s="104">
        <v>0</v>
      </c>
      <c r="AH30" s="104">
        <v>0</v>
      </c>
      <c r="AI30" s="104">
        <v>10</v>
      </c>
      <c r="AJ30" s="104">
        <v>34</v>
      </c>
      <c r="AK30" s="104">
        <v>327</v>
      </c>
      <c r="AL30" s="104">
        <v>4631</v>
      </c>
      <c r="AM30" s="104">
        <v>0</v>
      </c>
      <c r="AN30" s="104">
        <v>23</v>
      </c>
      <c r="AO30" s="104">
        <v>0</v>
      </c>
      <c r="AP30" s="104">
        <v>0</v>
      </c>
      <c r="AQ30" s="104">
        <v>0</v>
      </c>
      <c r="AR30" s="104">
        <v>0</v>
      </c>
      <c r="AS30" s="104">
        <v>0</v>
      </c>
      <c r="AT30" s="104">
        <v>0</v>
      </c>
      <c r="AU30" s="104">
        <v>0</v>
      </c>
      <c r="AV30" s="104">
        <v>0</v>
      </c>
      <c r="AW30" s="104">
        <v>0</v>
      </c>
      <c r="AX30" s="104">
        <v>0</v>
      </c>
      <c r="AY30" s="104">
        <v>0</v>
      </c>
      <c r="AZ30" s="104">
        <v>0</v>
      </c>
      <c r="BA30" s="104">
        <v>0</v>
      </c>
      <c r="BB30" s="104">
        <v>0</v>
      </c>
      <c r="BC30" s="104">
        <v>3</v>
      </c>
      <c r="BD30" s="104">
        <v>7</v>
      </c>
      <c r="BE30" s="104">
        <v>0</v>
      </c>
      <c r="BF30" s="104">
        <v>0</v>
      </c>
      <c r="BG30" s="104">
        <v>77</v>
      </c>
      <c r="BH30" s="104">
        <v>77</v>
      </c>
      <c r="BI30" s="104">
        <v>517</v>
      </c>
      <c r="BJ30" s="104">
        <v>3</v>
      </c>
      <c r="BK30" s="104">
        <v>0</v>
      </c>
      <c r="BL30" s="104">
        <v>0</v>
      </c>
      <c r="BM30" s="104">
        <v>0</v>
      </c>
      <c r="BN30" s="104">
        <v>6</v>
      </c>
      <c r="BO30" s="104">
        <v>6</v>
      </c>
      <c r="BP30" s="104">
        <v>0</v>
      </c>
      <c r="BQ30" s="104">
        <v>0</v>
      </c>
      <c r="BR30" s="104">
        <v>0</v>
      </c>
      <c r="BS30" s="104">
        <v>0</v>
      </c>
      <c r="BT30" s="104">
        <v>30</v>
      </c>
      <c r="BU30" s="104">
        <v>88</v>
      </c>
      <c r="BV30" s="104">
        <v>0</v>
      </c>
      <c r="BW30" s="104">
        <v>0</v>
      </c>
      <c r="BX30" s="104">
        <v>36</v>
      </c>
      <c r="BY30" s="104">
        <v>421</v>
      </c>
      <c r="BZ30" s="104">
        <v>0</v>
      </c>
      <c r="CA30" s="104">
        <v>0</v>
      </c>
      <c r="CB30" s="104">
        <v>0</v>
      </c>
      <c r="CC30" s="104">
        <v>0</v>
      </c>
      <c r="CD30" s="104">
        <v>2</v>
      </c>
      <c r="CE30" s="104">
        <v>2</v>
      </c>
      <c r="CF30" s="104">
        <v>0</v>
      </c>
      <c r="CG30" s="104">
        <v>0</v>
      </c>
      <c r="CH30" s="104">
        <v>0</v>
      </c>
      <c r="CI30" s="104">
        <v>0</v>
      </c>
      <c r="CJ30" s="104">
        <v>0</v>
      </c>
      <c r="CK30" s="104">
        <v>0</v>
      </c>
      <c r="CL30" s="104">
        <v>0</v>
      </c>
      <c r="CM30" s="104">
        <v>0</v>
      </c>
      <c r="CN30" s="104">
        <v>0</v>
      </c>
      <c r="CO30" s="104">
        <v>0</v>
      </c>
    </row>
    <row r="31" s="102" customFormat="1" ht="15" spans="1:93">
      <c r="A31" s="104">
        <v>24</v>
      </c>
      <c r="B31" s="104" t="s">
        <v>1146</v>
      </c>
      <c r="C31" s="104" t="s">
        <v>1147</v>
      </c>
      <c r="D31" s="104" t="s">
        <v>1171</v>
      </c>
      <c r="E31" s="104">
        <v>15589</v>
      </c>
      <c r="F31" s="104">
        <f t="shared" si="0"/>
        <v>4959</v>
      </c>
      <c r="G31" s="104">
        <v>4682</v>
      </c>
      <c r="H31" s="104">
        <v>0</v>
      </c>
      <c r="I31" s="104">
        <v>0</v>
      </c>
      <c r="J31" s="104">
        <v>0</v>
      </c>
      <c r="K31" s="104">
        <v>0</v>
      </c>
      <c r="L31" s="104">
        <v>348</v>
      </c>
      <c r="M31" s="104">
        <v>3365</v>
      </c>
      <c r="N31" s="104">
        <v>15</v>
      </c>
      <c r="O31" s="104">
        <v>0</v>
      </c>
      <c r="P31" s="104">
        <v>0</v>
      </c>
      <c r="Q31" s="104">
        <v>0</v>
      </c>
      <c r="R31" s="104">
        <v>0</v>
      </c>
      <c r="S31" s="104">
        <v>0</v>
      </c>
      <c r="T31" s="104">
        <v>0</v>
      </c>
      <c r="U31" s="104">
        <v>10</v>
      </c>
      <c r="V31" s="104">
        <v>944</v>
      </c>
      <c r="W31" s="104">
        <v>0</v>
      </c>
      <c r="X31" s="104">
        <v>10809</v>
      </c>
      <c r="Y31" s="104">
        <v>179</v>
      </c>
      <c r="Z31" s="104">
        <v>10630</v>
      </c>
      <c r="AA31" s="104">
        <v>0</v>
      </c>
      <c r="AB31" s="104">
        <v>0</v>
      </c>
      <c r="AC31" s="104">
        <v>0</v>
      </c>
      <c r="AD31" s="104">
        <v>0</v>
      </c>
      <c r="AE31" s="104">
        <v>0</v>
      </c>
      <c r="AF31" s="104">
        <v>0</v>
      </c>
      <c r="AG31" s="104">
        <v>0</v>
      </c>
      <c r="AH31" s="104">
        <v>0</v>
      </c>
      <c r="AI31" s="104">
        <v>5</v>
      </c>
      <c r="AJ31" s="104">
        <v>163</v>
      </c>
      <c r="AK31" s="104">
        <v>174</v>
      </c>
      <c r="AL31" s="104">
        <v>10463</v>
      </c>
      <c r="AM31" s="104">
        <v>0</v>
      </c>
      <c r="AN31" s="104">
        <v>4</v>
      </c>
      <c r="AO31" s="104">
        <v>0</v>
      </c>
      <c r="AP31" s="104">
        <v>0</v>
      </c>
      <c r="AQ31" s="104">
        <v>0</v>
      </c>
      <c r="AR31" s="104">
        <v>0</v>
      </c>
      <c r="AS31" s="104">
        <v>0</v>
      </c>
      <c r="AT31" s="104">
        <v>0</v>
      </c>
      <c r="AU31" s="104">
        <v>0</v>
      </c>
      <c r="AV31" s="104">
        <v>0</v>
      </c>
      <c r="AW31" s="104">
        <v>0</v>
      </c>
      <c r="AX31" s="104">
        <v>0</v>
      </c>
      <c r="AY31" s="104">
        <v>0</v>
      </c>
      <c r="AZ31" s="104">
        <v>0</v>
      </c>
      <c r="BA31" s="104">
        <v>0</v>
      </c>
      <c r="BB31" s="104">
        <v>0</v>
      </c>
      <c r="BC31" s="104">
        <v>0</v>
      </c>
      <c r="BD31" s="104">
        <v>0</v>
      </c>
      <c r="BE31" s="104">
        <v>0</v>
      </c>
      <c r="BF31" s="104">
        <v>0</v>
      </c>
      <c r="BG31" s="104">
        <v>98</v>
      </c>
      <c r="BH31" s="104">
        <v>98</v>
      </c>
      <c r="BI31" s="104">
        <v>2559</v>
      </c>
      <c r="BJ31" s="104">
        <v>1</v>
      </c>
      <c r="BK31" s="104">
        <v>0</v>
      </c>
      <c r="BL31" s="104">
        <v>0</v>
      </c>
      <c r="BM31" s="104">
        <v>0</v>
      </c>
      <c r="BN31" s="104">
        <v>20</v>
      </c>
      <c r="BO31" s="104">
        <v>20</v>
      </c>
      <c r="BP31" s="104">
        <v>0</v>
      </c>
      <c r="BQ31" s="104">
        <v>0</v>
      </c>
      <c r="BR31" s="104">
        <v>0</v>
      </c>
      <c r="BS31" s="104">
        <v>0</v>
      </c>
      <c r="BT31" s="104">
        <v>73</v>
      </c>
      <c r="BU31" s="104">
        <v>2519</v>
      </c>
      <c r="BV31" s="104">
        <v>0</v>
      </c>
      <c r="BW31" s="104">
        <v>0</v>
      </c>
      <c r="BX31" s="104">
        <v>4</v>
      </c>
      <c r="BY31" s="104">
        <v>20</v>
      </c>
      <c r="BZ31" s="104">
        <v>0</v>
      </c>
      <c r="CA31" s="104">
        <v>0</v>
      </c>
      <c r="CB31" s="104">
        <v>0</v>
      </c>
      <c r="CC31" s="104">
        <v>0</v>
      </c>
      <c r="CD31" s="104">
        <v>0</v>
      </c>
      <c r="CE31" s="104">
        <v>0</v>
      </c>
      <c r="CF31" s="104">
        <v>0</v>
      </c>
      <c r="CG31" s="104">
        <v>0</v>
      </c>
      <c r="CH31" s="104">
        <v>0</v>
      </c>
      <c r="CI31" s="104">
        <v>0</v>
      </c>
      <c r="CJ31" s="104">
        <v>0</v>
      </c>
      <c r="CK31" s="104">
        <v>0</v>
      </c>
      <c r="CL31" s="104">
        <v>0</v>
      </c>
      <c r="CM31" s="104">
        <v>0</v>
      </c>
      <c r="CN31" s="104">
        <v>0</v>
      </c>
      <c r="CO31" s="104">
        <v>0</v>
      </c>
    </row>
    <row r="32" s="102" customFormat="1" ht="15" spans="1:93">
      <c r="A32" s="104" t="s">
        <v>1172</v>
      </c>
      <c r="B32" s="104" t="s">
        <v>1146</v>
      </c>
      <c r="C32" s="104" t="s">
        <v>1147</v>
      </c>
      <c r="D32" s="104" t="s">
        <v>1173</v>
      </c>
      <c r="E32" s="104" t="s">
        <v>1174</v>
      </c>
      <c r="F32" s="104">
        <f t="shared" si="0"/>
        <v>1431</v>
      </c>
      <c r="G32" s="104" t="s">
        <v>1175</v>
      </c>
      <c r="H32" s="104" t="s">
        <v>1176</v>
      </c>
      <c r="I32" s="104" t="s">
        <v>1176</v>
      </c>
      <c r="J32" s="104" t="s">
        <v>1176</v>
      </c>
      <c r="K32" s="104" t="s">
        <v>1176</v>
      </c>
      <c r="L32" s="104" t="s">
        <v>1177</v>
      </c>
      <c r="M32" s="104" t="s">
        <v>1178</v>
      </c>
      <c r="N32" s="104" t="s">
        <v>1179</v>
      </c>
      <c r="O32" s="104" t="s">
        <v>1176</v>
      </c>
      <c r="P32" s="104" t="s">
        <v>1172</v>
      </c>
      <c r="Q32" s="104" t="s">
        <v>1176</v>
      </c>
      <c r="R32" s="104" t="s">
        <v>1176</v>
      </c>
      <c r="S32" s="104" t="s">
        <v>1176</v>
      </c>
      <c r="T32" s="104" t="s">
        <v>1176</v>
      </c>
      <c r="U32" s="104" t="s">
        <v>1180</v>
      </c>
      <c r="V32" s="104" t="s">
        <v>1177</v>
      </c>
      <c r="W32" s="104" t="s">
        <v>1176</v>
      </c>
      <c r="X32" s="104" t="s">
        <v>1181</v>
      </c>
      <c r="Y32" s="104" t="s">
        <v>1182</v>
      </c>
      <c r="Z32" s="104" t="s">
        <v>1183</v>
      </c>
      <c r="AA32" s="104" t="s">
        <v>1176</v>
      </c>
      <c r="AB32" s="104" t="s">
        <v>1176</v>
      </c>
      <c r="AC32" s="104" t="s">
        <v>1176</v>
      </c>
      <c r="AD32" s="104" t="s">
        <v>1176</v>
      </c>
      <c r="AE32" s="104" t="s">
        <v>1176</v>
      </c>
      <c r="AF32" s="104" t="s">
        <v>1176</v>
      </c>
      <c r="AG32" s="104" t="s">
        <v>1176</v>
      </c>
      <c r="AH32" s="104" t="s">
        <v>1176</v>
      </c>
      <c r="AI32" s="104" t="s">
        <v>1179</v>
      </c>
      <c r="AJ32" s="104" t="s">
        <v>1184</v>
      </c>
      <c r="AK32" s="104" t="s">
        <v>1185</v>
      </c>
      <c r="AL32" s="104" t="s">
        <v>1186</v>
      </c>
      <c r="AM32" s="104" t="s">
        <v>1176</v>
      </c>
      <c r="AN32" s="104" t="s">
        <v>1187</v>
      </c>
      <c r="AO32" s="104" t="s">
        <v>1176</v>
      </c>
      <c r="AP32" s="104" t="s">
        <v>1176</v>
      </c>
      <c r="AQ32" s="104" t="s">
        <v>1176</v>
      </c>
      <c r="AR32" s="104" t="s">
        <v>1176</v>
      </c>
      <c r="AS32" s="104" t="s">
        <v>1176</v>
      </c>
      <c r="AT32" s="104" t="s">
        <v>1176</v>
      </c>
      <c r="AU32" s="104" t="s">
        <v>1176</v>
      </c>
      <c r="AV32" s="104" t="s">
        <v>1176</v>
      </c>
      <c r="AW32" s="104" t="s">
        <v>1176</v>
      </c>
      <c r="AX32" s="104" t="s">
        <v>1176</v>
      </c>
      <c r="AY32" s="104" t="s">
        <v>1176</v>
      </c>
      <c r="AZ32" s="104" t="s">
        <v>1176</v>
      </c>
      <c r="BA32" s="104" t="s">
        <v>1176</v>
      </c>
      <c r="BB32" s="104" t="s">
        <v>1176</v>
      </c>
      <c r="BC32" s="104" t="s">
        <v>1176</v>
      </c>
      <c r="BD32" s="104" t="s">
        <v>1176</v>
      </c>
      <c r="BE32" s="104" t="s">
        <v>1176</v>
      </c>
      <c r="BF32" s="104" t="s">
        <v>1176</v>
      </c>
      <c r="BG32" s="104" t="s">
        <v>1188</v>
      </c>
      <c r="BH32" s="104" t="s">
        <v>1188</v>
      </c>
      <c r="BI32" s="104" t="s">
        <v>1189</v>
      </c>
      <c r="BJ32" s="104" t="s">
        <v>1176</v>
      </c>
      <c r="BK32" s="104" t="s">
        <v>1176</v>
      </c>
      <c r="BL32" s="104" t="s">
        <v>1176</v>
      </c>
      <c r="BM32" s="104" t="s">
        <v>1176</v>
      </c>
      <c r="BN32" s="104" t="s">
        <v>1172</v>
      </c>
      <c r="BO32" s="104" t="s">
        <v>1172</v>
      </c>
      <c r="BP32" s="104" t="s">
        <v>1176</v>
      </c>
      <c r="BQ32" s="104" t="s">
        <v>1176</v>
      </c>
      <c r="BR32" s="104" t="s">
        <v>1176</v>
      </c>
      <c r="BS32" s="104" t="s">
        <v>1176</v>
      </c>
      <c r="BT32" s="104" t="s">
        <v>1179</v>
      </c>
      <c r="BU32" s="104" t="s">
        <v>1190</v>
      </c>
      <c r="BV32" s="104" t="s">
        <v>1176</v>
      </c>
      <c r="BW32" s="104" t="s">
        <v>1176</v>
      </c>
      <c r="BX32" s="104" t="s">
        <v>1176</v>
      </c>
      <c r="BY32" s="104" t="s">
        <v>1176</v>
      </c>
      <c r="BZ32" s="104" t="s">
        <v>1176</v>
      </c>
      <c r="CA32" s="104" t="s">
        <v>1176</v>
      </c>
      <c r="CB32" s="104" t="s">
        <v>1176</v>
      </c>
      <c r="CC32" s="104" t="s">
        <v>1176</v>
      </c>
      <c r="CD32" s="104" t="s">
        <v>1176</v>
      </c>
      <c r="CE32" s="104" t="s">
        <v>1176</v>
      </c>
      <c r="CF32" s="104" t="s">
        <v>1176</v>
      </c>
      <c r="CG32" s="104" t="s">
        <v>1176</v>
      </c>
      <c r="CH32" s="104" t="s">
        <v>1176</v>
      </c>
      <c r="CI32" s="104" t="s">
        <v>1176</v>
      </c>
      <c r="CJ32" s="104" t="s">
        <v>1176</v>
      </c>
      <c r="CK32" s="104" t="s">
        <v>1176</v>
      </c>
      <c r="CL32" s="104" t="s">
        <v>1176</v>
      </c>
      <c r="CM32" s="104" t="s">
        <v>1176</v>
      </c>
      <c r="CN32" s="104" t="s">
        <v>1176</v>
      </c>
      <c r="CO32" s="104" t="s">
        <v>1176</v>
      </c>
    </row>
    <row r="33" s="102" customFormat="1" ht="15" spans="1:93">
      <c r="A33" s="104" t="s">
        <v>1187</v>
      </c>
      <c r="B33" s="104" t="s">
        <v>1146</v>
      </c>
      <c r="C33" s="104" t="s">
        <v>1147</v>
      </c>
      <c r="D33" s="104" t="s">
        <v>1191</v>
      </c>
      <c r="E33" s="104" t="s">
        <v>1192</v>
      </c>
      <c r="F33" s="104">
        <f t="shared" si="0"/>
        <v>3938</v>
      </c>
      <c r="G33" s="104" t="s">
        <v>1193</v>
      </c>
      <c r="H33" s="104" t="s">
        <v>1176</v>
      </c>
      <c r="I33" s="104" t="s">
        <v>1176</v>
      </c>
      <c r="J33" s="104" t="s">
        <v>1176</v>
      </c>
      <c r="K33" s="104" t="s">
        <v>1176</v>
      </c>
      <c r="L33" s="104" t="s">
        <v>1194</v>
      </c>
      <c r="M33" s="104" t="s">
        <v>1195</v>
      </c>
      <c r="N33" s="104" t="s">
        <v>1196</v>
      </c>
      <c r="O33" s="104" t="s">
        <v>1176</v>
      </c>
      <c r="P33" s="104" t="s">
        <v>1176</v>
      </c>
      <c r="Q33" s="104" t="s">
        <v>1176</v>
      </c>
      <c r="R33" s="104" t="s">
        <v>1176</v>
      </c>
      <c r="S33" s="104" t="s">
        <v>1176</v>
      </c>
      <c r="T33" s="104" t="s">
        <v>1176</v>
      </c>
      <c r="U33" s="104" t="s">
        <v>1180</v>
      </c>
      <c r="V33" s="104" t="s">
        <v>1197</v>
      </c>
      <c r="W33" s="104" t="s">
        <v>1176</v>
      </c>
      <c r="X33" s="104" t="s">
        <v>1198</v>
      </c>
      <c r="Y33" s="104" t="s">
        <v>1199</v>
      </c>
      <c r="Z33" s="104" t="s">
        <v>1200</v>
      </c>
      <c r="AA33" s="104" t="s">
        <v>1176</v>
      </c>
      <c r="AB33" s="104" t="s">
        <v>1176</v>
      </c>
      <c r="AC33" s="104" t="s">
        <v>1201</v>
      </c>
      <c r="AD33" s="104" t="s">
        <v>1202</v>
      </c>
      <c r="AE33" s="104" t="s">
        <v>1176</v>
      </c>
      <c r="AF33" s="104" t="s">
        <v>1176</v>
      </c>
      <c r="AG33" s="104" t="s">
        <v>1176</v>
      </c>
      <c r="AH33" s="104" t="s">
        <v>1176</v>
      </c>
      <c r="AI33" s="104" t="s">
        <v>1203</v>
      </c>
      <c r="AJ33" s="104" t="s">
        <v>1204</v>
      </c>
      <c r="AK33" s="104" t="s">
        <v>1205</v>
      </c>
      <c r="AL33" s="104" t="s">
        <v>1206</v>
      </c>
      <c r="AM33" s="104" t="s">
        <v>1176</v>
      </c>
      <c r="AN33" s="104" t="s">
        <v>1172</v>
      </c>
      <c r="AO33" s="104" t="s">
        <v>1176</v>
      </c>
      <c r="AP33" s="104" t="s">
        <v>1176</v>
      </c>
      <c r="AQ33" s="104" t="s">
        <v>1176</v>
      </c>
      <c r="AR33" s="104" t="s">
        <v>1176</v>
      </c>
      <c r="AS33" s="104" t="s">
        <v>1176</v>
      </c>
      <c r="AT33" s="104" t="s">
        <v>1176</v>
      </c>
      <c r="AU33" s="104" t="s">
        <v>1176</v>
      </c>
      <c r="AV33" s="104" t="s">
        <v>1176</v>
      </c>
      <c r="AW33" s="104" t="s">
        <v>1176</v>
      </c>
      <c r="AX33" s="104" t="s">
        <v>1176</v>
      </c>
      <c r="AY33" s="104" t="s">
        <v>1176</v>
      </c>
      <c r="AZ33" s="104" t="s">
        <v>1176</v>
      </c>
      <c r="BA33" s="104" t="s">
        <v>1176</v>
      </c>
      <c r="BB33" s="104" t="s">
        <v>1176</v>
      </c>
      <c r="BC33" s="104" t="s">
        <v>1176</v>
      </c>
      <c r="BD33" s="104" t="s">
        <v>1176</v>
      </c>
      <c r="BE33" s="104" t="s">
        <v>1176</v>
      </c>
      <c r="BF33" s="104" t="s">
        <v>1176</v>
      </c>
      <c r="BG33" s="104" t="s">
        <v>1207</v>
      </c>
      <c r="BH33" s="104" t="s">
        <v>1207</v>
      </c>
      <c r="BI33" s="104" t="s">
        <v>1208</v>
      </c>
      <c r="BJ33" s="104" t="s">
        <v>1176</v>
      </c>
      <c r="BK33" s="104" t="s">
        <v>1176</v>
      </c>
      <c r="BL33" s="104" t="s">
        <v>1176</v>
      </c>
      <c r="BM33" s="104" t="s">
        <v>1176</v>
      </c>
      <c r="BN33" s="104" t="s">
        <v>1176</v>
      </c>
      <c r="BO33" s="104" t="s">
        <v>1176</v>
      </c>
      <c r="BP33" s="104" t="s">
        <v>1176</v>
      </c>
      <c r="BQ33" s="104" t="s">
        <v>1176</v>
      </c>
      <c r="BR33" s="104" t="s">
        <v>1176</v>
      </c>
      <c r="BS33" s="104" t="s">
        <v>1176</v>
      </c>
      <c r="BT33" s="104" t="s">
        <v>1209</v>
      </c>
      <c r="BU33" s="104" t="s">
        <v>1210</v>
      </c>
      <c r="BV33" s="104" t="s">
        <v>1176</v>
      </c>
      <c r="BW33" s="104" t="s">
        <v>1176</v>
      </c>
      <c r="BX33" s="104" t="s">
        <v>1180</v>
      </c>
      <c r="BY33" s="104" t="s">
        <v>1211</v>
      </c>
      <c r="BZ33" s="104" t="s">
        <v>1176</v>
      </c>
      <c r="CA33" s="104" t="s">
        <v>1176</v>
      </c>
      <c r="CB33" s="104" t="s">
        <v>1176</v>
      </c>
      <c r="CC33" s="104" t="s">
        <v>1176</v>
      </c>
      <c r="CD33" s="104" t="s">
        <v>1176</v>
      </c>
      <c r="CE33" s="104" t="s">
        <v>1176</v>
      </c>
      <c r="CF33" s="104" t="s">
        <v>1176</v>
      </c>
      <c r="CG33" s="104" t="s">
        <v>1176</v>
      </c>
      <c r="CH33" s="104" t="s">
        <v>1176</v>
      </c>
      <c r="CI33" s="104" t="s">
        <v>1176</v>
      </c>
      <c r="CJ33" s="104" t="s">
        <v>1176</v>
      </c>
      <c r="CK33" s="104" t="s">
        <v>1176</v>
      </c>
      <c r="CL33" s="104" t="s">
        <v>1176</v>
      </c>
      <c r="CM33" s="104" t="s">
        <v>1176</v>
      </c>
      <c r="CN33" s="104" t="s">
        <v>1176</v>
      </c>
      <c r="CO33" s="104" t="s">
        <v>1176</v>
      </c>
    </row>
    <row r="34" s="102" customFormat="1" ht="15" spans="1:93">
      <c r="A34" s="104" t="s">
        <v>1212</v>
      </c>
      <c r="B34" s="104" t="s">
        <v>1146</v>
      </c>
      <c r="C34" s="104" t="s">
        <v>1147</v>
      </c>
      <c r="D34" s="104" t="s">
        <v>1213</v>
      </c>
      <c r="E34" s="104" t="s">
        <v>1214</v>
      </c>
      <c r="F34" s="104">
        <f t="shared" si="0"/>
        <v>4248</v>
      </c>
      <c r="G34" s="104" t="s">
        <v>1215</v>
      </c>
      <c r="H34" s="104" t="s">
        <v>1176</v>
      </c>
      <c r="I34" s="104" t="s">
        <v>1176</v>
      </c>
      <c r="J34" s="104" t="s">
        <v>1176</v>
      </c>
      <c r="K34" s="104" t="s">
        <v>1176</v>
      </c>
      <c r="L34" s="104" t="s">
        <v>1216</v>
      </c>
      <c r="M34" s="104" t="s">
        <v>1217</v>
      </c>
      <c r="N34" s="104" t="s">
        <v>1218</v>
      </c>
      <c r="O34" s="104" t="s">
        <v>1176</v>
      </c>
      <c r="P34" s="104" t="s">
        <v>1176</v>
      </c>
      <c r="Q34" s="104" t="s">
        <v>1176</v>
      </c>
      <c r="R34" s="104" t="s">
        <v>1176</v>
      </c>
      <c r="S34" s="104" t="s">
        <v>1176</v>
      </c>
      <c r="T34" s="104" t="s">
        <v>1176</v>
      </c>
      <c r="U34" s="104" t="s">
        <v>1180</v>
      </c>
      <c r="V34" s="104" t="s">
        <v>1219</v>
      </c>
      <c r="W34" s="104" t="s">
        <v>1176</v>
      </c>
      <c r="X34" s="104" t="s">
        <v>1220</v>
      </c>
      <c r="Y34" s="104" t="s">
        <v>1221</v>
      </c>
      <c r="Z34" s="104" t="s">
        <v>1222</v>
      </c>
      <c r="AA34" s="104" t="s">
        <v>1176</v>
      </c>
      <c r="AB34" s="104" t="s">
        <v>1176</v>
      </c>
      <c r="AC34" s="104" t="s">
        <v>1176</v>
      </c>
      <c r="AD34" s="104" t="s">
        <v>1176</v>
      </c>
      <c r="AE34" s="104" t="s">
        <v>1176</v>
      </c>
      <c r="AF34" s="104" t="s">
        <v>1176</v>
      </c>
      <c r="AG34" s="104" t="s">
        <v>1176</v>
      </c>
      <c r="AH34" s="104" t="s">
        <v>1176</v>
      </c>
      <c r="AI34" s="104" t="s">
        <v>1223</v>
      </c>
      <c r="AJ34" s="104" t="s">
        <v>1224</v>
      </c>
      <c r="AK34" s="104" t="s">
        <v>1225</v>
      </c>
      <c r="AL34" s="104" t="s">
        <v>1226</v>
      </c>
      <c r="AM34" s="104" t="s">
        <v>1176</v>
      </c>
      <c r="AN34" s="104" t="s">
        <v>1172</v>
      </c>
      <c r="AO34" s="104" t="s">
        <v>1176</v>
      </c>
      <c r="AP34" s="104" t="s">
        <v>1176</v>
      </c>
      <c r="AQ34" s="104" t="s">
        <v>1176</v>
      </c>
      <c r="AR34" s="104" t="s">
        <v>1176</v>
      </c>
      <c r="AS34" s="104" t="s">
        <v>1176</v>
      </c>
      <c r="AT34" s="104" t="s">
        <v>1176</v>
      </c>
      <c r="AU34" s="104" t="s">
        <v>1176</v>
      </c>
      <c r="AV34" s="104" t="s">
        <v>1176</v>
      </c>
      <c r="AW34" s="104" t="s">
        <v>1176</v>
      </c>
      <c r="AX34" s="104" t="s">
        <v>1176</v>
      </c>
      <c r="AY34" s="104" t="s">
        <v>1176</v>
      </c>
      <c r="AZ34" s="104" t="s">
        <v>1176</v>
      </c>
      <c r="BA34" s="104" t="s">
        <v>1176</v>
      </c>
      <c r="BB34" s="104" t="s">
        <v>1176</v>
      </c>
      <c r="BC34" s="104" t="s">
        <v>1176</v>
      </c>
      <c r="BD34" s="104" t="s">
        <v>1176</v>
      </c>
      <c r="BE34" s="104" t="s">
        <v>1176</v>
      </c>
      <c r="BF34" s="104" t="s">
        <v>1176</v>
      </c>
      <c r="BG34" s="104" t="s">
        <v>1227</v>
      </c>
      <c r="BH34" s="104" t="s">
        <v>1227</v>
      </c>
      <c r="BI34" s="104" t="s">
        <v>1228</v>
      </c>
      <c r="BJ34" s="104" t="s">
        <v>1176</v>
      </c>
      <c r="BK34" s="104" t="s">
        <v>1176</v>
      </c>
      <c r="BL34" s="104" t="s">
        <v>1176</v>
      </c>
      <c r="BM34" s="104" t="s">
        <v>1176</v>
      </c>
      <c r="BN34" s="104" t="s">
        <v>1229</v>
      </c>
      <c r="BO34" s="104" t="s">
        <v>1229</v>
      </c>
      <c r="BP34" s="104" t="s">
        <v>1176</v>
      </c>
      <c r="BQ34" s="104" t="s">
        <v>1176</v>
      </c>
      <c r="BR34" s="104" t="s">
        <v>1176</v>
      </c>
      <c r="BS34" s="104" t="s">
        <v>1176</v>
      </c>
      <c r="BT34" s="104" t="s">
        <v>1230</v>
      </c>
      <c r="BU34" s="104" t="s">
        <v>1231</v>
      </c>
      <c r="BV34" s="104" t="s">
        <v>1176</v>
      </c>
      <c r="BW34" s="104" t="s">
        <v>1176</v>
      </c>
      <c r="BX34" s="104" t="s">
        <v>1232</v>
      </c>
      <c r="BY34" s="104" t="s">
        <v>1189</v>
      </c>
      <c r="BZ34" s="104" t="s">
        <v>1176</v>
      </c>
      <c r="CA34" s="104" t="s">
        <v>1176</v>
      </c>
      <c r="CB34" s="104" t="s">
        <v>1176</v>
      </c>
      <c r="CC34" s="104" t="s">
        <v>1176</v>
      </c>
      <c r="CD34" s="104" t="s">
        <v>1176</v>
      </c>
      <c r="CE34" s="104" t="s">
        <v>1176</v>
      </c>
      <c r="CF34" s="104" t="s">
        <v>1176</v>
      </c>
      <c r="CG34" s="104" t="s">
        <v>1176</v>
      </c>
      <c r="CH34" s="104" t="s">
        <v>1176</v>
      </c>
      <c r="CI34" s="104" t="s">
        <v>1176</v>
      </c>
      <c r="CJ34" s="104" t="s">
        <v>1176</v>
      </c>
      <c r="CK34" s="104" t="s">
        <v>1176</v>
      </c>
      <c r="CL34" s="104" t="s">
        <v>1176</v>
      </c>
      <c r="CM34" s="104" t="s">
        <v>1176</v>
      </c>
      <c r="CN34" s="104" t="s">
        <v>1176</v>
      </c>
      <c r="CO34" s="104" t="s">
        <v>1176</v>
      </c>
    </row>
    <row r="35" s="102" customFormat="1" ht="15" spans="1:93">
      <c r="A35" s="104" t="s">
        <v>1180</v>
      </c>
      <c r="B35" s="104" t="s">
        <v>1146</v>
      </c>
      <c r="C35" s="104" t="s">
        <v>1147</v>
      </c>
      <c r="D35" s="104" t="s">
        <v>1233</v>
      </c>
      <c r="E35" s="104" t="s">
        <v>1234</v>
      </c>
      <c r="F35" s="104">
        <f t="shared" si="0"/>
        <v>4104</v>
      </c>
      <c r="G35" s="104" t="s">
        <v>1235</v>
      </c>
      <c r="H35" s="104" t="s">
        <v>1176</v>
      </c>
      <c r="I35" s="104" t="s">
        <v>1176</v>
      </c>
      <c r="J35" s="104" t="s">
        <v>1176</v>
      </c>
      <c r="K35" s="104" t="s">
        <v>1176</v>
      </c>
      <c r="L35" s="104" t="s">
        <v>1236</v>
      </c>
      <c r="M35" s="104" t="s">
        <v>1237</v>
      </c>
      <c r="N35" s="104" t="s">
        <v>1238</v>
      </c>
      <c r="O35" s="104" t="s">
        <v>1176</v>
      </c>
      <c r="P35" s="104" t="s">
        <v>1176</v>
      </c>
      <c r="Q35" s="104" t="s">
        <v>1176</v>
      </c>
      <c r="R35" s="104" t="s">
        <v>1176</v>
      </c>
      <c r="S35" s="104" t="s">
        <v>1176</v>
      </c>
      <c r="T35" s="104" t="s">
        <v>1176</v>
      </c>
      <c r="U35" s="104" t="s">
        <v>1212</v>
      </c>
      <c r="V35" s="104" t="s">
        <v>1239</v>
      </c>
      <c r="W35" s="104" t="s">
        <v>1176</v>
      </c>
      <c r="X35" s="104" t="s">
        <v>1240</v>
      </c>
      <c r="Y35" s="104" t="s">
        <v>1241</v>
      </c>
      <c r="Z35" s="104" t="s">
        <v>1242</v>
      </c>
      <c r="AA35" s="104" t="s">
        <v>1176</v>
      </c>
      <c r="AB35" s="104" t="s">
        <v>1176</v>
      </c>
      <c r="AC35" s="104" t="s">
        <v>1176</v>
      </c>
      <c r="AD35" s="104" t="s">
        <v>1176</v>
      </c>
      <c r="AE35" s="104" t="s">
        <v>1176</v>
      </c>
      <c r="AF35" s="104" t="s">
        <v>1176</v>
      </c>
      <c r="AG35" s="104" t="s">
        <v>1176</v>
      </c>
      <c r="AH35" s="104" t="s">
        <v>1176</v>
      </c>
      <c r="AI35" s="104" t="s">
        <v>1243</v>
      </c>
      <c r="AJ35" s="104" t="s">
        <v>1244</v>
      </c>
      <c r="AK35" s="104" t="s">
        <v>1245</v>
      </c>
      <c r="AL35" s="104" t="s">
        <v>1246</v>
      </c>
      <c r="AM35" s="104" t="s">
        <v>1176</v>
      </c>
      <c r="AN35" s="104" t="s">
        <v>1176</v>
      </c>
      <c r="AO35" s="104" t="s">
        <v>1176</v>
      </c>
      <c r="AP35" s="104" t="s">
        <v>1176</v>
      </c>
      <c r="AQ35" s="104" t="s">
        <v>1176</v>
      </c>
      <c r="AR35" s="104" t="s">
        <v>1176</v>
      </c>
      <c r="AS35" s="104" t="s">
        <v>1176</v>
      </c>
      <c r="AT35" s="104" t="s">
        <v>1176</v>
      </c>
      <c r="AU35" s="104" t="s">
        <v>1176</v>
      </c>
      <c r="AV35" s="104" t="s">
        <v>1176</v>
      </c>
      <c r="AW35" s="104" t="s">
        <v>1176</v>
      </c>
      <c r="AX35" s="104" t="s">
        <v>1176</v>
      </c>
      <c r="AY35" s="104" t="s">
        <v>1176</v>
      </c>
      <c r="AZ35" s="104" t="s">
        <v>1176</v>
      </c>
      <c r="BA35" s="104" t="s">
        <v>1176</v>
      </c>
      <c r="BB35" s="104" t="s">
        <v>1176</v>
      </c>
      <c r="BC35" s="104" t="s">
        <v>1176</v>
      </c>
      <c r="BD35" s="104" t="s">
        <v>1176</v>
      </c>
      <c r="BE35" s="104" t="s">
        <v>1176</v>
      </c>
      <c r="BF35" s="104" t="s">
        <v>1176</v>
      </c>
      <c r="BG35" s="104" t="s">
        <v>1232</v>
      </c>
      <c r="BH35" s="104" t="s">
        <v>1232</v>
      </c>
      <c r="BI35" s="104" t="s">
        <v>1247</v>
      </c>
      <c r="BJ35" s="104" t="s">
        <v>1176</v>
      </c>
      <c r="BK35" s="104" t="s">
        <v>1176</v>
      </c>
      <c r="BL35" s="104" t="s">
        <v>1176</v>
      </c>
      <c r="BM35" s="104" t="s">
        <v>1176</v>
      </c>
      <c r="BN35" s="104" t="s">
        <v>1172</v>
      </c>
      <c r="BO35" s="104" t="s">
        <v>1172</v>
      </c>
      <c r="BP35" s="104" t="s">
        <v>1176</v>
      </c>
      <c r="BQ35" s="104" t="s">
        <v>1176</v>
      </c>
      <c r="BR35" s="104" t="s">
        <v>1176</v>
      </c>
      <c r="BS35" s="104" t="s">
        <v>1176</v>
      </c>
      <c r="BT35" s="104" t="s">
        <v>1212</v>
      </c>
      <c r="BU35" s="104" t="s">
        <v>1248</v>
      </c>
      <c r="BV35" s="104" t="s">
        <v>1176</v>
      </c>
      <c r="BW35" s="104" t="s">
        <v>1176</v>
      </c>
      <c r="BX35" s="104" t="s">
        <v>1172</v>
      </c>
      <c r="BY35" s="104" t="s">
        <v>1249</v>
      </c>
      <c r="BZ35" s="104" t="s">
        <v>1176</v>
      </c>
      <c r="CA35" s="104" t="s">
        <v>1176</v>
      </c>
      <c r="CB35" s="104" t="s">
        <v>1176</v>
      </c>
      <c r="CC35" s="104" t="s">
        <v>1176</v>
      </c>
      <c r="CD35" s="104" t="s">
        <v>1176</v>
      </c>
      <c r="CE35" s="104" t="s">
        <v>1176</v>
      </c>
      <c r="CF35" s="104" t="s">
        <v>1176</v>
      </c>
      <c r="CG35" s="104" t="s">
        <v>1176</v>
      </c>
      <c r="CH35" s="104" t="s">
        <v>1176</v>
      </c>
      <c r="CI35" s="104" t="s">
        <v>1176</v>
      </c>
      <c r="CJ35" s="104" t="s">
        <v>1176</v>
      </c>
      <c r="CK35" s="104" t="s">
        <v>1176</v>
      </c>
      <c r="CL35" s="104" t="s">
        <v>1176</v>
      </c>
      <c r="CM35" s="104" t="s">
        <v>1176</v>
      </c>
      <c r="CN35" s="104" t="s">
        <v>1176</v>
      </c>
      <c r="CO35" s="104" t="s">
        <v>1176</v>
      </c>
    </row>
    <row r="36" s="102" customFormat="1" ht="15" spans="1:93">
      <c r="A36" s="104" t="s">
        <v>1232</v>
      </c>
      <c r="B36" s="104" t="s">
        <v>1146</v>
      </c>
      <c r="C36" s="104" t="s">
        <v>1147</v>
      </c>
      <c r="D36" s="104" t="s">
        <v>1250</v>
      </c>
      <c r="E36" s="104" t="s">
        <v>1251</v>
      </c>
      <c r="F36" s="104">
        <f t="shared" si="0"/>
        <v>4682</v>
      </c>
      <c r="G36" s="104" t="s">
        <v>1252</v>
      </c>
      <c r="H36" s="104" t="s">
        <v>1176</v>
      </c>
      <c r="I36" s="104" t="s">
        <v>1176</v>
      </c>
      <c r="J36" s="104" t="s">
        <v>1176</v>
      </c>
      <c r="K36" s="104" t="s">
        <v>1176</v>
      </c>
      <c r="L36" s="104" t="s">
        <v>1253</v>
      </c>
      <c r="M36" s="104" t="s">
        <v>1254</v>
      </c>
      <c r="N36" s="104" t="s">
        <v>1211</v>
      </c>
      <c r="O36" s="104" t="s">
        <v>1212</v>
      </c>
      <c r="P36" s="104" t="s">
        <v>1176</v>
      </c>
      <c r="Q36" s="104" t="s">
        <v>1176</v>
      </c>
      <c r="R36" s="104" t="s">
        <v>1176</v>
      </c>
      <c r="S36" s="104" t="s">
        <v>1176</v>
      </c>
      <c r="T36" s="104" t="s">
        <v>1176</v>
      </c>
      <c r="U36" s="104" t="s">
        <v>1179</v>
      </c>
      <c r="V36" s="104" t="s">
        <v>1255</v>
      </c>
      <c r="W36" s="104" t="s">
        <v>1176</v>
      </c>
      <c r="X36" s="104" t="s">
        <v>1256</v>
      </c>
      <c r="Y36" s="104" t="s">
        <v>1184</v>
      </c>
      <c r="Z36" s="104" t="s">
        <v>1257</v>
      </c>
      <c r="AA36" s="104" t="s">
        <v>1176</v>
      </c>
      <c r="AB36" s="104" t="s">
        <v>1176</v>
      </c>
      <c r="AC36" s="104" t="s">
        <v>1196</v>
      </c>
      <c r="AD36" s="104" t="s">
        <v>1258</v>
      </c>
      <c r="AE36" s="104" t="s">
        <v>1176</v>
      </c>
      <c r="AF36" s="104" t="s">
        <v>1176</v>
      </c>
      <c r="AG36" s="104" t="s">
        <v>1176</v>
      </c>
      <c r="AH36" s="104" t="s">
        <v>1176</v>
      </c>
      <c r="AI36" s="104" t="s">
        <v>1259</v>
      </c>
      <c r="AJ36" s="104" t="s">
        <v>1260</v>
      </c>
      <c r="AK36" s="104" t="s">
        <v>1261</v>
      </c>
      <c r="AL36" s="104" t="s">
        <v>1262</v>
      </c>
      <c r="AM36" s="104" t="s">
        <v>1176</v>
      </c>
      <c r="AN36" s="104" t="s">
        <v>1232</v>
      </c>
      <c r="AO36" s="104" t="s">
        <v>1176</v>
      </c>
      <c r="AP36" s="104" t="s">
        <v>1176</v>
      </c>
      <c r="AQ36" s="104" t="s">
        <v>1176</v>
      </c>
      <c r="AR36" s="104" t="s">
        <v>1176</v>
      </c>
      <c r="AS36" s="104" t="s">
        <v>1176</v>
      </c>
      <c r="AT36" s="104" t="s">
        <v>1176</v>
      </c>
      <c r="AU36" s="104" t="s">
        <v>1176</v>
      </c>
      <c r="AV36" s="104" t="s">
        <v>1176</v>
      </c>
      <c r="AW36" s="104" t="s">
        <v>1176</v>
      </c>
      <c r="AX36" s="104" t="s">
        <v>1176</v>
      </c>
      <c r="AY36" s="104" t="s">
        <v>1176</v>
      </c>
      <c r="AZ36" s="104" t="s">
        <v>1176</v>
      </c>
      <c r="BA36" s="104" t="s">
        <v>1176</v>
      </c>
      <c r="BB36" s="104" t="s">
        <v>1176</v>
      </c>
      <c r="BC36" s="104" t="s">
        <v>1176</v>
      </c>
      <c r="BD36" s="104" t="s">
        <v>1176</v>
      </c>
      <c r="BE36" s="104" t="s">
        <v>1176</v>
      </c>
      <c r="BF36" s="104" t="s">
        <v>1176</v>
      </c>
      <c r="BG36" s="104" t="s">
        <v>1229</v>
      </c>
      <c r="BH36" s="104" t="s">
        <v>1229</v>
      </c>
      <c r="BI36" s="104" t="s">
        <v>1263</v>
      </c>
      <c r="BJ36" s="104" t="s">
        <v>1176</v>
      </c>
      <c r="BK36" s="104" t="s">
        <v>1176</v>
      </c>
      <c r="BL36" s="104" t="s">
        <v>1176</v>
      </c>
      <c r="BM36" s="104" t="s">
        <v>1176</v>
      </c>
      <c r="BN36" s="104" t="s">
        <v>1187</v>
      </c>
      <c r="BO36" s="104" t="s">
        <v>1187</v>
      </c>
      <c r="BP36" s="104" t="s">
        <v>1176</v>
      </c>
      <c r="BQ36" s="104" t="s">
        <v>1176</v>
      </c>
      <c r="BR36" s="104" t="s">
        <v>1187</v>
      </c>
      <c r="BS36" s="104" t="s">
        <v>1187</v>
      </c>
      <c r="BT36" s="104" t="s">
        <v>1264</v>
      </c>
      <c r="BU36" s="104" t="s">
        <v>1265</v>
      </c>
      <c r="BV36" s="104" t="s">
        <v>1176</v>
      </c>
      <c r="BW36" s="104" t="s">
        <v>1176</v>
      </c>
      <c r="BX36" s="104" t="s">
        <v>1201</v>
      </c>
      <c r="BY36" s="104" t="s">
        <v>1266</v>
      </c>
      <c r="BZ36" s="104" t="s">
        <v>1176</v>
      </c>
      <c r="CA36" s="104" t="s">
        <v>1176</v>
      </c>
      <c r="CB36" s="104" t="s">
        <v>1176</v>
      </c>
      <c r="CC36" s="104" t="s">
        <v>1176</v>
      </c>
      <c r="CD36" s="104" t="s">
        <v>1176</v>
      </c>
      <c r="CE36" s="104" t="s">
        <v>1176</v>
      </c>
      <c r="CF36" s="104" t="s">
        <v>1176</v>
      </c>
      <c r="CG36" s="104" t="s">
        <v>1176</v>
      </c>
      <c r="CH36" s="104" t="s">
        <v>1176</v>
      </c>
      <c r="CI36" s="104" t="s">
        <v>1176</v>
      </c>
      <c r="CJ36" s="104" t="s">
        <v>1176</v>
      </c>
      <c r="CK36" s="104" t="s">
        <v>1176</v>
      </c>
      <c r="CL36" s="104" t="s">
        <v>1176</v>
      </c>
      <c r="CM36" s="104" t="s">
        <v>1176</v>
      </c>
      <c r="CN36" s="104" t="s">
        <v>1176</v>
      </c>
      <c r="CO36" s="104" t="s">
        <v>1176</v>
      </c>
    </row>
    <row r="37" s="102" customFormat="1" ht="15" spans="1:93">
      <c r="A37" s="104" t="s">
        <v>1179</v>
      </c>
      <c r="B37" s="104" t="s">
        <v>1146</v>
      </c>
      <c r="C37" s="104" t="s">
        <v>1147</v>
      </c>
      <c r="D37" s="104" t="s">
        <v>1267</v>
      </c>
      <c r="E37" s="104" t="s">
        <v>1268</v>
      </c>
      <c r="F37" s="104">
        <f t="shared" si="0"/>
        <v>2297</v>
      </c>
      <c r="G37" s="104" t="s">
        <v>1269</v>
      </c>
      <c r="H37" s="104" t="s">
        <v>1176</v>
      </c>
      <c r="I37" s="104" t="s">
        <v>1176</v>
      </c>
      <c r="J37" s="104" t="s">
        <v>1176</v>
      </c>
      <c r="K37" s="104" t="s">
        <v>1176</v>
      </c>
      <c r="L37" s="104" t="s">
        <v>1270</v>
      </c>
      <c r="M37" s="104" t="s">
        <v>1271</v>
      </c>
      <c r="N37" s="104" t="s">
        <v>1180</v>
      </c>
      <c r="O37" s="104" t="s">
        <v>1212</v>
      </c>
      <c r="P37" s="104" t="s">
        <v>1187</v>
      </c>
      <c r="Q37" s="104" t="s">
        <v>1176</v>
      </c>
      <c r="R37" s="104" t="s">
        <v>1176</v>
      </c>
      <c r="S37" s="104" t="s">
        <v>1176</v>
      </c>
      <c r="T37" s="104" t="s">
        <v>1176</v>
      </c>
      <c r="U37" s="104" t="s">
        <v>1187</v>
      </c>
      <c r="V37" s="104" t="s">
        <v>1272</v>
      </c>
      <c r="W37" s="104" t="s">
        <v>1176</v>
      </c>
      <c r="X37" s="104" t="s">
        <v>1273</v>
      </c>
      <c r="Y37" s="104" t="s">
        <v>1274</v>
      </c>
      <c r="Z37" s="104" t="s">
        <v>1275</v>
      </c>
      <c r="AA37" s="104" t="s">
        <v>1176</v>
      </c>
      <c r="AB37" s="104" t="s">
        <v>1176</v>
      </c>
      <c r="AC37" s="104" t="s">
        <v>1187</v>
      </c>
      <c r="AD37" s="104" t="s">
        <v>1276</v>
      </c>
      <c r="AE37" s="104" t="s">
        <v>1176</v>
      </c>
      <c r="AF37" s="104" t="s">
        <v>1176</v>
      </c>
      <c r="AG37" s="104" t="s">
        <v>1176</v>
      </c>
      <c r="AH37" s="104" t="s">
        <v>1176</v>
      </c>
      <c r="AI37" s="104" t="s">
        <v>1277</v>
      </c>
      <c r="AJ37" s="104" t="s">
        <v>1278</v>
      </c>
      <c r="AK37" s="104" t="s">
        <v>1279</v>
      </c>
      <c r="AL37" s="104" t="s">
        <v>1280</v>
      </c>
      <c r="AM37" s="104" t="s">
        <v>1176</v>
      </c>
      <c r="AN37" s="104" t="s">
        <v>1238</v>
      </c>
      <c r="AO37" s="104" t="s">
        <v>1176</v>
      </c>
      <c r="AP37" s="104" t="s">
        <v>1176</v>
      </c>
      <c r="AQ37" s="104" t="s">
        <v>1176</v>
      </c>
      <c r="AR37" s="104" t="s">
        <v>1176</v>
      </c>
      <c r="AS37" s="104" t="s">
        <v>1176</v>
      </c>
      <c r="AT37" s="104" t="s">
        <v>1176</v>
      </c>
      <c r="AU37" s="104" t="s">
        <v>1176</v>
      </c>
      <c r="AV37" s="104" t="s">
        <v>1176</v>
      </c>
      <c r="AW37" s="104" t="s">
        <v>1176</v>
      </c>
      <c r="AX37" s="104" t="s">
        <v>1176</v>
      </c>
      <c r="AY37" s="104" t="s">
        <v>1176</v>
      </c>
      <c r="AZ37" s="104" t="s">
        <v>1176</v>
      </c>
      <c r="BA37" s="104" t="s">
        <v>1176</v>
      </c>
      <c r="BB37" s="104" t="s">
        <v>1176</v>
      </c>
      <c r="BC37" s="104" t="s">
        <v>1176</v>
      </c>
      <c r="BD37" s="104" t="s">
        <v>1176</v>
      </c>
      <c r="BE37" s="104" t="s">
        <v>1176</v>
      </c>
      <c r="BF37" s="104" t="s">
        <v>1176</v>
      </c>
      <c r="BG37" s="104" t="s">
        <v>1281</v>
      </c>
      <c r="BH37" s="104" t="s">
        <v>1281</v>
      </c>
      <c r="BI37" s="104" t="s">
        <v>1282</v>
      </c>
      <c r="BJ37" s="104" t="s">
        <v>1176</v>
      </c>
      <c r="BK37" s="104" t="s">
        <v>1176</v>
      </c>
      <c r="BL37" s="104" t="s">
        <v>1176</v>
      </c>
      <c r="BM37" s="104" t="s">
        <v>1176</v>
      </c>
      <c r="BN37" s="104" t="s">
        <v>1283</v>
      </c>
      <c r="BO37" s="104" t="s">
        <v>1284</v>
      </c>
      <c r="BP37" s="104" t="s">
        <v>1176</v>
      </c>
      <c r="BQ37" s="104" t="s">
        <v>1176</v>
      </c>
      <c r="BR37" s="104" t="s">
        <v>1176</v>
      </c>
      <c r="BS37" s="104" t="s">
        <v>1176</v>
      </c>
      <c r="BT37" s="104" t="s">
        <v>1180</v>
      </c>
      <c r="BU37" s="104" t="s">
        <v>1285</v>
      </c>
      <c r="BV37" s="104" t="s">
        <v>1176</v>
      </c>
      <c r="BW37" s="104" t="s">
        <v>1176</v>
      </c>
      <c r="BX37" s="104" t="s">
        <v>1176</v>
      </c>
      <c r="BY37" s="104" t="s">
        <v>1176</v>
      </c>
      <c r="BZ37" s="104" t="s">
        <v>1176</v>
      </c>
      <c r="CA37" s="104" t="s">
        <v>1176</v>
      </c>
      <c r="CB37" s="104" t="s">
        <v>1176</v>
      </c>
      <c r="CC37" s="104" t="s">
        <v>1176</v>
      </c>
      <c r="CD37" s="104" t="s">
        <v>1176</v>
      </c>
      <c r="CE37" s="104" t="s">
        <v>1176</v>
      </c>
      <c r="CF37" s="104" t="s">
        <v>1176</v>
      </c>
      <c r="CG37" s="104" t="s">
        <v>1176</v>
      </c>
      <c r="CH37" s="104" t="s">
        <v>1176</v>
      </c>
      <c r="CI37" s="104" t="s">
        <v>1176</v>
      </c>
      <c r="CJ37" s="104" t="s">
        <v>1176</v>
      </c>
      <c r="CK37" s="104" t="s">
        <v>1176</v>
      </c>
      <c r="CL37" s="104" t="s">
        <v>1176</v>
      </c>
      <c r="CM37" s="104" t="s">
        <v>1176</v>
      </c>
      <c r="CN37" s="104" t="s">
        <v>1176</v>
      </c>
      <c r="CO37" s="104" t="s">
        <v>1176</v>
      </c>
    </row>
    <row r="38" s="102" customFormat="1" ht="15" spans="1:93">
      <c r="A38" s="104" t="s">
        <v>1188</v>
      </c>
      <c r="B38" s="104" t="s">
        <v>1146</v>
      </c>
      <c r="C38" s="104" t="s">
        <v>1147</v>
      </c>
      <c r="D38" s="104" t="s">
        <v>1286</v>
      </c>
      <c r="E38" s="104" t="s">
        <v>1287</v>
      </c>
      <c r="F38" s="104">
        <f t="shared" si="0"/>
        <v>964</v>
      </c>
      <c r="G38" s="104" t="s">
        <v>1287</v>
      </c>
      <c r="H38" s="104" t="s">
        <v>1176</v>
      </c>
      <c r="I38" s="104" t="s">
        <v>1176</v>
      </c>
      <c r="J38" s="104" t="s">
        <v>1176</v>
      </c>
      <c r="K38" s="104" t="s">
        <v>1176</v>
      </c>
      <c r="L38" s="104" t="s">
        <v>1288</v>
      </c>
      <c r="M38" s="104" t="s">
        <v>1289</v>
      </c>
      <c r="N38" s="104" t="s">
        <v>1187</v>
      </c>
      <c r="O38" s="104" t="s">
        <v>1176</v>
      </c>
      <c r="P38" s="104" t="s">
        <v>1176</v>
      </c>
      <c r="Q38" s="104" t="s">
        <v>1176</v>
      </c>
      <c r="R38" s="104" t="s">
        <v>1176</v>
      </c>
      <c r="S38" s="104" t="s">
        <v>1176</v>
      </c>
      <c r="T38" s="104" t="s">
        <v>1176</v>
      </c>
      <c r="U38" s="104" t="s">
        <v>1172</v>
      </c>
      <c r="V38" s="104" t="s">
        <v>1290</v>
      </c>
      <c r="W38" s="104" t="s">
        <v>1176</v>
      </c>
      <c r="X38" s="104" t="s">
        <v>1176</v>
      </c>
      <c r="Y38" s="104" t="s">
        <v>1176</v>
      </c>
      <c r="Z38" s="104" t="s">
        <v>1176</v>
      </c>
      <c r="AA38" s="104" t="s">
        <v>1176</v>
      </c>
      <c r="AB38" s="104" t="s">
        <v>1176</v>
      </c>
      <c r="AC38" s="104" t="s">
        <v>1176</v>
      </c>
      <c r="AD38" s="104" t="s">
        <v>1176</v>
      </c>
      <c r="AE38" s="104" t="s">
        <v>1176</v>
      </c>
      <c r="AF38" s="104" t="s">
        <v>1176</v>
      </c>
      <c r="AG38" s="104" t="s">
        <v>1176</v>
      </c>
      <c r="AH38" s="104" t="s">
        <v>1176</v>
      </c>
      <c r="AI38" s="104" t="s">
        <v>1176</v>
      </c>
      <c r="AJ38" s="104" t="s">
        <v>1176</v>
      </c>
      <c r="AK38" s="104" t="s">
        <v>1176</v>
      </c>
      <c r="AL38" s="104" t="s">
        <v>1176</v>
      </c>
      <c r="AM38" s="104" t="s">
        <v>1176</v>
      </c>
      <c r="AN38" s="104" t="s">
        <v>1176</v>
      </c>
      <c r="AO38" s="104" t="s">
        <v>1176</v>
      </c>
      <c r="AP38" s="104" t="s">
        <v>1176</v>
      </c>
      <c r="AQ38" s="104" t="s">
        <v>1176</v>
      </c>
      <c r="AR38" s="104" t="s">
        <v>1176</v>
      </c>
      <c r="AS38" s="104" t="s">
        <v>1176</v>
      </c>
      <c r="AT38" s="104" t="s">
        <v>1176</v>
      </c>
      <c r="AU38" s="104" t="s">
        <v>1176</v>
      </c>
      <c r="AV38" s="104" t="s">
        <v>1176</v>
      </c>
      <c r="AW38" s="104" t="s">
        <v>1176</v>
      </c>
      <c r="AX38" s="104" t="s">
        <v>1176</v>
      </c>
      <c r="AY38" s="104" t="s">
        <v>1176</v>
      </c>
      <c r="AZ38" s="104" t="s">
        <v>1176</v>
      </c>
      <c r="BA38" s="104" t="s">
        <v>1176</v>
      </c>
      <c r="BB38" s="104" t="s">
        <v>1176</v>
      </c>
      <c r="BC38" s="104" t="s">
        <v>1176</v>
      </c>
      <c r="BD38" s="104" t="s">
        <v>1176</v>
      </c>
      <c r="BE38" s="104" t="s">
        <v>1176</v>
      </c>
      <c r="BF38" s="104" t="s">
        <v>1176</v>
      </c>
      <c r="BG38" s="104" t="s">
        <v>1176</v>
      </c>
      <c r="BH38" s="104" t="s">
        <v>1176</v>
      </c>
      <c r="BI38" s="104" t="s">
        <v>1176</v>
      </c>
      <c r="BJ38" s="104" t="s">
        <v>1176</v>
      </c>
      <c r="BK38" s="104" t="s">
        <v>1176</v>
      </c>
      <c r="BL38" s="104" t="s">
        <v>1176</v>
      </c>
      <c r="BM38" s="104" t="s">
        <v>1176</v>
      </c>
      <c r="BN38" s="104" t="s">
        <v>1176</v>
      </c>
      <c r="BO38" s="104" t="s">
        <v>1176</v>
      </c>
      <c r="BP38" s="104" t="s">
        <v>1176</v>
      </c>
      <c r="BQ38" s="104" t="s">
        <v>1176</v>
      </c>
      <c r="BR38" s="104" t="s">
        <v>1176</v>
      </c>
      <c r="BS38" s="104" t="s">
        <v>1176</v>
      </c>
      <c r="BT38" s="104" t="s">
        <v>1176</v>
      </c>
      <c r="BU38" s="104" t="s">
        <v>1176</v>
      </c>
      <c r="BV38" s="104" t="s">
        <v>1176</v>
      </c>
      <c r="BW38" s="104" t="s">
        <v>1176</v>
      </c>
      <c r="BX38" s="104" t="s">
        <v>1176</v>
      </c>
      <c r="BY38" s="104" t="s">
        <v>1176</v>
      </c>
      <c r="BZ38" s="104" t="s">
        <v>1176</v>
      </c>
      <c r="CA38" s="104" t="s">
        <v>1176</v>
      </c>
      <c r="CB38" s="104" t="s">
        <v>1176</v>
      </c>
      <c r="CC38" s="104" t="s">
        <v>1176</v>
      </c>
      <c r="CD38" s="104" t="s">
        <v>1176</v>
      </c>
      <c r="CE38" s="104" t="s">
        <v>1176</v>
      </c>
      <c r="CF38" s="104" t="s">
        <v>1176</v>
      </c>
      <c r="CG38" s="104" t="s">
        <v>1176</v>
      </c>
      <c r="CH38" s="104" t="s">
        <v>1176</v>
      </c>
      <c r="CI38" s="104" t="s">
        <v>1176</v>
      </c>
      <c r="CJ38" s="104" t="s">
        <v>1176</v>
      </c>
      <c r="CK38" s="104" t="s">
        <v>1176</v>
      </c>
      <c r="CL38" s="104" t="s">
        <v>1176</v>
      </c>
      <c r="CM38" s="104" t="s">
        <v>1176</v>
      </c>
      <c r="CN38" s="104" t="s">
        <v>1176</v>
      </c>
      <c r="CO38" s="104" t="s">
        <v>1176</v>
      </c>
    </row>
    <row r="39" s="102" customFormat="1" ht="15" spans="1:93">
      <c r="A39" s="104" t="s">
        <v>1201</v>
      </c>
      <c r="B39" s="104" t="s">
        <v>1146</v>
      </c>
      <c r="C39" s="104" t="s">
        <v>1147</v>
      </c>
      <c r="D39" s="104" t="s">
        <v>1291</v>
      </c>
      <c r="E39" s="104" t="s">
        <v>1292</v>
      </c>
      <c r="F39" s="104">
        <f t="shared" si="0"/>
        <v>3316</v>
      </c>
      <c r="G39" s="104" t="s">
        <v>1293</v>
      </c>
      <c r="H39" s="104" t="s">
        <v>1176</v>
      </c>
      <c r="I39" s="104" t="s">
        <v>1176</v>
      </c>
      <c r="J39" s="104" t="s">
        <v>1176</v>
      </c>
      <c r="K39" s="104" t="s">
        <v>1176</v>
      </c>
      <c r="L39" s="104" t="s">
        <v>1294</v>
      </c>
      <c r="M39" s="104" t="s">
        <v>1295</v>
      </c>
      <c r="N39" s="104" t="s">
        <v>1296</v>
      </c>
      <c r="O39" s="104" t="s">
        <v>1176</v>
      </c>
      <c r="P39" s="104" t="s">
        <v>1176</v>
      </c>
      <c r="Q39" s="104" t="s">
        <v>1176</v>
      </c>
      <c r="R39" s="104" t="s">
        <v>1176</v>
      </c>
      <c r="S39" s="104" t="s">
        <v>1176</v>
      </c>
      <c r="T39" s="104" t="s">
        <v>1176</v>
      </c>
      <c r="U39" s="104" t="s">
        <v>1179</v>
      </c>
      <c r="V39" s="104" t="s">
        <v>1297</v>
      </c>
      <c r="W39" s="104" t="s">
        <v>1176</v>
      </c>
      <c r="X39" s="104" t="s">
        <v>1176</v>
      </c>
      <c r="Y39" s="104" t="s">
        <v>1176</v>
      </c>
      <c r="Z39" s="104" t="s">
        <v>1176</v>
      </c>
      <c r="AA39" s="104" t="s">
        <v>1176</v>
      </c>
      <c r="AB39" s="104" t="s">
        <v>1176</v>
      </c>
      <c r="AC39" s="104" t="s">
        <v>1176</v>
      </c>
      <c r="AD39" s="104" t="s">
        <v>1176</v>
      </c>
      <c r="AE39" s="104" t="s">
        <v>1176</v>
      </c>
      <c r="AF39" s="104" t="s">
        <v>1176</v>
      </c>
      <c r="AG39" s="104" t="s">
        <v>1176</v>
      </c>
      <c r="AH39" s="104" t="s">
        <v>1176</v>
      </c>
      <c r="AI39" s="104" t="s">
        <v>1176</v>
      </c>
      <c r="AJ39" s="104" t="s">
        <v>1176</v>
      </c>
      <c r="AK39" s="104" t="s">
        <v>1176</v>
      </c>
      <c r="AL39" s="104" t="s">
        <v>1176</v>
      </c>
      <c r="AM39" s="104" t="s">
        <v>1176</v>
      </c>
      <c r="AN39" s="104" t="s">
        <v>1176</v>
      </c>
      <c r="AO39" s="104" t="s">
        <v>1176</v>
      </c>
      <c r="AP39" s="104" t="s">
        <v>1176</v>
      </c>
      <c r="AQ39" s="104" t="s">
        <v>1176</v>
      </c>
      <c r="AR39" s="104" t="s">
        <v>1176</v>
      </c>
      <c r="AS39" s="104" t="s">
        <v>1176</v>
      </c>
      <c r="AT39" s="104" t="s">
        <v>1176</v>
      </c>
      <c r="AU39" s="104" t="s">
        <v>1176</v>
      </c>
      <c r="AV39" s="104" t="s">
        <v>1176</v>
      </c>
      <c r="AW39" s="104" t="s">
        <v>1176</v>
      </c>
      <c r="AX39" s="104" t="s">
        <v>1176</v>
      </c>
      <c r="AY39" s="104" t="s">
        <v>1176</v>
      </c>
      <c r="AZ39" s="104" t="s">
        <v>1176</v>
      </c>
      <c r="BA39" s="104" t="s">
        <v>1176</v>
      </c>
      <c r="BB39" s="104" t="s">
        <v>1176</v>
      </c>
      <c r="BC39" s="104" t="s">
        <v>1176</v>
      </c>
      <c r="BD39" s="104" t="s">
        <v>1176</v>
      </c>
      <c r="BE39" s="104" t="s">
        <v>1176</v>
      </c>
      <c r="BF39" s="104" t="s">
        <v>1176</v>
      </c>
      <c r="BG39" s="104" t="s">
        <v>1245</v>
      </c>
      <c r="BH39" s="104" t="s">
        <v>1245</v>
      </c>
      <c r="BI39" s="104" t="s">
        <v>1298</v>
      </c>
      <c r="BJ39" s="104" t="s">
        <v>1176</v>
      </c>
      <c r="BK39" s="104" t="s">
        <v>1176</v>
      </c>
      <c r="BL39" s="104" t="s">
        <v>1176</v>
      </c>
      <c r="BM39" s="104" t="s">
        <v>1176</v>
      </c>
      <c r="BN39" s="104" t="s">
        <v>1188</v>
      </c>
      <c r="BO39" s="104" t="s">
        <v>1188</v>
      </c>
      <c r="BP39" s="104" t="s">
        <v>1176</v>
      </c>
      <c r="BQ39" s="104" t="s">
        <v>1176</v>
      </c>
      <c r="BR39" s="104" t="s">
        <v>1176</v>
      </c>
      <c r="BS39" s="104" t="s">
        <v>1176</v>
      </c>
      <c r="BT39" s="104" t="s">
        <v>1299</v>
      </c>
      <c r="BU39" s="104" t="s">
        <v>1300</v>
      </c>
      <c r="BV39" s="104" t="s">
        <v>1176</v>
      </c>
      <c r="BW39" s="104" t="s">
        <v>1176</v>
      </c>
      <c r="BX39" s="104" t="s">
        <v>1176</v>
      </c>
      <c r="BY39" s="104" t="s">
        <v>1176</v>
      </c>
      <c r="BZ39" s="104" t="s">
        <v>1176</v>
      </c>
      <c r="CA39" s="104" t="s">
        <v>1176</v>
      </c>
      <c r="CB39" s="104" t="s">
        <v>1176</v>
      </c>
      <c r="CC39" s="104" t="s">
        <v>1176</v>
      </c>
      <c r="CD39" s="104" t="s">
        <v>1176</v>
      </c>
      <c r="CE39" s="104" t="s">
        <v>1176</v>
      </c>
      <c r="CF39" s="104" t="s">
        <v>1176</v>
      </c>
      <c r="CG39" s="104" t="s">
        <v>1176</v>
      </c>
      <c r="CH39" s="104" t="s">
        <v>1176</v>
      </c>
      <c r="CI39" s="104" t="s">
        <v>1176</v>
      </c>
      <c r="CJ39" s="104" t="s">
        <v>1176</v>
      </c>
      <c r="CK39" s="104" t="s">
        <v>1176</v>
      </c>
      <c r="CL39" s="104" t="s">
        <v>1176</v>
      </c>
      <c r="CM39" s="104" t="s">
        <v>1176</v>
      </c>
      <c r="CN39" s="104" t="s">
        <v>1176</v>
      </c>
      <c r="CO39" s="104" t="s">
        <v>1176</v>
      </c>
    </row>
    <row r="40" s="102" customFormat="1" ht="15" spans="1:93">
      <c r="A40" s="104" t="s">
        <v>1243</v>
      </c>
      <c r="B40" s="104" t="s">
        <v>1146</v>
      </c>
      <c r="C40" s="104" t="s">
        <v>1147</v>
      </c>
      <c r="D40" s="104" t="s">
        <v>1301</v>
      </c>
      <c r="E40" s="104" t="s">
        <v>1302</v>
      </c>
      <c r="F40" s="104">
        <f t="shared" si="0"/>
        <v>2330</v>
      </c>
      <c r="G40" s="104" t="s">
        <v>1303</v>
      </c>
      <c r="H40" s="104" t="s">
        <v>1176</v>
      </c>
      <c r="I40" s="104" t="s">
        <v>1176</v>
      </c>
      <c r="J40" s="104" t="s">
        <v>1176</v>
      </c>
      <c r="K40" s="104" t="s">
        <v>1176</v>
      </c>
      <c r="L40" s="104" t="s">
        <v>1304</v>
      </c>
      <c r="M40" s="104" t="s">
        <v>1305</v>
      </c>
      <c r="N40" s="104" t="s">
        <v>1306</v>
      </c>
      <c r="O40" s="104" t="s">
        <v>1176</v>
      </c>
      <c r="P40" s="104" t="s">
        <v>1176</v>
      </c>
      <c r="Q40" s="104" t="s">
        <v>1176</v>
      </c>
      <c r="R40" s="104" t="s">
        <v>1176</v>
      </c>
      <c r="S40" s="104" t="s">
        <v>1176</v>
      </c>
      <c r="T40" s="104" t="s">
        <v>1176</v>
      </c>
      <c r="U40" s="104" t="s">
        <v>1212</v>
      </c>
      <c r="V40" s="104" t="s">
        <v>1307</v>
      </c>
      <c r="W40" s="104" t="s">
        <v>1176</v>
      </c>
      <c r="X40" s="104" t="s">
        <v>1308</v>
      </c>
      <c r="Y40" s="104" t="s">
        <v>1309</v>
      </c>
      <c r="Z40" s="104" t="s">
        <v>1310</v>
      </c>
      <c r="AA40" s="104" t="s">
        <v>1176</v>
      </c>
      <c r="AB40" s="104" t="s">
        <v>1176</v>
      </c>
      <c r="AC40" s="104" t="s">
        <v>1176</v>
      </c>
      <c r="AD40" s="104" t="s">
        <v>1176</v>
      </c>
      <c r="AE40" s="104" t="s">
        <v>1176</v>
      </c>
      <c r="AF40" s="104" t="s">
        <v>1176</v>
      </c>
      <c r="AG40" s="104" t="s">
        <v>1176</v>
      </c>
      <c r="AH40" s="104" t="s">
        <v>1176</v>
      </c>
      <c r="AI40" s="104" t="s">
        <v>1188</v>
      </c>
      <c r="AJ40" s="104" t="s">
        <v>1311</v>
      </c>
      <c r="AK40" s="104" t="s">
        <v>1312</v>
      </c>
      <c r="AL40" s="104" t="s">
        <v>1313</v>
      </c>
      <c r="AM40" s="104" t="s">
        <v>1176</v>
      </c>
      <c r="AN40" s="104" t="s">
        <v>1179</v>
      </c>
      <c r="AO40" s="104" t="s">
        <v>1176</v>
      </c>
      <c r="AP40" s="104" t="s">
        <v>1176</v>
      </c>
      <c r="AQ40" s="104" t="s">
        <v>1176</v>
      </c>
      <c r="AR40" s="104" t="s">
        <v>1176</v>
      </c>
      <c r="AS40" s="104" t="s">
        <v>1176</v>
      </c>
      <c r="AT40" s="104" t="s">
        <v>1176</v>
      </c>
      <c r="AU40" s="104" t="s">
        <v>1176</v>
      </c>
      <c r="AV40" s="104" t="s">
        <v>1176</v>
      </c>
      <c r="AW40" s="104" t="s">
        <v>1176</v>
      </c>
      <c r="AX40" s="104" t="s">
        <v>1176</v>
      </c>
      <c r="AY40" s="104" t="s">
        <v>1176</v>
      </c>
      <c r="AZ40" s="104" t="s">
        <v>1176</v>
      </c>
      <c r="BA40" s="104" t="s">
        <v>1176</v>
      </c>
      <c r="BB40" s="104" t="s">
        <v>1176</v>
      </c>
      <c r="BC40" s="104" t="s">
        <v>1176</v>
      </c>
      <c r="BD40" s="104" t="s">
        <v>1176</v>
      </c>
      <c r="BE40" s="104" t="s">
        <v>1176</v>
      </c>
      <c r="BF40" s="104" t="s">
        <v>1176</v>
      </c>
      <c r="BG40" s="104" t="s">
        <v>1314</v>
      </c>
      <c r="BH40" s="104" t="s">
        <v>1314</v>
      </c>
      <c r="BI40" s="104" t="s">
        <v>1315</v>
      </c>
      <c r="BJ40" s="104" t="s">
        <v>1201</v>
      </c>
      <c r="BK40" s="104" t="s">
        <v>1172</v>
      </c>
      <c r="BL40" s="104" t="s">
        <v>1176</v>
      </c>
      <c r="BM40" s="104" t="s">
        <v>1176</v>
      </c>
      <c r="BN40" s="104" t="s">
        <v>1172</v>
      </c>
      <c r="BO40" s="104" t="s">
        <v>1172</v>
      </c>
      <c r="BP40" s="104" t="s">
        <v>1176</v>
      </c>
      <c r="BQ40" s="104" t="s">
        <v>1176</v>
      </c>
      <c r="BR40" s="104" t="s">
        <v>1176</v>
      </c>
      <c r="BS40" s="104" t="s">
        <v>1176</v>
      </c>
      <c r="BT40" s="104" t="s">
        <v>1296</v>
      </c>
      <c r="BU40" s="104" t="s">
        <v>1236</v>
      </c>
      <c r="BV40" s="104" t="s">
        <v>1176</v>
      </c>
      <c r="BW40" s="104" t="s">
        <v>1176</v>
      </c>
      <c r="BX40" s="104" t="s">
        <v>1201</v>
      </c>
      <c r="BY40" s="104" t="s">
        <v>1316</v>
      </c>
      <c r="BZ40" s="104" t="s">
        <v>1176</v>
      </c>
      <c r="CA40" s="104" t="s">
        <v>1176</v>
      </c>
      <c r="CB40" s="104" t="s">
        <v>1176</v>
      </c>
      <c r="CC40" s="104" t="s">
        <v>1176</v>
      </c>
      <c r="CD40" s="104" t="s">
        <v>1176</v>
      </c>
      <c r="CE40" s="104" t="s">
        <v>1176</v>
      </c>
      <c r="CF40" s="104" t="s">
        <v>1176</v>
      </c>
      <c r="CG40" s="104" t="s">
        <v>1176</v>
      </c>
      <c r="CH40" s="104" t="s">
        <v>1176</v>
      </c>
      <c r="CI40" s="104" t="s">
        <v>1176</v>
      </c>
      <c r="CJ40" s="104" t="s">
        <v>1176</v>
      </c>
      <c r="CK40" s="104" t="s">
        <v>1176</v>
      </c>
      <c r="CL40" s="104" t="s">
        <v>1176</v>
      </c>
      <c r="CM40" s="104" t="s">
        <v>1176</v>
      </c>
      <c r="CN40" s="104" t="s">
        <v>1176</v>
      </c>
      <c r="CO40" s="104" t="s">
        <v>1176</v>
      </c>
    </row>
    <row r="41" s="102" customFormat="1" ht="15" spans="1:93">
      <c r="A41" s="104" t="s">
        <v>1218</v>
      </c>
      <c r="B41" s="104" t="s">
        <v>1146</v>
      </c>
      <c r="C41" s="104" t="s">
        <v>1147</v>
      </c>
      <c r="D41" s="104" t="s">
        <v>1317</v>
      </c>
      <c r="E41" s="104" t="s">
        <v>1318</v>
      </c>
      <c r="F41" s="104">
        <f t="shared" si="0"/>
        <v>1307</v>
      </c>
      <c r="G41" s="104" t="s">
        <v>1319</v>
      </c>
      <c r="H41" s="104" t="s">
        <v>1176</v>
      </c>
      <c r="I41" s="104" t="s">
        <v>1176</v>
      </c>
      <c r="J41" s="104" t="s">
        <v>1176</v>
      </c>
      <c r="K41" s="104" t="s">
        <v>1176</v>
      </c>
      <c r="L41" s="104" t="s">
        <v>1320</v>
      </c>
      <c r="M41" s="104" t="s">
        <v>1321</v>
      </c>
      <c r="N41" s="104" t="s">
        <v>1212</v>
      </c>
      <c r="O41" s="104" t="s">
        <v>1176</v>
      </c>
      <c r="P41" s="104" t="s">
        <v>1176</v>
      </c>
      <c r="Q41" s="104" t="s">
        <v>1176</v>
      </c>
      <c r="R41" s="104" t="s">
        <v>1176</v>
      </c>
      <c r="S41" s="104" t="s">
        <v>1176</v>
      </c>
      <c r="T41" s="104" t="s">
        <v>1176</v>
      </c>
      <c r="U41" s="104" t="s">
        <v>1212</v>
      </c>
      <c r="V41" s="104" t="s">
        <v>1285</v>
      </c>
      <c r="W41" s="104" t="s">
        <v>1176</v>
      </c>
      <c r="X41" s="104" t="s">
        <v>1322</v>
      </c>
      <c r="Y41" s="104" t="s">
        <v>1323</v>
      </c>
      <c r="Z41" s="104" t="s">
        <v>1324</v>
      </c>
      <c r="AA41" s="104" t="s">
        <v>1176</v>
      </c>
      <c r="AB41" s="104" t="s">
        <v>1176</v>
      </c>
      <c r="AC41" s="104" t="s">
        <v>1176</v>
      </c>
      <c r="AD41" s="104" t="s">
        <v>1176</v>
      </c>
      <c r="AE41" s="104" t="s">
        <v>1176</v>
      </c>
      <c r="AF41" s="104" t="s">
        <v>1176</v>
      </c>
      <c r="AG41" s="104" t="s">
        <v>1176</v>
      </c>
      <c r="AH41" s="104" t="s">
        <v>1176</v>
      </c>
      <c r="AI41" s="104" t="s">
        <v>1187</v>
      </c>
      <c r="AJ41" s="104" t="s">
        <v>1325</v>
      </c>
      <c r="AK41" s="104" t="s">
        <v>1326</v>
      </c>
      <c r="AL41" s="104" t="s">
        <v>1327</v>
      </c>
      <c r="AM41" s="104" t="s">
        <v>1176</v>
      </c>
      <c r="AN41" s="104" t="s">
        <v>1172</v>
      </c>
      <c r="AO41" s="104" t="s">
        <v>1176</v>
      </c>
      <c r="AP41" s="104" t="s">
        <v>1176</v>
      </c>
      <c r="AQ41" s="104" t="s">
        <v>1176</v>
      </c>
      <c r="AR41" s="104" t="s">
        <v>1176</v>
      </c>
      <c r="AS41" s="104" t="s">
        <v>1176</v>
      </c>
      <c r="AT41" s="104" t="s">
        <v>1176</v>
      </c>
      <c r="AU41" s="104" t="s">
        <v>1176</v>
      </c>
      <c r="AV41" s="104" t="s">
        <v>1176</v>
      </c>
      <c r="AW41" s="104" t="s">
        <v>1176</v>
      </c>
      <c r="AX41" s="104" t="s">
        <v>1176</v>
      </c>
      <c r="AY41" s="104" t="s">
        <v>1176</v>
      </c>
      <c r="AZ41" s="104" t="s">
        <v>1176</v>
      </c>
      <c r="BA41" s="104" t="s">
        <v>1176</v>
      </c>
      <c r="BB41" s="104" t="s">
        <v>1176</v>
      </c>
      <c r="BC41" s="104" t="s">
        <v>1176</v>
      </c>
      <c r="BD41" s="104" t="s">
        <v>1176</v>
      </c>
      <c r="BE41" s="104" t="s">
        <v>1176</v>
      </c>
      <c r="BF41" s="104" t="s">
        <v>1176</v>
      </c>
      <c r="BG41" s="104" t="s">
        <v>1328</v>
      </c>
      <c r="BH41" s="104" t="s">
        <v>1328</v>
      </c>
      <c r="BI41" s="104" t="s">
        <v>1329</v>
      </c>
      <c r="BJ41" s="104" t="s">
        <v>1176</v>
      </c>
      <c r="BK41" s="104" t="s">
        <v>1176</v>
      </c>
      <c r="BL41" s="104" t="s">
        <v>1176</v>
      </c>
      <c r="BM41" s="104" t="s">
        <v>1176</v>
      </c>
      <c r="BN41" s="104" t="s">
        <v>1323</v>
      </c>
      <c r="BO41" s="104" t="s">
        <v>1323</v>
      </c>
      <c r="BP41" s="104" t="s">
        <v>1176</v>
      </c>
      <c r="BQ41" s="104" t="s">
        <v>1176</v>
      </c>
      <c r="BR41" s="104" t="s">
        <v>1176</v>
      </c>
      <c r="BS41" s="104" t="s">
        <v>1176</v>
      </c>
      <c r="BT41" s="104" t="s">
        <v>1243</v>
      </c>
      <c r="BU41" s="104" t="s">
        <v>1330</v>
      </c>
      <c r="BV41" s="104" t="s">
        <v>1176</v>
      </c>
      <c r="BW41" s="104" t="s">
        <v>1176</v>
      </c>
      <c r="BX41" s="104" t="s">
        <v>1176</v>
      </c>
      <c r="BY41" s="104" t="s">
        <v>1176</v>
      </c>
      <c r="BZ41" s="104" t="s">
        <v>1176</v>
      </c>
      <c r="CA41" s="104" t="s">
        <v>1176</v>
      </c>
      <c r="CB41" s="104" t="s">
        <v>1176</v>
      </c>
      <c r="CC41" s="104" t="s">
        <v>1176</v>
      </c>
      <c r="CD41" s="104" t="s">
        <v>1176</v>
      </c>
      <c r="CE41" s="104" t="s">
        <v>1176</v>
      </c>
      <c r="CF41" s="104" t="s">
        <v>1176</v>
      </c>
      <c r="CG41" s="104" t="s">
        <v>1176</v>
      </c>
      <c r="CH41" s="104" t="s">
        <v>1176</v>
      </c>
      <c r="CI41" s="104" t="s">
        <v>1176</v>
      </c>
      <c r="CJ41" s="104" t="s">
        <v>1176</v>
      </c>
      <c r="CK41" s="104" t="s">
        <v>1176</v>
      </c>
      <c r="CL41" s="104" t="s">
        <v>1176</v>
      </c>
      <c r="CM41" s="104" t="s">
        <v>1176</v>
      </c>
      <c r="CN41" s="104" t="s">
        <v>1176</v>
      </c>
      <c r="CO41" s="104" t="s">
        <v>1176</v>
      </c>
    </row>
    <row r="42" s="102" customFormat="1" ht="15" spans="1:93">
      <c r="A42" s="104" t="s">
        <v>1238</v>
      </c>
      <c r="B42" s="104" t="s">
        <v>1146</v>
      </c>
      <c r="C42" s="104" t="s">
        <v>1147</v>
      </c>
      <c r="D42" s="104" t="s">
        <v>1331</v>
      </c>
      <c r="E42" s="104" t="s">
        <v>1332</v>
      </c>
      <c r="F42" s="104">
        <f t="shared" si="0"/>
        <v>2124</v>
      </c>
      <c r="G42" s="104" t="s">
        <v>1333</v>
      </c>
      <c r="H42" s="104" t="s">
        <v>1176</v>
      </c>
      <c r="I42" s="104" t="s">
        <v>1176</v>
      </c>
      <c r="J42" s="104" t="s">
        <v>1176</v>
      </c>
      <c r="K42" s="104" t="s">
        <v>1176</v>
      </c>
      <c r="L42" s="104" t="s">
        <v>1334</v>
      </c>
      <c r="M42" s="104" t="s">
        <v>1335</v>
      </c>
      <c r="N42" s="104" t="s">
        <v>1172</v>
      </c>
      <c r="O42" s="104" t="s">
        <v>1176</v>
      </c>
      <c r="P42" s="104" t="s">
        <v>1176</v>
      </c>
      <c r="Q42" s="104" t="s">
        <v>1176</v>
      </c>
      <c r="R42" s="104" t="s">
        <v>1176</v>
      </c>
      <c r="S42" s="104" t="s">
        <v>1176</v>
      </c>
      <c r="T42" s="104" t="s">
        <v>1176</v>
      </c>
      <c r="U42" s="104" t="s">
        <v>1180</v>
      </c>
      <c r="V42" s="104" t="s">
        <v>1336</v>
      </c>
      <c r="W42" s="104" t="s">
        <v>1176</v>
      </c>
      <c r="X42" s="104" t="s">
        <v>1337</v>
      </c>
      <c r="Y42" s="104" t="s">
        <v>1338</v>
      </c>
      <c r="Z42" s="104" t="s">
        <v>1339</v>
      </c>
      <c r="AA42" s="104" t="s">
        <v>1176</v>
      </c>
      <c r="AB42" s="104" t="s">
        <v>1176</v>
      </c>
      <c r="AC42" s="104" t="s">
        <v>1176</v>
      </c>
      <c r="AD42" s="104" t="s">
        <v>1176</v>
      </c>
      <c r="AE42" s="104" t="s">
        <v>1176</v>
      </c>
      <c r="AF42" s="104" t="s">
        <v>1176</v>
      </c>
      <c r="AG42" s="104" t="s">
        <v>1176</v>
      </c>
      <c r="AH42" s="104" t="s">
        <v>1176</v>
      </c>
      <c r="AI42" s="104" t="s">
        <v>1230</v>
      </c>
      <c r="AJ42" s="104" t="s">
        <v>1340</v>
      </c>
      <c r="AK42" s="104" t="s">
        <v>1316</v>
      </c>
      <c r="AL42" s="104" t="s">
        <v>1341</v>
      </c>
      <c r="AM42" s="104" t="s">
        <v>1176</v>
      </c>
      <c r="AN42" s="104" t="s">
        <v>1196</v>
      </c>
      <c r="AO42" s="104" t="s">
        <v>1176</v>
      </c>
      <c r="AP42" s="104" t="s">
        <v>1176</v>
      </c>
      <c r="AQ42" s="104" t="s">
        <v>1176</v>
      </c>
      <c r="AR42" s="104" t="s">
        <v>1176</v>
      </c>
      <c r="AS42" s="104" t="s">
        <v>1176</v>
      </c>
      <c r="AT42" s="104" t="s">
        <v>1176</v>
      </c>
      <c r="AU42" s="104" t="s">
        <v>1176</v>
      </c>
      <c r="AV42" s="104" t="s">
        <v>1176</v>
      </c>
      <c r="AW42" s="104" t="s">
        <v>1176</v>
      </c>
      <c r="AX42" s="104" t="s">
        <v>1176</v>
      </c>
      <c r="AY42" s="104" t="s">
        <v>1176</v>
      </c>
      <c r="AZ42" s="104" t="s">
        <v>1176</v>
      </c>
      <c r="BA42" s="104" t="s">
        <v>1176</v>
      </c>
      <c r="BB42" s="104" t="s">
        <v>1176</v>
      </c>
      <c r="BC42" s="104" t="s">
        <v>1176</v>
      </c>
      <c r="BD42" s="104" t="s">
        <v>1176</v>
      </c>
      <c r="BE42" s="104" t="s">
        <v>1176</v>
      </c>
      <c r="BF42" s="104" t="s">
        <v>1176</v>
      </c>
      <c r="BG42" s="104" t="s">
        <v>1342</v>
      </c>
      <c r="BH42" s="104" t="s">
        <v>1342</v>
      </c>
      <c r="BI42" s="104" t="s">
        <v>1343</v>
      </c>
      <c r="BJ42" s="104" t="s">
        <v>1176</v>
      </c>
      <c r="BK42" s="104" t="s">
        <v>1176</v>
      </c>
      <c r="BL42" s="104" t="s">
        <v>1176</v>
      </c>
      <c r="BM42" s="104" t="s">
        <v>1176</v>
      </c>
      <c r="BN42" s="104" t="s">
        <v>1344</v>
      </c>
      <c r="BO42" s="104" t="s">
        <v>1344</v>
      </c>
      <c r="BP42" s="104" t="s">
        <v>1176</v>
      </c>
      <c r="BQ42" s="104" t="s">
        <v>1176</v>
      </c>
      <c r="BR42" s="104" t="s">
        <v>1176</v>
      </c>
      <c r="BS42" s="104" t="s">
        <v>1176</v>
      </c>
      <c r="BT42" s="104" t="s">
        <v>1345</v>
      </c>
      <c r="BU42" s="104" t="s">
        <v>1346</v>
      </c>
      <c r="BV42" s="104" t="s">
        <v>1176</v>
      </c>
      <c r="BW42" s="104" t="s">
        <v>1176</v>
      </c>
      <c r="BX42" s="104" t="s">
        <v>1176</v>
      </c>
      <c r="BY42" s="104" t="s">
        <v>1176</v>
      </c>
      <c r="BZ42" s="104" t="s">
        <v>1176</v>
      </c>
      <c r="CA42" s="104" t="s">
        <v>1176</v>
      </c>
      <c r="CB42" s="104" t="s">
        <v>1176</v>
      </c>
      <c r="CC42" s="104" t="s">
        <v>1176</v>
      </c>
      <c r="CD42" s="104" t="s">
        <v>1176</v>
      </c>
      <c r="CE42" s="104" t="s">
        <v>1176</v>
      </c>
      <c r="CF42" s="104" t="s">
        <v>1176</v>
      </c>
      <c r="CG42" s="104" t="s">
        <v>1176</v>
      </c>
      <c r="CH42" s="104" t="s">
        <v>1176</v>
      </c>
      <c r="CI42" s="104" t="s">
        <v>1176</v>
      </c>
      <c r="CJ42" s="104" t="s">
        <v>1172</v>
      </c>
      <c r="CK42" s="104" t="s">
        <v>1172</v>
      </c>
      <c r="CL42" s="104" t="s">
        <v>1176</v>
      </c>
      <c r="CM42" s="104" t="s">
        <v>1176</v>
      </c>
      <c r="CN42" s="104" t="s">
        <v>1176</v>
      </c>
      <c r="CO42" s="104" t="s">
        <v>1176</v>
      </c>
    </row>
    <row r="43" s="102" customFormat="1" ht="15" spans="1:93">
      <c r="A43" s="104" t="s">
        <v>1196</v>
      </c>
      <c r="B43" s="104" t="s">
        <v>1146</v>
      </c>
      <c r="C43" s="104" t="s">
        <v>1147</v>
      </c>
      <c r="D43" s="104" t="s">
        <v>1347</v>
      </c>
      <c r="E43" s="104" t="s">
        <v>1348</v>
      </c>
      <c r="F43" s="104">
        <f t="shared" si="0"/>
        <v>3981</v>
      </c>
      <c r="G43" s="104" t="s">
        <v>1349</v>
      </c>
      <c r="H43" s="104" t="s">
        <v>1176</v>
      </c>
      <c r="I43" s="104" t="s">
        <v>1176</v>
      </c>
      <c r="J43" s="104" t="s">
        <v>1176</v>
      </c>
      <c r="K43" s="104" t="s">
        <v>1176</v>
      </c>
      <c r="L43" s="104" t="s">
        <v>1350</v>
      </c>
      <c r="M43" s="104" t="s">
        <v>1351</v>
      </c>
      <c r="N43" s="104" t="s">
        <v>1176</v>
      </c>
      <c r="O43" s="104" t="s">
        <v>1176</v>
      </c>
      <c r="P43" s="104" t="s">
        <v>1176</v>
      </c>
      <c r="Q43" s="104" t="s">
        <v>1176</v>
      </c>
      <c r="R43" s="104" t="s">
        <v>1176</v>
      </c>
      <c r="S43" s="104" t="s">
        <v>1176</v>
      </c>
      <c r="T43" s="104" t="s">
        <v>1176</v>
      </c>
      <c r="U43" s="104" t="s">
        <v>1176</v>
      </c>
      <c r="V43" s="104" t="s">
        <v>1352</v>
      </c>
      <c r="W43" s="104" t="s">
        <v>1176</v>
      </c>
      <c r="X43" s="104" t="s">
        <v>1353</v>
      </c>
      <c r="Y43" s="104" t="s">
        <v>1354</v>
      </c>
      <c r="Z43" s="104" t="s">
        <v>1355</v>
      </c>
      <c r="AA43" s="104" t="s">
        <v>1176</v>
      </c>
      <c r="AB43" s="104" t="s">
        <v>1176</v>
      </c>
      <c r="AC43" s="104" t="s">
        <v>1354</v>
      </c>
      <c r="AD43" s="104" t="s">
        <v>1355</v>
      </c>
      <c r="AE43" s="104" t="s">
        <v>1176</v>
      </c>
      <c r="AF43" s="104" t="s">
        <v>1176</v>
      </c>
      <c r="AG43" s="104" t="s">
        <v>1176</v>
      </c>
      <c r="AH43" s="104" t="s">
        <v>1176</v>
      </c>
      <c r="AI43" s="104" t="s">
        <v>1176</v>
      </c>
      <c r="AJ43" s="104" t="s">
        <v>1176</v>
      </c>
      <c r="AK43" s="104" t="s">
        <v>1176</v>
      </c>
      <c r="AL43" s="104" t="s">
        <v>1176</v>
      </c>
      <c r="AM43" s="104" t="s">
        <v>1176</v>
      </c>
      <c r="AN43" s="104" t="s">
        <v>1176</v>
      </c>
      <c r="AO43" s="104" t="s">
        <v>1176</v>
      </c>
      <c r="AP43" s="104" t="s">
        <v>1176</v>
      </c>
      <c r="AQ43" s="104" t="s">
        <v>1176</v>
      </c>
      <c r="AR43" s="104" t="s">
        <v>1176</v>
      </c>
      <c r="AS43" s="104" t="s">
        <v>1176</v>
      </c>
      <c r="AT43" s="104" t="s">
        <v>1176</v>
      </c>
      <c r="AU43" s="104" t="s">
        <v>1176</v>
      </c>
      <c r="AV43" s="104" t="s">
        <v>1176</v>
      </c>
      <c r="AW43" s="104" t="s">
        <v>1176</v>
      </c>
      <c r="AX43" s="104" t="s">
        <v>1176</v>
      </c>
      <c r="AY43" s="104" t="s">
        <v>1176</v>
      </c>
      <c r="AZ43" s="104" t="s">
        <v>1176</v>
      </c>
      <c r="BA43" s="104" t="s">
        <v>1176</v>
      </c>
      <c r="BB43" s="104" t="s">
        <v>1176</v>
      </c>
      <c r="BC43" s="104" t="s">
        <v>1176</v>
      </c>
      <c r="BD43" s="104" t="s">
        <v>1176</v>
      </c>
      <c r="BE43" s="104" t="s">
        <v>1176</v>
      </c>
      <c r="BF43" s="104" t="s">
        <v>1176</v>
      </c>
      <c r="BG43" s="104" t="s">
        <v>1223</v>
      </c>
      <c r="BH43" s="104" t="s">
        <v>1223</v>
      </c>
      <c r="BI43" s="104" t="s">
        <v>1223</v>
      </c>
      <c r="BJ43" s="104" t="s">
        <v>1176</v>
      </c>
      <c r="BK43" s="104" t="s">
        <v>1176</v>
      </c>
      <c r="BL43" s="104" t="s">
        <v>1176</v>
      </c>
      <c r="BM43" s="104" t="s">
        <v>1176</v>
      </c>
      <c r="BN43" s="104" t="s">
        <v>1176</v>
      </c>
      <c r="BO43" s="104" t="s">
        <v>1176</v>
      </c>
      <c r="BP43" s="104" t="s">
        <v>1176</v>
      </c>
      <c r="BQ43" s="104" t="s">
        <v>1176</v>
      </c>
      <c r="BR43" s="104" t="s">
        <v>1176</v>
      </c>
      <c r="BS43" s="104" t="s">
        <v>1176</v>
      </c>
      <c r="BT43" s="104" t="s">
        <v>1223</v>
      </c>
      <c r="BU43" s="104" t="s">
        <v>1223</v>
      </c>
      <c r="BV43" s="104" t="s">
        <v>1176</v>
      </c>
      <c r="BW43" s="104" t="s">
        <v>1176</v>
      </c>
      <c r="BX43" s="104" t="s">
        <v>1176</v>
      </c>
      <c r="BY43" s="104" t="s">
        <v>1176</v>
      </c>
      <c r="BZ43" s="104" t="s">
        <v>1176</v>
      </c>
      <c r="CA43" s="104" t="s">
        <v>1176</v>
      </c>
      <c r="CB43" s="104" t="s">
        <v>1176</v>
      </c>
      <c r="CC43" s="104" t="s">
        <v>1176</v>
      </c>
      <c r="CD43" s="104" t="s">
        <v>1176</v>
      </c>
      <c r="CE43" s="104" t="s">
        <v>1176</v>
      </c>
      <c r="CF43" s="104" t="s">
        <v>1176</v>
      </c>
      <c r="CG43" s="104" t="s">
        <v>1176</v>
      </c>
      <c r="CH43" s="104" t="s">
        <v>1176</v>
      </c>
      <c r="CI43" s="104" t="s">
        <v>1176</v>
      </c>
      <c r="CJ43" s="104" t="s">
        <v>1176</v>
      </c>
      <c r="CK43" s="104" t="s">
        <v>1176</v>
      </c>
      <c r="CL43" s="104" t="s">
        <v>1176</v>
      </c>
      <c r="CM43" s="104" t="s">
        <v>1176</v>
      </c>
      <c r="CN43" s="104" t="s">
        <v>1176</v>
      </c>
      <c r="CO43" s="104" t="s">
        <v>1176</v>
      </c>
    </row>
    <row r="44" s="102" customFormat="1" ht="15" spans="1:93">
      <c r="A44" s="104" t="s">
        <v>1356</v>
      </c>
      <c r="B44" s="104" t="s">
        <v>1146</v>
      </c>
      <c r="C44" s="104" t="s">
        <v>1147</v>
      </c>
      <c r="D44" s="104" t="s">
        <v>1357</v>
      </c>
      <c r="E44" s="104" t="s">
        <v>1358</v>
      </c>
      <c r="F44" s="104">
        <f t="shared" si="0"/>
        <v>6097</v>
      </c>
      <c r="G44" s="104" t="s">
        <v>1359</v>
      </c>
      <c r="H44" s="104" t="s">
        <v>1176</v>
      </c>
      <c r="I44" s="104" t="s">
        <v>1176</v>
      </c>
      <c r="J44" s="104" t="s">
        <v>1176</v>
      </c>
      <c r="K44" s="104" t="s">
        <v>1176</v>
      </c>
      <c r="L44" s="104" t="s">
        <v>1360</v>
      </c>
      <c r="M44" s="104" t="s">
        <v>1361</v>
      </c>
      <c r="N44" s="104" t="s">
        <v>1187</v>
      </c>
      <c r="O44" s="104" t="s">
        <v>1176</v>
      </c>
      <c r="P44" s="104" t="s">
        <v>1176</v>
      </c>
      <c r="Q44" s="104" t="s">
        <v>1176</v>
      </c>
      <c r="R44" s="104" t="s">
        <v>1176</v>
      </c>
      <c r="S44" s="104" t="s">
        <v>1176</v>
      </c>
      <c r="T44" s="104" t="s">
        <v>1176</v>
      </c>
      <c r="U44" s="104" t="s">
        <v>1187</v>
      </c>
      <c r="V44" s="104" t="s">
        <v>1362</v>
      </c>
      <c r="W44" s="104" t="s">
        <v>1176</v>
      </c>
      <c r="X44" s="104" t="s">
        <v>1363</v>
      </c>
      <c r="Y44" s="104" t="s">
        <v>1364</v>
      </c>
      <c r="Z44" s="104" t="s">
        <v>1365</v>
      </c>
      <c r="AA44" s="104" t="s">
        <v>1176</v>
      </c>
      <c r="AB44" s="104" t="s">
        <v>1176</v>
      </c>
      <c r="AC44" s="104" t="s">
        <v>1172</v>
      </c>
      <c r="AD44" s="104" t="s">
        <v>1366</v>
      </c>
      <c r="AE44" s="104" t="s">
        <v>1176</v>
      </c>
      <c r="AF44" s="104" t="s">
        <v>1176</v>
      </c>
      <c r="AG44" s="104" t="s">
        <v>1176</v>
      </c>
      <c r="AH44" s="104" t="s">
        <v>1176</v>
      </c>
      <c r="AI44" s="104" t="s">
        <v>1367</v>
      </c>
      <c r="AJ44" s="104" t="s">
        <v>1368</v>
      </c>
      <c r="AK44" s="104" t="s">
        <v>1176</v>
      </c>
      <c r="AL44" s="104" t="s">
        <v>1172</v>
      </c>
      <c r="AM44" s="104" t="s">
        <v>1176</v>
      </c>
      <c r="AN44" s="104" t="s">
        <v>1176</v>
      </c>
      <c r="AO44" s="104" t="s">
        <v>1176</v>
      </c>
      <c r="AP44" s="104" t="s">
        <v>1176</v>
      </c>
      <c r="AQ44" s="104" t="s">
        <v>1176</v>
      </c>
      <c r="AR44" s="104" t="s">
        <v>1176</v>
      </c>
      <c r="AS44" s="104" t="s">
        <v>1176</v>
      </c>
      <c r="AT44" s="104" t="s">
        <v>1176</v>
      </c>
      <c r="AU44" s="104" t="s">
        <v>1176</v>
      </c>
      <c r="AV44" s="104" t="s">
        <v>1176</v>
      </c>
      <c r="AW44" s="104" t="s">
        <v>1176</v>
      </c>
      <c r="AX44" s="104" t="s">
        <v>1176</v>
      </c>
      <c r="AY44" s="104" t="s">
        <v>1176</v>
      </c>
      <c r="AZ44" s="104" t="s">
        <v>1176</v>
      </c>
      <c r="BA44" s="104" t="s">
        <v>1176</v>
      </c>
      <c r="BB44" s="104" t="s">
        <v>1176</v>
      </c>
      <c r="BC44" s="104" t="s">
        <v>1176</v>
      </c>
      <c r="BD44" s="104" t="s">
        <v>1176</v>
      </c>
      <c r="BE44" s="104" t="s">
        <v>1176</v>
      </c>
      <c r="BF44" s="104" t="s">
        <v>1176</v>
      </c>
      <c r="BG44" s="104" t="s">
        <v>1354</v>
      </c>
      <c r="BH44" s="104" t="s">
        <v>1354</v>
      </c>
      <c r="BI44" s="104" t="s">
        <v>1369</v>
      </c>
      <c r="BJ44" s="104" t="s">
        <v>1176</v>
      </c>
      <c r="BK44" s="104" t="s">
        <v>1176</v>
      </c>
      <c r="BL44" s="104" t="s">
        <v>1176</v>
      </c>
      <c r="BM44" s="104" t="s">
        <v>1176</v>
      </c>
      <c r="BN44" s="104" t="s">
        <v>1187</v>
      </c>
      <c r="BO44" s="104" t="s">
        <v>1187</v>
      </c>
      <c r="BP44" s="104" t="s">
        <v>1176</v>
      </c>
      <c r="BQ44" s="104" t="s">
        <v>1176</v>
      </c>
      <c r="BR44" s="104" t="s">
        <v>1176</v>
      </c>
      <c r="BS44" s="104" t="s">
        <v>1176</v>
      </c>
      <c r="BT44" s="104" t="s">
        <v>1196</v>
      </c>
      <c r="BU44" s="104" t="s">
        <v>1370</v>
      </c>
      <c r="BV44" s="104" t="s">
        <v>1176</v>
      </c>
      <c r="BW44" s="104" t="s">
        <v>1176</v>
      </c>
      <c r="BX44" s="104" t="s">
        <v>1176</v>
      </c>
      <c r="BY44" s="104" t="s">
        <v>1176</v>
      </c>
      <c r="BZ44" s="104" t="s">
        <v>1176</v>
      </c>
      <c r="CA44" s="104" t="s">
        <v>1176</v>
      </c>
      <c r="CB44" s="104" t="s">
        <v>1176</v>
      </c>
      <c r="CC44" s="104" t="s">
        <v>1176</v>
      </c>
      <c r="CD44" s="104" t="s">
        <v>1176</v>
      </c>
      <c r="CE44" s="104" t="s">
        <v>1176</v>
      </c>
      <c r="CF44" s="104" t="s">
        <v>1176</v>
      </c>
      <c r="CG44" s="104" t="s">
        <v>1176</v>
      </c>
      <c r="CH44" s="104" t="s">
        <v>1176</v>
      </c>
      <c r="CI44" s="104" t="s">
        <v>1176</v>
      </c>
      <c r="CJ44" s="104" t="s">
        <v>1176</v>
      </c>
      <c r="CK44" s="104" t="s">
        <v>1176</v>
      </c>
      <c r="CL44" s="104" t="s">
        <v>1176</v>
      </c>
      <c r="CM44" s="104" t="s">
        <v>1176</v>
      </c>
      <c r="CN44" s="104" t="s">
        <v>1176</v>
      </c>
      <c r="CO44" s="104" t="s">
        <v>1176</v>
      </c>
    </row>
    <row r="45" s="102" customFormat="1" ht="15" spans="1:93">
      <c r="A45" s="104" t="s">
        <v>1354</v>
      </c>
      <c r="B45" s="104" t="s">
        <v>1146</v>
      </c>
      <c r="C45" s="104" t="s">
        <v>1147</v>
      </c>
      <c r="D45" s="104" t="s">
        <v>1371</v>
      </c>
      <c r="E45" s="104" t="s">
        <v>1372</v>
      </c>
      <c r="F45" s="104">
        <f t="shared" si="0"/>
        <v>1735</v>
      </c>
      <c r="G45" s="104" t="s">
        <v>1373</v>
      </c>
      <c r="H45" s="104" t="s">
        <v>1176</v>
      </c>
      <c r="I45" s="104" t="s">
        <v>1176</v>
      </c>
      <c r="J45" s="104" t="s">
        <v>1176</v>
      </c>
      <c r="K45" s="104" t="s">
        <v>1176</v>
      </c>
      <c r="L45" s="104" t="s">
        <v>1223</v>
      </c>
      <c r="M45" s="104" t="s">
        <v>1374</v>
      </c>
      <c r="N45" s="104" t="s">
        <v>1172</v>
      </c>
      <c r="O45" s="104" t="s">
        <v>1176</v>
      </c>
      <c r="P45" s="104" t="s">
        <v>1176</v>
      </c>
      <c r="Q45" s="104" t="s">
        <v>1176</v>
      </c>
      <c r="R45" s="104" t="s">
        <v>1176</v>
      </c>
      <c r="S45" s="104" t="s">
        <v>1176</v>
      </c>
      <c r="T45" s="104" t="s">
        <v>1176</v>
      </c>
      <c r="U45" s="104" t="s">
        <v>1172</v>
      </c>
      <c r="V45" s="104" t="s">
        <v>1375</v>
      </c>
      <c r="W45" s="104" t="s">
        <v>1176</v>
      </c>
      <c r="X45" s="104" t="s">
        <v>1376</v>
      </c>
      <c r="Y45" s="104" t="s">
        <v>1377</v>
      </c>
      <c r="Z45" s="104" t="s">
        <v>1378</v>
      </c>
      <c r="AA45" s="104" t="s">
        <v>1176</v>
      </c>
      <c r="AB45" s="104" t="s">
        <v>1176</v>
      </c>
      <c r="AC45" s="104" t="s">
        <v>1176</v>
      </c>
      <c r="AD45" s="104" t="s">
        <v>1176</v>
      </c>
      <c r="AE45" s="104" t="s">
        <v>1176</v>
      </c>
      <c r="AF45" s="104" t="s">
        <v>1176</v>
      </c>
      <c r="AG45" s="104" t="s">
        <v>1176</v>
      </c>
      <c r="AH45" s="104" t="s">
        <v>1176</v>
      </c>
      <c r="AI45" s="104" t="s">
        <v>1176</v>
      </c>
      <c r="AJ45" s="104" t="s">
        <v>1212</v>
      </c>
      <c r="AK45" s="104" t="s">
        <v>1377</v>
      </c>
      <c r="AL45" s="104" t="s">
        <v>1379</v>
      </c>
      <c r="AM45" s="104" t="s">
        <v>1176</v>
      </c>
      <c r="AN45" s="104" t="s">
        <v>1212</v>
      </c>
      <c r="AO45" s="104" t="s">
        <v>1176</v>
      </c>
      <c r="AP45" s="104" t="s">
        <v>1176</v>
      </c>
      <c r="AQ45" s="104" t="s">
        <v>1176</v>
      </c>
      <c r="AR45" s="104" t="s">
        <v>1176</v>
      </c>
      <c r="AS45" s="104" t="s">
        <v>1176</v>
      </c>
      <c r="AT45" s="104" t="s">
        <v>1176</v>
      </c>
      <c r="AU45" s="104" t="s">
        <v>1176</v>
      </c>
      <c r="AV45" s="104" t="s">
        <v>1176</v>
      </c>
      <c r="AW45" s="104" t="s">
        <v>1176</v>
      </c>
      <c r="AX45" s="104" t="s">
        <v>1176</v>
      </c>
      <c r="AY45" s="104" t="s">
        <v>1176</v>
      </c>
      <c r="AZ45" s="104" t="s">
        <v>1176</v>
      </c>
      <c r="BA45" s="104" t="s">
        <v>1176</v>
      </c>
      <c r="BB45" s="104" t="s">
        <v>1176</v>
      </c>
      <c r="BC45" s="104" t="s">
        <v>1176</v>
      </c>
      <c r="BD45" s="104" t="s">
        <v>1176</v>
      </c>
      <c r="BE45" s="104" t="s">
        <v>1176</v>
      </c>
      <c r="BF45" s="104" t="s">
        <v>1176</v>
      </c>
      <c r="BG45" s="104" t="s">
        <v>1176</v>
      </c>
      <c r="BH45" s="104" t="s">
        <v>1176</v>
      </c>
      <c r="BI45" s="104" t="s">
        <v>1176</v>
      </c>
      <c r="BJ45" s="104" t="s">
        <v>1176</v>
      </c>
      <c r="BK45" s="104" t="s">
        <v>1176</v>
      </c>
      <c r="BL45" s="104" t="s">
        <v>1176</v>
      </c>
      <c r="BM45" s="104" t="s">
        <v>1176</v>
      </c>
      <c r="BN45" s="104" t="s">
        <v>1176</v>
      </c>
      <c r="BO45" s="104" t="s">
        <v>1176</v>
      </c>
      <c r="BP45" s="104" t="s">
        <v>1176</v>
      </c>
      <c r="BQ45" s="104" t="s">
        <v>1176</v>
      </c>
      <c r="BR45" s="104" t="s">
        <v>1176</v>
      </c>
      <c r="BS45" s="104" t="s">
        <v>1176</v>
      </c>
      <c r="BT45" s="104" t="s">
        <v>1176</v>
      </c>
      <c r="BU45" s="104" t="s">
        <v>1176</v>
      </c>
      <c r="BV45" s="104" t="s">
        <v>1176</v>
      </c>
      <c r="BW45" s="104" t="s">
        <v>1176</v>
      </c>
      <c r="BX45" s="104" t="s">
        <v>1176</v>
      </c>
      <c r="BY45" s="104" t="s">
        <v>1176</v>
      </c>
      <c r="BZ45" s="104" t="s">
        <v>1176</v>
      </c>
      <c r="CA45" s="104" t="s">
        <v>1176</v>
      </c>
      <c r="CB45" s="104" t="s">
        <v>1176</v>
      </c>
      <c r="CC45" s="104" t="s">
        <v>1176</v>
      </c>
      <c r="CD45" s="104" t="s">
        <v>1176</v>
      </c>
      <c r="CE45" s="104" t="s">
        <v>1176</v>
      </c>
      <c r="CF45" s="104" t="s">
        <v>1176</v>
      </c>
      <c r="CG45" s="104" t="s">
        <v>1176</v>
      </c>
      <c r="CH45" s="104" t="s">
        <v>1176</v>
      </c>
      <c r="CI45" s="104" t="s">
        <v>1176</v>
      </c>
      <c r="CJ45" s="104" t="s">
        <v>1176</v>
      </c>
      <c r="CK45" s="104" t="s">
        <v>1176</v>
      </c>
      <c r="CL45" s="104" t="s">
        <v>1176</v>
      </c>
      <c r="CM45" s="104" t="s">
        <v>1176</v>
      </c>
      <c r="CN45" s="104" t="s">
        <v>1176</v>
      </c>
      <c r="CO45" s="104" t="s">
        <v>1176</v>
      </c>
    </row>
    <row r="46" s="102" customFormat="1" ht="15" spans="1:93">
      <c r="A46" s="104" t="s">
        <v>1211</v>
      </c>
      <c r="B46" s="104" t="s">
        <v>1146</v>
      </c>
      <c r="C46" s="104" t="s">
        <v>1147</v>
      </c>
      <c r="D46" s="104" t="s">
        <v>1380</v>
      </c>
      <c r="E46" s="104" t="s">
        <v>1381</v>
      </c>
      <c r="F46" s="104">
        <f t="shared" si="0"/>
        <v>1811</v>
      </c>
      <c r="G46" s="104" t="s">
        <v>1382</v>
      </c>
      <c r="H46" s="104" t="s">
        <v>1176</v>
      </c>
      <c r="I46" s="104" t="s">
        <v>1176</v>
      </c>
      <c r="J46" s="104" t="s">
        <v>1176</v>
      </c>
      <c r="K46" s="104" t="s">
        <v>1176</v>
      </c>
      <c r="L46" s="104" t="s">
        <v>1283</v>
      </c>
      <c r="M46" s="104" t="s">
        <v>1383</v>
      </c>
      <c r="N46" s="104" t="s">
        <v>1179</v>
      </c>
      <c r="O46" s="104" t="s">
        <v>1176</v>
      </c>
      <c r="P46" s="104" t="s">
        <v>1176</v>
      </c>
      <c r="Q46" s="104" t="s">
        <v>1176</v>
      </c>
      <c r="R46" s="104" t="s">
        <v>1176</v>
      </c>
      <c r="S46" s="104" t="s">
        <v>1176</v>
      </c>
      <c r="T46" s="104" t="s">
        <v>1176</v>
      </c>
      <c r="U46" s="104" t="s">
        <v>1187</v>
      </c>
      <c r="V46" s="104" t="s">
        <v>1384</v>
      </c>
      <c r="W46" s="104" t="s">
        <v>1176</v>
      </c>
      <c r="X46" s="104" t="s">
        <v>1385</v>
      </c>
      <c r="Y46" s="104" t="s">
        <v>1289</v>
      </c>
      <c r="Z46" s="104" t="s">
        <v>1386</v>
      </c>
      <c r="AA46" s="104" t="s">
        <v>1176</v>
      </c>
      <c r="AB46" s="104" t="s">
        <v>1176</v>
      </c>
      <c r="AC46" s="104" t="s">
        <v>1176</v>
      </c>
      <c r="AD46" s="104" t="s">
        <v>1176</v>
      </c>
      <c r="AE46" s="104" t="s">
        <v>1176</v>
      </c>
      <c r="AF46" s="104" t="s">
        <v>1176</v>
      </c>
      <c r="AG46" s="104" t="s">
        <v>1176</v>
      </c>
      <c r="AH46" s="104" t="s">
        <v>1176</v>
      </c>
      <c r="AI46" s="104" t="s">
        <v>1187</v>
      </c>
      <c r="AJ46" s="104" t="s">
        <v>1180</v>
      </c>
      <c r="AK46" s="104" t="s">
        <v>1387</v>
      </c>
      <c r="AL46" s="104" t="s">
        <v>1388</v>
      </c>
      <c r="AM46" s="104" t="s">
        <v>1176</v>
      </c>
      <c r="AN46" s="104" t="s">
        <v>1176</v>
      </c>
      <c r="AO46" s="104" t="s">
        <v>1176</v>
      </c>
      <c r="AP46" s="104" t="s">
        <v>1176</v>
      </c>
      <c r="AQ46" s="104" t="s">
        <v>1176</v>
      </c>
      <c r="AR46" s="104" t="s">
        <v>1176</v>
      </c>
      <c r="AS46" s="104" t="s">
        <v>1176</v>
      </c>
      <c r="AT46" s="104" t="s">
        <v>1176</v>
      </c>
      <c r="AU46" s="104" t="s">
        <v>1176</v>
      </c>
      <c r="AV46" s="104" t="s">
        <v>1176</v>
      </c>
      <c r="AW46" s="104" t="s">
        <v>1176</v>
      </c>
      <c r="AX46" s="104" t="s">
        <v>1176</v>
      </c>
      <c r="AY46" s="104" t="s">
        <v>1176</v>
      </c>
      <c r="AZ46" s="104" t="s">
        <v>1176</v>
      </c>
      <c r="BA46" s="104" t="s">
        <v>1176</v>
      </c>
      <c r="BB46" s="104" t="s">
        <v>1176</v>
      </c>
      <c r="BC46" s="104" t="s">
        <v>1176</v>
      </c>
      <c r="BD46" s="104" t="s">
        <v>1176</v>
      </c>
      <c r="BE46" s="104" t="s">
        <v>1176</v>
      </c>
      <c r="BF46" s="104" t="s">
        <v>1176</v>
      </c>
      <c r="BG46" s="104" t="s">
        <v>1223</v>
      </c>
      <c r="BH46" s="104" t="s">
        <v>1223</v>
      </c>
      <c r="BI46" s="104" t="s">
        <v>1389</v>
      </c>
      <c r="BJ46" s="104" t="s">
        <v>1176</v>
      </c>
      <c r="BK46" s="104" t="s">
        <v>1176</v>
      </c>
      <c r="BL46" s="104" t="s">
        <v>1176</v>
      </c>
      <c r="BM46" s="104" t="s">
        <v>1176</v>
      </c>
      <c r="BN46" s="104" t="s">
        <v>1176</v>
      </c>
      <c r="BO46" s="104" t="s">
        <v>1176</v>
      </c>
      <c r="BP46" s="104" t="s">
        <v>1176</v>
      </c>
      <c r="BQ46" s="104" t="s">
        <v>1176</v>
      </c>
      <c r="BR46" s="104" t="s">
        <v>1176</v>
      </c>
      <c r="BS46" s="104" t="s">
        <v>1176</v>
      </c>
      <c r="BT46" s="104" t="s">
        <v>1223</v>
      </c>
      <c r="BU46" s="104" t="s">
        <v>1389</v>
      </c>
      <c r="BV46" s="104" t="s">
        <v>1176</v>
      </c>
      <c r="BW46" s="104" t="s">
        <v>1176</v>
      </c>
      <c r="BX46" s="104" t="s">
        <v>1176</v>
      </c>
      <c r="BY46" s="104" t="s">
        <v>1176</v>
      </c>
      <c r="BZ46" s="104" t="s">
        <v>1176</v>
      </c>
      <c r="CA46" s="104" t="s">
        <v>1176</v>
      </c>
      <c r="CB46" s="104" t="s">
        <v>1176</v>
      </c>
      <c r="CC46" s="104" t="s">
        <v>1176</v>
      </c>
      <c r="CD46" s="104" t="s">
        <v>1176</v>
      </c>
      <c r="CE46" s="104" t="s">
        <v>1176</v>
      </c>
      <c r="CF46" s="104" t="s">
        <v>1176</v>
      </c>
      <c r="CG46" s="104" t="s">
        <v>1176</v>
      </c>
      <c r="CH46" s="104" t="s">
        <v>1176</v>
      </c>
      <c r="CI46" s="104" t="s">
        <v>1176</v>
      </c>
      <c r="CJ46" s="104" t="s">
        <v>1176</v>
      </c>
      <c r="CK46" s="104" t="s">
        <v>1176</v>
      </c>
      <c r="CL46" s="104" t="s">
        <v>1176</v>
      </c>
      <c r="CM46" s="104" t="s">
        <v>1176</v>
      </c>
      <c r="CN46" s="104" t="s">
        <v>1176</v>
      </c>
      <c r="CO46" s="104" t="s">
        <v>1176</v>
      </c>
    </row>
    <row r="47" s="102" customFormat="1" ht="15" spans="1:93">
      <c r="A47" s="104" t="s">
        <v>1223</v>
      </c>
      <c r="B47" s="104" t="s">
        <v>1146</v>
      </c>
      <c r="C47" s="104" t="s">
        <v>1147</v>
      </c>
      <c r="D47" s="104" t="s">
        <v>1390</v>
      </c>
      <c r="E47" s="104" t="s">
        <v>1391</v>
      </c>
      <c r="F47" s="104">
        <f t="shared" si="0"/>
        <v>4367</v>
      </c>
      <c r="G47" s="104" t="s">
        <v>1392</v>
      </c>
      <c r="H47" s="104" t="s">
        <v>1176</v>
      </c>
      <c r="I47" s="104" t="s">
        <v>1176</v>
      </c>
      <c r="J47" s="104" t="s">
        <v>1176</v>
      </c>
      <c r="K47" s="104" t="s">
        <v>1176</v>
      </c>
      <c r="L47" s="104" t="s">
        <v>1393</v>
      </c>
      <c r="M47" s="104" t="s">
        <v>1394</v>
      </c>
      <c r="N47" s="104" t="s">
        <v>1218</v>
      </c>
      <c r="O47" s="104" t="s">
        <v>1176</v>
      </c>
      <c r="P47" s="104" t="s">
        <v>1176</v>
      </c>
      <c r="Q47" s="104" t="s">
        <v>1176</v>
      </c>
      <c r="R47" s="104" t="s">
        <v>1176</v>
      </c>
      <c r="S47" s="104" t="s">
        <v>1176</v>
      </c>
      <c r="T47" s="104" t="s">
        <v>1176</v>
      </c>
      <c r="U47" s="104" t="s">
        <v>1179</v>
      </c>
      <c r="V47" s="104" t="s">
        <v>1395</v>
      </c>
      <c r="W47" s="104" t="s">
        <v>1176</v>
      </c>
      <c r="X47" s="104" t="s">
        <v>1396</v>
      </c>
      <c r="Y47" s="104" t="s">
        <v>1397</v>
      </c>
      <c r="Z47" s="104" t="s">
        <v>1398</v>
      </c>
      <c r="AA47" s="104" t="s">
        <v>1176</v>
      </c>
      <c r="AB47" s="104" t="s">
        <v>1176</v>
      </c>
      <c r="AC47" s="104" t="s">
        <v>1176</v>
      </c>
      <c r="AD47" s="104" t="s">
        <v>1176</v>
      </c>
      <c r="AE47" s="104" t="s">
        <v>1176</v>
      </c>
      <c r="AF47" s="104" t="s">
        <v>1176</v>
      </c>
      <c r="AG47" s="104" t="s">
        <v>1176</v>
      </c>
      <c r="AH47" s="104" t="s">
        <v>1176</v>
      </c>
      <c r="AI47" s="104" t="s">
        <v>1201</v>
      </c>
      <c r="AJ47" s="104" t="s">
        <v>1399</v>
      </c>
      <c r="AK47" s="104" t="s">
        <v>1400</v>
      </c>
      <c r="AL47" s="104" t="s">
        <v>1401</v>
      </c>
      <c r="AM47" s="104" t="s">
        <v>1176</v>
      </c>
      <c r="AN47" s="104" t="s">
        <v>1187</v>
      </c>
      <c r="AO47" s="104" t="s">
        <v>1176</v>
      </c>
      <c r="AP47" s="104" t="s">
        <v>1176</v>
      </c>
      <c r="AQ47" s="104" t="s">
        <v>1176</v>
      </c>
      <c r="AR47" s="104" t="s">
        <v>1176</v>
      </c>
      <c r="AS47" s="104" t="s">
        <v>1176</v>
      </c>
      <c r="AT47" s="104" t="s">
        <v>1176</v>
      </c>
      <c r="AU47" s="104" t="s">
        <v>1176</v>
      </c>
      <c r="AV47" s="104" t="s">
        <v>1176</v>
      </c>
      <c r="AW47" s="104" t="s">
        <v>1176</v>
      </c>
      <c r="AX47" s="104" t="s">
        <v>1176</v>
      </c>
      <c r="AY47" s="104" t="s">
        <v>1176</v>
      </c>
      <c r="AZ47" s="104" t="s">
        <v>1176</v>
      </c>
      <c r="BA47" s="104" t="s">
        <v>1176</v>
      </c>
      <c r="BB47" s="104" t="s">
        <v>1176</v>
      </c>
      <c r="BC47" s="104" t="s">
        <v>1176</v>
      </c>
      <c r="BD47" s="104" t="s">
        <v>1176</v>
      </c>
      <c r="BE47" s="104" t="s">
        <v>1176</v>
      </c>
      <c r="BF47" s="104" t="s">
        <v>1176</v>
      </c>
      <c r="BG47" s="104" t="s">
        <v>1402</v>
      </c>
      <c r="BH47" s="104" t="s">
        <v>1402</v>
      </c>
      <c r="BI47" s="104" t="s">
        <v>1403</v>
      </c>
      <c r="BJ47" s="104" t="s">
        <v>1176</v>
      </c>
      <c r="BK47" s="104" t="s">
        <v>1176</v>
      </c>
      <c r="BL47" s="104" t="s">
        <v>1176</v>
      </c>
      <c r="BM47" s="104" t="s">
        <v>1176</v>
      </c>
      <c r="BN47" s="104" t="s">
        <v>1176</v>
      </c>
      <c r="BO47" s="104" t="s">
        <v>1176</v>
      </c>
      <c r="BP47" s="104" t="s">
        <v>1176</v>
      </c>
      <c r="BQ47" s="104" t="s">
        <v>1176</v>
      </c>
      <c r="BR47" s="104" t="s">
        <v>1176</v>
      </c>
      <c r="BS47" s="104" t="s">
        <v>1176</v>
      </c>
      <c r="BT47" s="104" t="s">
        <v>1402</v>
      </c>
      <c r="BU47" s="104" t="s">
        <v>1403</v>
      </c>
      <c r="BV47" s="104" t="s">
        <v>1176</v>
      </c>
      <c r="BW47" s="104" t="s">
        <v>1176</v>
      </c>
      <c r="BX47" s="104" t="s">
        <v>1176</v>
      </c>
      <c r="BY47" s="104" t="s">
        <v>1176</v>
      </c>
      <c r="BZ47" s="104" t="s">
        <v>1176</v>
      </c>
      <c r="CA47" s="104" t="s">
        <v>1176</v>
      </c>
      <c r="CB47" s="104" t="s">
        <v>1176</v>
      </c>
      <c r="CC47" s="104" t="s">
        <v>1176</v>
      </c>
      <c r="CD47" s="104" t="s">
        <v>1176</v>
      </c>
      <c r="CE47" s="104" t="s">
        <v>1176</v>
      </c>
      <c r="CF47" s="104" t="s">
        <v>1176</v>
      </c>
      <c r="CG47" s="104" t="s">
        <v>1176</v>
      </c>
      <c r="CH47" s="104" t="s">
        <v>1176</v>
      </c>
      <c r="CI47" s="104" t="s">
        <v>1176</v>
      </c>
      <c r="CJ47" s="104" t="s">
        <v>1176</v>
      </c>
      <c r="CK47" s="104" t="s">
        <v>1176</v>
      </c>
      <c r="CL47" s="104" t="s">
        <v>1176</v>
      </c>
      <c r="CM47" s="104" t="s">
        <v>1176</v>
      </c>
      <c r="CN47" s="104" t="s">
        <v>1176</v>
      </c>
      <c r="CO47" s="104" t="s">
        <v>1176</v>
      </c>
    </row>
    <row r="48" s="102" customFormat="1" ht="15" spans="1:93">
      <c r="A48" s="104" t="s">
        <v>1203</v>
      </c>
      <c r="B48" s="104" t="s">
        <v>1146</v>
      </c>
      <c r="C48" s="104" t="s">
        <v>1147</v>
      </c>
      <c r="D48" s="104" t="s">
        <v>1404</v>
      </c>
      <c r="E48" s="104" t="s">
        <v>1405</v>
      </c>
      <c r="F48" s="104">
        <f t="shared" si="0"/>
        <v>3251</v>
      </c>
      <c r="G48" s="104" t="s">
        <v>1406</v>
      </c>
      <c r="H48" s="104" t="s">
        <v>1176</v>
      </c>
      <c r="I48" s="104" t="s">
        <v>1176</v>
      </c>
      <c r="J48" s="104" t="s">
        <v>1176</v>
      </c>
      <c r="K48" s="104" t="s">
        <v>1176</v>
      </c>
      <c r="L48" s="104" t="s">
        <v>1323</v>
      </c>
      <c r="M48" s="104" t="s">
        <v>1407</v>
      </c>
      <c r="N48" s="104" t="s">
        <v>1172</v>
      </c>
      <c r="O48" s="104" t="s">
        <v>1176</v>
      </c>
      <c r="P48" s="104" t="s">
        <v>1176</v>
      </c>
      <c r="Q48" s="104" t="s">
        <v>1176</v>
      </c>
      <c r="R48" s="104" t="s">
        <v>1176</v>
      </c>
      <c r="S48" s="104" t="s">
        <v>1176</v>
      </c>
      <c r="T48" s="104" t="s">
        <v>1176</v>
      </c>
      <c r="U48" s="104" t="s">
        <v>1172</v>
      </c>
      <c r="V48" s="104" t="s">
        <v>1408</v>
      </c>
      <c r="W48" s="104" t="s">
        <v>1176</v>
      </c>
      <c r="X48" s="104" t="s">
        <v>1409</v>
      </c>
      <c r="Y48" s="104" t="s">
        <v>1410</v>
      </c>
      <c r="Z48" s="104" t="s">
        <v>1411</v>
      </c>
      <c r="AA48" s="104" t="s">
        <v>1176</v>
      </c>
      <c r="AB48" s="104" t="s">
        <v>1176</v>
      </c>
      <c r="AC48" s="104" t="s">
        <v>1176</v>
      </c>
      <c r="AD48" s="104" t="s">
        <v>1176</v>
      </c>
      <c r="AE48" s="104" t="s">
        <v>1176</v>
      </c>
      <c r="AF48" s="104" t="s">
        <v>1176</v>
      </c>
      <c r="AG48" s="104" t="s">
        <v>1176</v>
      </c>
      <c r="AH48" s="104" t="s">
        <v>1176</v>
      </c>
      <c r="AI48" s="104" t="s">
        <v>1412</v>
      </c>
      <c r="AJ48" s="104" t="s">
        <v>1413</v>
      </c>
      <c r="AK48" s="104" t="s">
        <v>1414</v>
      </c>
      <c r="AL48" s="104" t="s">
        <v>1415</v>
      </c>
      <c r="AM48" s="104" t="s">
        <v>1176</v>
      </c>
      <c r="AN48" s="104" t="s">
        <v>1176</v>
      </c>
      <c r="AO48" s="104" t="s">
        <v>1176</v>
      </c>
      <c r="AP48" s="104" t="s">
        <v>1176</v>
      </c>
      <c r="AQ48" s="104" t="s">
        <v>1176</v>
      </c>
      <c r="AR48" s="104" t="s">
        <v>1176</v>
      </c>
      <c r="AS48" s="104" t="s">
        <v>1176</v>
      </c>
      <c r="AT48" s="104" t="s">
        <v>1176</v>
      </c>
      <c r="AU48" s="104" t="s">
        <v>1176</v>
      </c>
      <c r="AV48" s="104" t="s">
        <v>1176</v>
      </c>
      <c r="AW48" s="104" t="s">
        <v>1176</v>
      </c>
      <c r="AX48" s="104" t="s">
        <v>1176</v>
      </c>
      <c r="AY48" s="104" t="s">
        <v>1176</v>
      </c>
      <c r="AZ48" s="104" t="s">
        <v>1176</v>
      </c>
      <c r="BA48" s="104" t="s">
        <v>1176</v>
      </c>
      <c r="BB48" s="104" t="s">
        <v>1176</v>
      </c>
      <c r="BC48" s="104" t="s">
        <v>1176</v>
      </c>
      <c r="BD48" s="104" t="s">
        <v>1176</v>
      </c>
      <c r="BE48" s="104" t="s">
        <v>1176</v>
      </c>
      <c r="BF48" s="104" t="s">
        <v>1176</v>
      </c>
      <c r="BG48" s="104" t="s">
        <v>1187</v>
      </c>
      <c r="BH48" s="104" t="s">
        <v>1187</v>
      </c>
      <c r="BI48" s="104" t="s">
        <v>1328</v>
      </c>
      <c r="BJ48" s="104" t="s">
        <v>1176</v>
      </c>
      <c r="BK48" s="104" t="s">
        <v>1176</v>
      </c>
      <c r="BL48" s="104" t="s">
        <v>1176</v>
      </c>
      <c r="BM48" s="104" t="s">
        <v>1176</v>
      </c>
      <c r="BN48" s="104" t="s">
        <v>1176</v>
      </c>
      <c r="BO48" s="104" t="s">
        <v>1176</v>
      </c>
      <c r="BP48" s="104" t="s">
        <v>1176</v>
      </c>
      <c r="BQ48" s="104" t="s">
        <v>1176</v>
      </c>
      <c r="BR48" s="104" t="s">
        <v>1176</v>
      </c>
      <c r="BS48" s="104" t="s">
        <v>1176</v>
      </c>
      <c r="BT48" s="104" t="s">
        <v>1187</v>
      </c>
      <c r="BU48" s="104" t="s">
        <v>1328</v>
      </c>
      <c r="BV48" s="104" t="s">
        <v>1176</v>
      </c>
      <c r="BW48" s="104" t="s">
        <v>1176</v>
      </c>
      <c r="BX48" s="104" t="s">
        <v>1176</v>
      </c>
      <c r="BY48" s="104" t="s">
        <v>1176</v>
      </c>
      <c r="BZ48" s="104" t="s">
        <v>1176</v>
      </c>
      <c r="CA48" s="104" t="s">
        <v>1176</v>
      </c>
      <c r="CB48" s="104" t="s">
        <v>1176</v>
      </c>
      <c r="CC48" s="104" t="s">
        <v>1176</v>
      </c>
      <c r="CD48" s="104" t="s">
        <v>1176</v>
      </c>
      <c r="CE48" s="104" t="s">
        <v>1176</v>
      </c>
      <c r="CF48" s="104" t="s">
        <v>1176</v>
      </c>
      <c r="CG48" s="104" t="s">
        <v>1176</v>
      </c>
      <c r="CH48" s="104" t="s">
        <v>1176</v>
      </c>
      <c r="CI48" s="104" t="s">
        <v>1176</v>
      </c>
      <c r="CJ48" s="104" t="s">
        <v>1176</v>
      </c>
      <c r="CK48" s="104" t="s">
        <v>1176</v>
      </c>
      <c r="CL48" s="104" t="s">
        <v>1176</v>
      </c>
      <c r="CM48" s="104" t="s">
        <v>1176</v>
      </c>
      <c r="CN48" s="104" t="s">
        <v>1176</v>
      </c>
      <c r="CO48" s="104" t="s">
        <v>1176</v>
      </c>
    </row>
    <row r="49" s="102" customFormat="1" ht="15" spans="1:93">
      <c r="A49" s="104" t="s">
        <v>1306</v>
      </c>
      <c r="B49" s="104" t="s">
        <v>1146</v>
      </c>
      <c r="C49" s="104" t="s">
        <v>1147</v>
      </c>
      <c r="D49" s="104" t="s">
        <v>1416</v>
      </c>
      <c r="E49" s="104" t="s">
        <v>1417</v>
      </c>
      <c r="F49" s="104">
        <f t="shared" si="0"/>
        <v>605</v>
      </c>
      <c r="G49" s="104" t="s">
        <v>1417</v>
      </c>
      <c r="H49" s="104" t="s">
        <v>1176</v>
      </c>
      <c r="I49" s="104" t="s">
        <v>1176</v>
      </c>
      <c r="J49" s="104" t="s">
        <v>1176</v>
      </c>
      <c r="K49" s="104" t="s">
        <v>1176</v>
      </c>
      <c r="L49" s="104" t="s">
        <v>1418</v>
      </c>
      <c r="M49" s="104" t="s">
        <v>1419</v>
      </c>
      <c r="N49" s="104" t="s">
        <v>1176</v>
      </c>
      <c r="O49" s="104" t="s">
        <v>1176</v>
      </c>
      <c r="P49" s="104" t="s">
        <v>1176</v>
      </c>
      <c r="Q49" s="104" t="s">
        <v>1176</v>
      </c>
      <c r="R49" s="104" t="s">
        <v>1176</v>
      </c>
      <c r="S49" s="104" t="s">
        <v>1176</v>
      </c>
      <c r="T49" s="104" t="s">
        <v>1176</v>
      </c>
      <c r="U49" s="104" t="s">
        <v>1176</v>
      </c>
      <c r="V49" s="104" t="s">
        <v>1420</v>
      </c>
      <c r="W49" s="104" t="s">
        <v>1176</v>
      </c>
      <c r="X49" s="104" t="s">
        <v>1176</v>
      </c>
      <c r="Y49" s="104" t="s">
        <v>1176</v>
      </c>
      <c r="Z49" s="104" t="s">
        <v>1176</v>
      </c>
      <c r="AA49" s="104" t="s">
        <v>1176</v>
      </c>
      <c r="AB49" s="104" t="s">
        <v>1176</v>
      </c>
      <c r="AC49" s="104" t="s">
        <v>1176</v>
      </c>
      <c r="AD49" s="104" t="s">
        <v>1176</v>
      </c>
      <c r="AE49" s="104" t="s">
        <v>1176</v>
      </c>
      <c r="AF49" s="104" t="s">
        <v>1176</v>
      </c>
      <c r="AG49" s="104" t="s">
        <v>1176</v>
      </c>
      <c r="AH49" s="104" t="s">
        <v>1176</v>
      </c>
      <c r="AI49" s="104" t="s">
        <v>1176</v>
      </c>
      <c r="AJ49" s="104" t="s">
        <v>1176</v>
      </c>
      <c r="AK49" s="104" t="s">
        <v>1176</v>
      </c>
      <c r="AL49" s="104" t="s">
        <v>1176</v>
      </c>
      <c r="AM49" s="104" t="s">
        <v>1176</v>
      </c>
      <c r="AN49" s="104" t="s">
        <v>1176</v>
      </c>
      <c r="AO49" s="104" t="s">
        <v>1176</v>
      </c>
      <c r="AP49" s="104" t="s">
        <v>1176</v>
      </c>
      <c r="AQ49" s="104" t="s">
        <v>1176</v>
      </c>
      <c r="AR49" s="104" t="s">
        <v>1176</v>
      </c>
      <c r="AS49" s="104" t="s">
        <v>1176</v>
      </c>
      <c r="AT49" s="104" t="s">
        <v>1176</v>
      </c>
      <c r="AU49" s="104" t="s">
        <v>1176</v>
      </c>
      <c r="AV49" s="104" t="s">
        <v>1176</v>
      </c>
      <c r="AW49" s="104" t="s">
        <v>1176</v>
      </c>
      <c r="AX49" s="104" t="s">
        <v>1176</v>
      </c>
      <c r="AY49" s="104" t="s">
        <v>1176</v>
      </c>
      <c r="AZ49" s="104" t="s">
        <v>1176</v>
      </c>
      <c r="BA49" s="104" t="s">
        <v>1176</v>
      </c>
      <c r="BB49" s="104" t="s">
        <v>1176</v>
      </c>
      <c r="BC49" s="104" t="s">
        <v>1176</v>
      </c>
      <c r="BD49" s="104" t="s">
        <v>1176</v>
      </c>
      <c r="BE49" s="104" t="s">
        <v>1176</v>
      </c>
      <c r="BF49" s="104" t="s">
        <v>1176</v>
      </c>
      <c r="BG49" s="104" t="s">
        <v>1176</v>
      </c>
      <c r="BH49" s="104" t="s">
        <v>1176</v>
      </c>
      <c r="BI49" s="104" t="s">
        <v>1176</v>
      </c>
      <c r="BJ49" s="104" t="s">
        <v>1176</v>
      </c>
      <c r="BK49" s="104" t="s">
        <v>1176</v>
      </c>
      <c r="BL49" s="104" t="s">
        <v>1176</v>
      </c>
      <c r="BM49" s="104" t="s">
        <v>1176</v>
      </c>
      <c r="BN49" s="104" t="s">
        <v>1176</v>
      </c>
      <c r="BO49" s="104" t="s">
        <v>1176</v>
      </c>
      <c r="BP49" s="104" t="s">
        <v>1176</v>
      </c>
      <c r="BQ49" s="104" t="s">
        <v>1176</v>
      </c>
      <c r="BR49" s="104" t="s">
        <v>1176</v>
      </c>
      <c r="BS49" s="104" t="s">
        <v>1176</v>
      </c>
      <c r="BT49" s="104" t="s">
        <v>1176</v>
      </c>
      <c r="BU49" s="104" t="s">
        <v>1176</v>
      </c>
      <c r="BV49" s="104" t="s">
        <v>1176</v>
      </c>
      <c r="BW49" s="104" t="s">
        <v>1176</v>
      </c>
      <c r="BX49" s="104" t="s">
        <v>1176</v>
      </c>
      <c r="BY49" s="104" t="s">
        <v>1176</v>
      </c>
      <c r="BZ49" s="104" t="s">
        <v>1176</v>
      </c>
      <c r="CA49" s="104" t="s">
        <v>1176</v>
      </c>
      <c r="CB49" s="104" t="s">
        <v>1176</v>
      </c>
      <c r="CC49" s="104" t="s">
        <v>1176</v>
      </c>
      <c r="CD49" s="104" t="s">
        <v>1176</v>
      </c>
      <c r="CE49" s="104" t="s">
        <v>1176</v>
      </c>
      <c r="CF49" s="104" t="s">
        <v>1176</v>
      </c>
      <c r="CG49" s="104" t="s">
        <v>1176</v>
      </c>
      <c r="CH49" s="104" t="s">
        <v>1176</v>
      </c>
      <c r="CI49" s="104" t="s">
        <v>1176</v>
      </c>
      <c r="CJ49" s="104" t="s">
        <v>1176</v>
      </c>
      <c r="CK49" s="104" t="s">
        <v>1176</v>
      </c>
      <c r="CL49" s="104" t="s">
        <v>1176</v>
      </c>
      <c r="CM49" s="104" t="s">
        <v>1176</v>
      </c>
      <c r="CN49" s="104" t="s">
        <v>1176</v>
      </c>
      <c r="CO49" s="104" t="s">
        <v>1176</v>
      </c>
    </row>
    <row r="50" s="102" customFormat="1" ht="15" spans="1:93">
      <c r="A50" s="104" t="s">
        <v>1421</v>
      </c>
      <c r="B50" s="104" t="s">
        <v>1146</v>
      </c>
      <c r="C50" s="104" t="s">
        <v>1147</v>
      </c>
      <c r="D50" s="104" t="s">
        <v>1422</v>
      </c>
      <c r="E50" s="104" t="s">
        <v>1423</v>
      </c>
      <c r="F50" s="104">
        <f t="shared" si="0"/>
        <v>4222</v>
      </c>
      <c r="G50" s="104" t="s">
        <v>1424</v>
      </c>
      <c r="H50" s="104" t="s">
        <v>1176</v>
      </c>
      <c r="I50" s="104" t="s">
        <v>1176</v>
      </c>
      <c r="J50" s="104" t="s">
        <v>1176</v>
      </c>
      <c r="K50" s="104" t="s">
        <v>1176</v>
      </c>
      <c r="L50" s="104" t="s">
        <v>1425</v>
      </c>
      <c r="M50" s="104" t="s">
        <v>1426</v>
      </c>
      <c r="N50" s="104" t="s">
        <v>1176</v>
      </c>
      <c r="O50" s="104" t="s">
        <v>1176</v>
      </c>
      <c r="P50" s="104" t="s">
        <v>1176</v>
      </c>
      <c r="Q50" s="104" t="s">
        <v>1176</v>
      </c>
      <c r="R50" s="104" t="s">
        <v>1176</v>
      </c>
      <c r="S50" s="104" t="s">
        <v>1176</v>
      </c>
      <c r="T50" s="104" t="s">
        <v>1176</v>
      </c>
      <c r="U50" s="104" t="s">
        <v>1176</v>
      </c>
      <c r="V50" s="104" t="s">
        <v>1427</v>
      </c>
      <c r="W50" s="104" t="s">
        <v>1176</v>
      </c>
      <c r="X50" s="104" t="s">
        <v>1428</v>
      </c>
      <c r="Y50" s="104" t="s">
        <v>1429</v>
      </c>
      <c r="Z50" s="104" t="s">
        <v>1340</v>
      </c>
      <c r="AA50" s="104" t="s">
        <v>1176</v>
      </c>
      <c r="AB50" s="104" t="s">
        <v>1176</v>
      </c>
      <c r="AC50" s="104" t="s">
        <v>1176</v>
      </c>
      <c r="AD50" s="104" t="s">
        <v>1176</v>
      </c>
      <c r="AE50" s="104" t="s">
        <v>1176</v>
      </c>
      <c r="AF50" s="104" t="s">
        <v>1176</v>
      </c>
      <c r="AG50" s="104" t="s">
        <v>1176</v>
      </c>
      <c r="AH50" s="104" t="s">
        <v>1176</v>
      </c>
      <c r="AI50" s="104" t="s">
        <v>1172</v>
      </c>
      <c r="AJ50" s="104" t="s">
        <v>1421</v>
      </c>
      <c r="AK50" s="104" t="s">
        <v>1345</v>
      </c>
      <c r="AL50" s="104" t="s">
        <v>1430</v>
      </c>
      <c r="AM50" s="104" t="s">
        <v>1176</v>
      </c>
      <c r="AN50" s="104" t="s">
        <v>1176</v>
      </c>
      <c r="AO50" s="104" t="s">
        <v>1176</v>
      </c>
      <c r="AP50" s="104" t="s">
        <v>1176</v>
      </c>
      <c r="AQ50" s="104" t="s">
        <v>1176</v>
      </c>
      <c r="AR50" s="104" t="s">
        <v>1176</v>
      </c>
      <c r="AS50" s="104" t="s">
        <v>1176</v>
      </c>
      <c r="AT50" s="104" t="s">
        <v>1176</v>
      </c>
      <c r="AU50" s="104" t="s">
        <v>1176</v>
      </c>
      <c r="AV50" s="104" t="s">
        <v>1176</v>
      </c>
      <c r="AW50" s="104" t="s">
        <v>1176</v>
      </c>
      <c r="AX50" s="104" t="s">
        <v>1176</v>
      </c>
      <c r="AY50" s="104" t="s">
        <v>1176</v>
      </c>
      <c r="AZ50" s="104" t="s">
        <v>1176</v>
      </c>
      <c r="BA50" s="104" t="s">
        <v>1176</v>
      </c>
      <c r="BB50" s="104" t="s">
        <v>1176</v>
      </c>
      <c r="BC50" s="104" t="s">
        <v>1176</v>
      </c>
      <c r="BD50" s="104" t="s">
        <v>1176</v>
      </c>
      <c r="BE50" s="104" t="s">
        <v>1176</v>
      </c>
      <c r="BF50" s="104" t="s">
        <v>1176</v>
      </c>
      <c r="BG50" s="104" t="s">
        <v>1172</v>
      </c>
      <c r="BH50" s="104" t="s">
        <v>1172</v>
      </c>
      <c r="BI50" s="104" t="s">
        <v>1201</v>
      </c>
      <c r="BJ50" s="104" t="s">
        <v>1176</v>
      </c>
      <c r="BK50" s="104" t="s">
        <v>1176</v>
      </c>
      <c r="BL50" s="104" t="s">
        <v>1176</v>
      </c>
      <c r="BM50" s="104" t="s">
        <v>1176</v>
      </c>
      <c r="BN50" s="104" t="s">
        <v>1176</v>
      </c>
      <c r="BO50" s="104" t="s">
        <v>1176</v>
      </c>
      <c r="BP50" s="104" t="s">
        <v>1176</v>
      </c>
      <c r="BQ50" s="104" t="s">
        <v>1176</v>
      </c>
      <c r="BR50" s="104" t="s">
        <v>1176</v>
      </c>
      <c r="BS50" s="104" t="s">
        <v>1176</v>
      </c>
      <c r="BT50" s="104" t="s">
        <v>1176</v>
      </c>
      <c r="BU50" s="104" t="s">
        <v>1176</v>
      </c>
      <c r="BV50" s="104" t="s">
        <v>1176</v>
      </c>
      <c r="BW50" s="104" t="s">
        <v>1176</v>
      </c>
      <c r="BX50" s="104" t="s">
        <v>1172</v>
      </c>
      <c r="BY50" s="104" t="s">
        <v>1201</v>
      </c>
      <c r="BZ50" s="104" t="s">
        <v>1176</v>
      </c>
      <c r="CA50" s="104" t="s">
        <v>1176</v>
      </c>
      <c r="CB50" s="104" t="s">
        <v>1176</v>
      </c>
      <c r="CC50" s="104" t="s">
        <v>1176</v>
      </c>
      <c r="CD50" s="104" t="s">
        <v>1176</v>
      </c>
      <c r="CE50" s="104" t="s">
        <v>1176</v>
      </c>
      <c r="CF50" s="104" t="s">
        <v>1176</v>
      </c>
      <c r="CG50" s="104" t="s">
        <v>1176</v>
      </c>
      <c r="CH50" s="104" t="s">
        <v>1176</v>
      </c>
      <c r="CI50" s="104" t="s">
        <v>1176</v>
      </c>
      <c r="CJ50" s="104" t="s">
        <v>1176</v>
      </c>
      <c r="CK50" s="104" t="s">
        <v>1176</v>
      </c>
      <c r="CL50" s="104" t="s">
        <v>1176</v>
      </c>
      <c r="CM50" s="104" t="s">
        <v>1176</v>
      </c>
      <c r="CN50" s="104" t="s">
        <v>1176</v>
      </c>
      <c r="CO50" s="104" t="s">
        <v>1176</v>
      </c>
    </row>
    <row r="51" s="102" customFormat="1" ht="15" spans="1:93">
      <c r="A51" s="104" t="s">
        <v>1296</v>
      </c>
      <c r="B51" s="104" t="s">
        <v>1146</v>
      </c>
      <c r="C51" s="104" t="s">
        <v>1147</v>
      </c>
      <c r="D51" s="104" t="s">
        <v>1431</v>
      </c>
      <c r="E51" s="104" t="s">
        <v>1432</v>
      </c>
      <c r="F51" s="104">
        <f t="shared" si="0"/>
        <v>5872</v>
      </c>
      <c r="G51" s="104" t="s">
        <v>1433</v>
      </c>
      <c r="H51" s="104" t="s">
        <v>1176</v>
      </c>
      <c r="I51" s="104" t="s">
        <v>1176</v>
      </c>
      <c r="J51" s="104" t="s">
        <v>1176</v>
      </c>
      <c r="K51" s="104" t="s">
        <v>1176</v>
      </c>
      <c r="L51" s="104" t="s">
        <v>1434</v>
      </c>
      <c r="M51" s="104" t="s">
        <v>1435</v>
      </c>
      <c r="N51" s="104" t="s">
        <v>1350</v>
      </c>
      <c r="O51" s="104" t="s">
        <v>1176</v>
      </c>
      <c r="P51" s="104" t="s">
        <v>1176</v>
      </c>
      <c r="Q51" s="104" t="s">
        <v>1176</v>
      </c>
      <c r="R51" s="104" t="s">
        <v>1176</v>
      </c>
      <c r="S51" s="104" t="s">
        <v>1176</v>
      </c>
      <c r="T51" s="104" t="s">
        <v>1176</v>
      </c>
      <c r="U51" s="104" t="s">
        <v>1232</v>
      </c>
      <c r="V51" s="104" t="s">
        <v>1436</v>
      </c>
      <c r="W51" s="104" t="s">
        <v>1176</v>
      </c>
      <c r="X51" s="104" t="s">
        <v>1437</v>
      </c>
      <c r="Y51" s="104" t="s">
        <v>1438</v>
      </c>
      <c r="Z51" s="104" t="s">
        <v>1439</v>
      </c>
      <c r="AA51" s="104" t="s">
        <v>1176</v>
      </c>
      <c r="AB51" s="104" t="s">
        <v>1176</v>
      </c>
      <c r="AC51" s="104" t="s">
        <v>1176</v>
      </c>
      <c r="AD51" s="104" t="s">
        <v>1176</v>
      </c>
      <c r="AE51" s="104" t="s">
        <v>1176</v>
      </c>
      <c r="AF51" s="104" t="s">
        <v>1176</v>
      </c>
      <c r="AG51" s="104" t="s">
        <v>1176</v>
      </c>
      <c r="AH51" s="104" t="s">
        <v>1176</v>
      </c>
      <c r="AI51" s="104" t="s">
        <v>1212</v>
      </c>
      <c r="AJ51" s="104" t="s">
        <v>1299</v>
      </c>
      <c r="AK51" s="104" t="s">
        <v>1440</v>
      </c>
      <c r="AL51" s="104" t="s">
        <v>1441</v>
      </c>
      <c r="AM51" s="104" t="s">
        <v>1176</v>
      </c>
      <c r="AN51" s="104" t="s">
        <v>1188</v>
      </c>
      <c r="AO51" s="104" t="s">
        <v>1176</v>
      </c>
      <c r="AP51" s="104" t="s">
        <v>1176</v>
      </c>
      <c r="AQ51" s="104" t="s">
        <v>1176</v>
      </c>
      <c r="AR51" s="104" t="s">
        <v>1176</v>
      </c>
      <c r="AS51" s="104" t="s">
        <v>1176</v>
      </c>
      <c r="AT51" s="104" t="s">
        <v>1176</v>
      </c>
      <c r="AU51" s="104" t="s">
        <v>1176</v>
      </c>
      <c r="AV51" s="104" t="s">
        <v>1176</v>
      </c>
      <c r="AW51" s="104" t="s">
        <v>1176</v>
      </c>
      <c r="AX51" s="104" t="s">
        <v>1176</v>
      </c>
      <c r="AY51" s="104" t="s">
        <v>1176</v>
      </c>
      <c r="AZ51" s="104" t="s">
        <v>1176</v>
      </c>
      <c r="BA51" s="104" t="s">
        <v>1176</v>
      </c>
      <c r="BB51" s="104" t="s">
        <v>1176</v>
      </c>
      <c r="BC51" s="104" t="s">
        <v>1176</v>
      </c>
      <c r="BD51" s="104" t="s">
        <v>1176</v>
      </c>
      <c r="BE51" s="104" t="s">
        <v>1176</v>
      </c>
      <c r="BF51" s="104" t="s">
        <v>1176</v>
      </c>
      <c r="BG51" s="104" t="s">
        <v>1176</v>
      </c>
      <c r="BH51" s="104" t="s">
        <v>1176</v>
      </c>
      <c r="BI51" s="104" t="s">
        <v>1176</v>
      </c>
      <c r="BJ51" s="104" t="s">
        <v>1176</v>
      </c>
      <c r="BK51" s="104" t="s">
        <v>1176</v>
      </c>
      <c r="BL51" s="104" t="s">
        <v>1176</v>
      </c>
      <c r="BM51" s="104" t="s">
        <v>1176</v>
      </c>
      <c r="BN51" s="104" t="s">
        <v>1176</v>
      </c>
      <c r="BO51" s="104" t="s">
        <v>1176</v>
      </c>
      <c r="BP51" s="104" t="s">
        <v>1176</v>
      </c>
      <c r="BQ51" s="104" t="s">
        <v>1176</v>
      </c>
      <c r="BR51" s="104" t="s">
        <v>1176</v>
      </c>
      <c r="BS51" s="104" t="s">
        <v>1176</v>
      </c>
      <c r="BT51" s="104" t="s">
        <v>1176</v>
      </c>
      <c r="BU51" s="104" t="s">
        <v>1176</v>
      </c>
      <c r="BV51" s="104" t="s">
        <v>1176</v>
      </c>
      <c r="BW51" s="104" t="s">
        <v>1176</v>
      </c>
      <c r="BX51" s="104" t="s">
        <v>1176</v>
      </c>
      <c r="BY51" s="104" t="s">
        <v>1176</v>
      </c>
      <c r="BZ51" s="104" t="s">
        <v>1176</v>
      </c>
      <c r="CA51" s="104" t="s">
        <v>1176</v>
      </c>
      <c r="CB51" s="104" t="s">
        <v>1176</v>
      </c>
      <c r="CC51" s="104" t="s">
        <v>1176</v>
      </c>
      <c r="CD51" s="104" t="s">
        <v>1176</v>
      </c>
      <c r="CE51" s="104" t="s">
        <v>1176</v>
      </c>
      <c r="CF51" s="104" t="s">
        <v>1176</v>
      </c>
      <c r="CG51" s="104" t="s">
        <v>1176</v>
      </c>
      <c r="CH51" s="104" t="s">
        <v>1176</v>
      </c>
      <c r="CI51" s="104" t="s">
        <v>1176</v>
      </c>
      <c r="CJ51" s="104" t="s">
        <v>1176</v>
      </c>
      <c r="CK51" s="104" t="s">
        <v>1176</v>
      </c>
      <c r="CL51" s="104" t="s">
        <v>1176</v>
      </c>
      <c r="CM51" s="104" t="s">
        <v>1176</v>
      </c>
      <c r="CN51" s="104" t="s">
        <v>1176</v>
      </c>
      <c r="CO51" s="104" t="s">
        <v>1176</v>
      </c>
    </row>
    <row r="52" s="102" customFormat="1" ht="15" spans="1:93">
      <c r="A52" s="104" t="s">
        <v>1442</v>
      </c>
      <c r="B52" s="104" t="s">
        <v>1146</v>
      </c>
      <c r="C52" s="104" t="s">
        <v>1147</v>
      </c>
      <c r="D52" s="104" t="s">
        <v>1443</v>
      </c>
      <c r="E52" s="104" t="s">
        <v>1444</v>
      </c>
      <c r="F52" s="104">
        <f t="shared" si="0"/>
        <v>5882</v>
      </c>
      <c r="G52" s="104" t="s">
        <v>1445</v>
      </c>
      <c r="H52" s="104" t="s">
        <v>1176</v>
      </c>
      <c r="I52" s="104" t="s">
        <v>1176</v>
      </c>
      <c r="J52" s="104" t="s">
        <v>1176</v>
      </c>
      <c r="K52" s="104" t="s">
        <v>1176</v>
      </c>
      <c r="L52" s="104" t="s">
        <v>1446</v>
      </c>
      <c r="M52" s="104" t="s">
        <v>1447</v>
      </c>
      <c r="N52" s="104" t="s">
        <v>1367</v>
      </c>
      <c r="O52" s="104" t="s">
        <v>1176</v>
      </c>
      <c r="P52" s="104" t="s">
        <v>1176</v>
      </c>
      <c r="Q52" s="104" t="s">
        <v>1176</v>
      </c>
      <c r="R52" s="104" t="s">
        <v>1176</v>
      </c>
      <c r="S52" s="104" t="s">
        <v>1176</v>
      </c>
      <c r="T52" s="104" t="s">
        <v>1176</v>
      </c>
      <c r="U52" s="104" t="s">
        <v>1328</v>
      </c>
      <c r="V52" s="104" t="s">
        <v>1448</v>
      </c>
      <c r="W52" s="104" t="s">
        <v>1176</v>
      </c>
      <c r="X52" s="104" t="s">
        <v>1449</v>
      </c>
      <c r="Y52" s="104" t="s">
        <v>1450</v>
      </c>
      <c r="Z52" s="104" t="s">
        <v>1451</v>
      </c>
      <c r="AA52" s="104" t="s">
        <v>1176</v>
      </c>
      <c r="AB52" s="104" t="s">
        <v>1176</v>
      </c>
      <c r="AC52" s="104" t="s">
        <v>1176</v>
      </c>
      <c r="AD52" s="104" t="s">
        <v>1176</v>
      </c>
      <c r="AE52" s="104" t="s">
        <v>1176</v>
      </c>
      <c r="AF52" s="104" t="s">
        <v>1176</v>
      </c>
      <c r="AG52" s="104" t="s">
        <v>1176</v>
      </c>
      <c r="AH52" s="104" t="s">
        <v>1176</v>
      </c>
      <c r="AI52" s="104" t="s">
        <v>1399</v>
      </c>
      <c r="AJ52" s="104" t="s">
        <v>1452</v>
      </c>
      <c r="AK52" s="104" t="s">
        <v>1453</v>
      </c>
      <c r="AL52" s="104" t="s">
        <v>1454</v>
      </c>
      <c r="AM52" s="104" t="s">
        <v>1176</v>
      </c>
      <c r="AN52" s="104" t="s">
        <v>1455</v>
      </c>
      <c r="AO52" s="104" t="s">
        <v>1176</v>
      </c>
      <c r="AP52" s="104" t="s">
        <v>1176</v>
      </c>
      <c r="AQ52" s="104" t="s">
        <v>1176</v>
      </c>
      <c r="AR52" s="104" t="s">
        <v>1176</v>
      </c>
      <c r="AS52" s="104" t="s">
        <v>1176</v>
      </c>
      <c r="AT52" s="104" t="s">
        <v>1176</v>
      </c>
      <c r="AU52" s="104" t="s">
        <v>1176</v>
      </c>
      <c r="AV52" s="104" t="s">
        <v>1176</v>
      </c>
      <c r="AW52" s="104" t="s">
        <v>1176</v>
      </c>
      <c r="AX52" s="104" t="s">
        <v>1176</v>
      </c>
      <c r="AY52" s="104" t="s">
        <v>1176</v>
      </c>
      <c r="AZ52" s="104" t="s">
        <v>1176</v>
      </c>
      <c r="BA52" s="104" t="s">
        <v>1176</v>
      </c>
      <c r="BB52" s="104" t="s">
        <v>1176</v>
      </c>
      <c r="BC52" s="104" t="s">
        <v>1176</v>
      </c>
      <c r="BD52" s="104" t="s">
        <v>1176</v>
      </c>
      <c r="BE52" s="104" t="s">
        <v>1176</v>
      </c>
      <c r="BF52" s="104" t="s">
        <v>1176</v>
      </c>
      <c r="BG52" s="104" t="s">
        <v>1176</v>
      </c>
      <c r="BH52" s="104" t="s">
        <v>1176</v>
      </c>
      <c r="BI52" s="104" t="s">
        <v>1176</v>
      </c>
      <c r="BJ52" s="104" t="s">
        <v>1176</v>
      </c>
      <c r="BK52" s="104" t="s">
        <v>1176</v>
      </c>
      <c r="BL52" s="104" t="s">
        <v>1176</v>
      </c>
      <c r="BM52" s="104" t="s">
        <v>1176</v>
      </c>
      <c r="BN52" s="104" t="s">
        <v>1176</v>
      </c>
      <c r="BO52" s="104" t="s">
        <v>1176</v>
      </c>
      <c r="BP52" s="104" t="s">
        <v>1176</v>
      </c>
      <c r="BQ52" s="104" t="s">
        <v>1176</v>
      </c>
      <c r="BR52" s="104" t="s">
        <v>1176</v>
      </c>
      <c r="BS52" s="104" t="s">
        <v>1176</v>
      </c>
      <c r="BT52" s="104" t="s">
        <v>1176</v>
      </c>
      <c r="BU52" s="104" t="s">
        <v>1176</v>
      </c>
      <c r="BV52" s="104" t="s">
        <v>1176</v>
      </c>
      <c r="BW52" s="104" t="s">
        <v>1176</v>
      </c>
      <c r="BX52" s="104" t="s">
        <v>1176</v>
      </c>
      <c r="BY52" s="104" t="s">
        <v>1176</v>
      </c>
      <c r="BZ52" s="104" t="s">
        <v>1176</v>
      </c>
      <c r="CA52" s="104" t="s">
        <v>1176</v>
      </c>
      <c r="CB52" s="104" t="s">
        <v>1176</v>
      </c>
      <c r="CC52" s="104" t="s">
        <v>1176</v>
      </c>
      <c r="CD52" s="104" t="s">
        <v>1176</v>
      </c>
      <c r="CE52" s="104" t="s">
        <v>1176</v>
      </c>
      <c r="CF52" s="104" t="s">
        <v>1176</v>
      </c>
      <c r="CG52" s="104" t="s">
        <v>1176</v>
      </c>
      <c r="CH52" s="104" t="s">
        <v>1176</v>
      </c>
      <c r="CI52" s="104" t="s">
        <v>1176</v>
      </c>
      <c r="CJ52" s="104" t="s">
        <v>1176</v>
      </c>
      <c r="CK52" s="104" t="s">
        <v>1176</v>
      </c>
      <c r="CL52" s="104" t="s">
        <v>1176</v>
      </c>
      <c r="CM52" s="104" t="s">
        <v>1176</v>
      </c>
      <c r="CN52" s="104" t="s">
        <v>1176</v>
      </c>
      <c r="CO52" s="104" t="s">
        <v>1176</v>
      </c>
    </row>
    <row r="53" s="102" customFormat="1" ht="15" spans="1:93">
      <c r="A53" s="104" t="s">
        <v>1456</v>
      </c>
      <c r="B53" s="104" t="s">
        <v>1146</v>
      </c>
      <c r="C53" s="104" t="s">
        <v>1147</v>
      </c>
      <c r="D53" s="104" t="s">
        <v>1457</v>
      </c>
      <c r="E53" s="104" t="s">
        <v>1458</v>
      </c>
      <c r="F53" s="104">
        <f t="shared" si="0"/>
        <v>5669</v>
      </c>
      <c r="G53" s="104" t="s">
        <v>1459</v>
      </c>
      <c r="H53" s="104" t="s">
        <v>1176</v>
      </c>
      <c r="I53" s="104" t="s">
        <v>1176</v>
      </c>
      <c r="J53" s="104" t="s">
        <v>1176</v>
      </c>
      <c r="K53" s="104" t="s">
        <v>1176</v>
      </c>
      <c r="L53" s="104" t="s">
        <v>1460</v>
      </c>
      <c r="M53" s="104" t="s">
        <v>1461</v>
      </c>
      <c r="N53" s="104" t="s">
        <v>1364</v>
      </c>
      <c r="O53" s="104" t="s">
        <v>1176</v>
      </c>
      <c r="P53" s="104" t="s">
        <v>1176</v>
      </c>
      <c r="Q53" s="104" t="s">
        <v>1176</v>
      </c>
      <c r="R53" s="104" t="s">
        <v>1176</v>
      </c>
      <c r="S53" s="104" t="s">
        <v>1176</v>
      </c>
      <c r="T53" s="104" t="s">
        <v>1176</v>
      </c>
      <c r="U53" s="104" t="s">
        <v>1356</v>
      </c>
      <c r="V53" s="104" t="s">
        <v>1462</v>
      </c>
      <c r="W53" s="104" t="s">
        <v>1176</v>
      </c>
      <c r="X53" s="104" t="s">
        <v>1463</v>
      </c>
      <c r="Y53" s="104" t="s">
        <v>1464</v>
      </c>
      <c r="Z53" s="104" t="s">
        <v>1465</v>
      </c>
      <c r="AA53" s="104" t="s">
        <v>1176</v>
      </c>
      <c r="AB53" s="104" t="s">
        <v>1176</v>
      </c>
      <c r="AC53" s="104" t="s">
        <v>1232</v>
      </c>
      <c r="AD53" s="104" t="s">
        <v>1466</v>
      </c>
      <c r="AE53" s="104" t="s">
        <v>1176</v>
      </c>
      <c r="AF53" s="104" t="s">
        <v>1176</v>
      </c>
      <c r="AG53" s="104" t="s">
        <v>1176</v>
      </c>
      <c r="AH53" s="104" t="s">
        <v>1176</v>
      </c>
      <c r="AI53" s="104" t="s">
        <v>1243</v>
      </c>
      <c r="AJ53" s="104" t="s">
        <v>1182</v>
      </c>
      <c r="AK53" s="104" t="s">
        <v>1419</v>
      </c>
      <c r="AL53" s="104" t="s">
        <v>1467</v>
      </c>
      <c r="AM53" s="104" t="s">
        <v>1176</v>
      </c>
      <c r="AN53" s="104" t="s">
        <v>1264</v>
      </c>
      <c r="AO53" s="104" t="s">
        <v>1176</v>
      </c>
      <c r="AP53" s="104" t="s">
        <v>1176</v>
      </c>
      <c r="AQ53" s="104" t="s">
        <v>1176</v>
      </c>
      <c r="AR53" s="104" t="s">
        <v>1176</v>
      </c>
      <c r="AS53" s="104" t="s">
        <v>1176</v>
      </c>
      <c r="AT53" s="104" t="s">
        <v>1176</v>
      </c>
      <c r="AU53" s="104" t="s">
        <v>1218</v>
      </c>
      <c r="AV53" s="104" t="s">
        <v>1345</v>
      </c>
      <c r="AW53" s="104" t="s">
        <v>1176</v>
      </c>
      <c r="AX53" s="104" t="s">
        <v>1176</v>
      </c>
      <c r="AY53" s="104" t="s">
        <v>1176</v>
      </c>
      <c r="AZ53" s="104" t="s">
        <v>1176</v>
      </c>
      <c r="BA53" s="104" t="s">
        <v>1176</v>
      </c>
      <c r="BB53" s="104" t="s">
        <v>1176</v>
      </c>
      <c r="BC53" s="104" t="s">
        <v>1176</v>
      </c>
      <c r="BD53" s="104" t="s">
        <v>1176</v>
      </c>
      <c r="BE53" s="104" t="s">
        <v>1176</v>
      </c>
      <c r="BF53" s="104" t="s">
        <v>1176</v>
      </c>
      <c r="BG53" s="104" t="s">
        <v>1468</v>
      </c>
      <c r="BH53" s="104" t="s">
        <v>1468</v>
      </c>
      <c r="BI53" s="104" t="s">
        <v>1469</v>
      </c>
      <c r="BJ53" s="104" t="s">
        <v>1187</v>
      </c>
      <c r="BK53" s="104" t="s">
        <v>1176</v>
      </c>
      <c r="BL53" s="104" t="s">
        <v>1176</v>
      </c>
      <c r="BM53" s="104" t="s">
        <v>1176</v>
      </c>
      <c r="BN53" s="104" t="s">
        <v>1179</v>
      </c>
      <c r="BO53" s="104" t="s">
        <v>1179</v>
      </c>
      <c r="BP53" s="104" t="s">
        <v>1176</v>
      </c>
      <c r="BQ53" s="104" t="s">
        <v>1176</v>
      </c>
      <c r="BR53" s="104" t="s">
        <v>1180</v>
      </c>
      <c r="BS53" s="104" t="s">
        <v>1470</v>
      </c>
      <c r="BT53" s="104" t="s">
        <v>1172</v>
      </c>
      <c r="BU53" s="104" t="s">
        <v>1218</v>
      </c>
      <c r="BV53" s="104" t="s">
        <v>1176</v>
      </c>
      <c r="BW53" s="104" t="s">
        <v>1176</v>
      </c>
      <c r="BX53" s="104" t="s">
        <v>1418</v>
      </c>
      <c r="BY53" s="104" t="s">
        <v>1471</v>
      </c>
      <c r="BZ53" s="104" t="s">
        <v>1176</v>
      </c>
      <c r="CA53" s="104" t="s">
        <v>1176</v>
      </c>
      <c r="CB53" s="104" t="s">
        <v>1176</v>
      </c>
      <c r="CC53" s="104" t="s">
        <v>1176</v>
      </c>
      <c r="CD53" s="104" t="s">
        <v>1232</v>
      </c>
      <c r="CE53" s="104" t="s">
        <v>1328</v>
      </c>
      <c r="CF53" s="104" t="s">
        <v>1176</v>
      </c>
      <c r="CG53" s="104" t="s">
        <v>1176</v>
      </c>
      <c r="CH53" s="104" t="s">
        <v>1176</v>
      </c>
      <c r="CI53" s="104" t="s">
        <v>1176</v>
      </c>
      <c r="CJ53" s="104" t="s">
        <v>1176</v>
      </c>
      <c r="CK53" s="104" t="s">
        <v>1176</v>
      </c>
      <c r="CL53" s="104" t="s">
        <v>1176</v>
      </c>
      <c r="CM53" s="104" t="s">
        <v>1176</v>
      </c>
      <c r="CN53" s="104" t="s">
        <v>1176</v>
      </c>
      <c r="CO53" s="104" t="s">
        <v>1176</v>
      </c>
    </row>
    <row r="54" s="102" customFormat="1" ht="15" spans="1:93">
      <c r="A54" s="104" t="s">
        <v>1472</v>
      </c>
      <c r="B54" s="104" t="s">
        <v>1146</v>
      </c>
      <c r="C54" s="104" t="s">
        <v>1147</v>
      </c>
      <c r="D54" s="104" t="s">
        <v>1473</v>
      </c>
      <c r="E54" s="104" t="s">
        <v>1474</v>
      </c>
      <c r="F54" s="104">
        <f t="shared" si="0"/>
        <v>3017</v>
      </c>
      <c r="G54" s="104" t="s">
        <v>1475</v>
      </c>
      <c r="H54" s="104" t="s">
        <v>1176</v>
      </c>
      <c r="I54" s="104" t="s">
        <v>1176</v>
      </c>
      <c r="J54" s="104" t="s">
        <v>1176</v>
      </c>
      <c r="K54" s="104" t="s">
        <v>1176</v>
      </c>
      <c r="L54" s="104" t="s">
        <v>1476</v>
      </c>
      <c r="M54" s="104" t="s">
        <v>1477</v>
      </c>
      <c r="N54" s="104" t="s">
        <v>1238</v>
      </c>
      <c r="O54" s="104" t="s">
        <v>1176</v>
      </c>
      <c r="P54" s="104" t="s">
        <v>1176</v>
      </c>
      <c r="Q54" s="104" t="s">
        <v>1176</v>
      </c>
      <c r="R54" s="104" t="s">
        <v>1176</v>
      </c>
      <c r="S54" s="104" t="s">
        <v>1176</v>
      </c>
      <c r="T54" s="104" t="s">
        <v>1176</v>
      </c>
      <c r="U54" s="104" t="s">
        <v>1176</v>
      </c>
      <c r="V54" s="104" t="s">
        <v>1283</v>
      </c>
      <c r="W54" s="104" t="s">
        <v>1176</v>
      </c>
      <c r="X54" s="104" t="s">
        <v>1478</v>
      </c>
      <c r="Y54" s="104" t="s">
        <v>1479</v>
      </c>
      <c r="Z54" s="104" t="s">
        <v>1480</v>
      </c>
      <c r="AA54" s="104" t="s">
        <v>1176</v>
      </c>
      <c r="AB54" s="104" t="s">
        <v>1176</v>
      </c>
      <c r="AC54" s="104" t="s">
        <v>1176</v>
      </c>
      <c r="AD54" s="104" t="s">
        <v>1176</v>
      </c>
      <c r="AE54" s="104" t="s">
        <v>1176</v>
      </c>
      <c r="AF54" s="104" t="s">
        <v>1176</v>
      </c>
      <c r="AG54" s="104" t="s">
        <v>1176</v>
      </c>
      <c r="AH54" s="104" t="s">
        <v>1176</v>
      </c>
      <c r="AI54" s="104" t="s">
        <v>1306</v>
      </c>
      <c r="AJ54" s="104" t="s">
        <v>1367</v>
      </c>
      <c r="AK54" s="104" t="s">
        <v>1481</v>
      </c>
      <c r="AL54" s="104" t="s">
        <v>1482</v>
      </c>
      <c r="AM54" s="104" t="s">
        <v>1176</v>
      </c>
      <c r="AN54" s="104" t="s">
        <v>1476</v>
      </c>
      <c r="AO54" s="104" t="s">
        <v>1176</v>
      </c>
      <c r="AP54" s="104" t="s">
        <v>1176</v>
      </c>
      <c r="AQ54" s="104" t="s">
        <v>1176</v>
      </c>
      <c r="AR54" s="104" t="s">
        <v>1176</v>
      </c>
      <c r="AS54" s="104" t="s">
        <v>1176</v>
      </c>
      <c r="AT54" s="104" t="s">
        <v>1176</v>
      </c>
      <c r="AU54" s="104" t="s">
        <v>1176</v>
      </c>
      <c r="AV54" s="104" t="s">
        <v>1176</v>
      </c>
      <c r="AW54" s="104" t="s">
        <v>1176</v>
      </c>
      <c r="AX54" s="104" t="s">
        <v>1176</v>
      </c>
      <c r="AY54" s="104" t="s">
        <v>1176</v>
      </c>
      <c r="AZ54" s="104" t="s">
        <v>1176</v>
      </c>
      <c r="BA54" s="104" t="s">
        <v>1176</v>
      </c>
      <c r="BB54" s="104" t="s">
        <v>1176</v>
      </c>
      <c r="BC54" s="104" t="s">
        <v>1180</v>
      </c>
      <c r="BD54" s="104" t="s">
        <v>1188</v>
      </c>
      <c r="BE54" s="104" t="s">
        <v>1176</v>
      </c>
      <c r="BF54" s="104" t="s">
        <v>1176</v>
      </c>
      <c r="BG54" s="104" t="s">
        <v>1176</v>
      </c>
      <c r="BH54" s="104" t="s">
        <v>1176</v>
      </c>
      <c r="BI54" s="104" t="s">
        <v>1176</v>
      </c>
      <c r="BJ54" s="104" t="s">
        <v>1176</v>
      </c>
      <c r="BK54" s="104" t="s">
        <v>1176</v>
      </c>
      <c r="BL54" s="104" t="s">
        <v>1176</v>
      </c>
      <c r="BM54" s="104" t="s">
        <v>1176</v>
      </c>
      <c r="BN54" s="104" t="s">
        <v>1176</v>
      </c>
      <c r="BO54" s="104" t="s">
        <v>1176</v>
      </c>
      <c r="BP54" s="104" t="s">
        <v>1176</v>
      </c>
      <c r="BQ54" s="104" t="s">
        <v>1176</v>
      </c>
      <c r="BR54" s="104" t="s">
        <v>1176</v>
      </c>
      <c r="BS54" s="104" t="s">
        <v>1176</v>
      </c>
      <c r="BT54" s="104" t="s">
        <v>1176</v>
      </c>
      <c r="BU54" s="104" t="s">
        <v>1176</v>
      </c>
      <c r="BV54" s="104" t="s">
        <v>1176</v>
      </c>
      <c r="BW54" s="104" t="s">
        <v>1176</v>
      </c>
      <c r="BX54" s="104" t="s">
        <v>1176</v>
      </c>
      <c r="BY54" s="104" t="s">
        <v>1176</v>
      </c>
      <c r="BZ54" s="104" t="s">
        <v>1176</v>
      </c>
      <c r="CA54" s="104" t="s">
        <v>1176</v>
      </c>
      <c r="CB54" s="104" t="s">
        <v>1176</v>
      </c>
      <c r="CC54" s="104" t="s">
        <v>1176</v>
      </c>
      <c r="CD54" s="104" t="s">
        <v>1176</v>
      </c>
      <c r="CE54" s="104" t="s">
        <v>1176</v>
      </c>
      <c r="CF54" s="104" t="s">
        <v>1176</v>
      </c>
      <c r="CG54" s="104" t="s">
        <v>1176</v>
      </c>
      <c r="CH54" s="104" t="s">
        <v>1176</v>
      </c>
      <c r="CI54" s="104" t="s">
        <v>1176</v>
      </c>
      <c r="CJ54" s="104" t="s">
        <v>1176</v>
      </c>
      <c r="CK54" s="104" t="s">
        <v>1176</v>
      </c>
      <c r="CL54" s="104" t="s">
        <v>1176</v>
      </c>
      <c r="CM54" s="104" t="s">
        <v>1176</v>
      </c>
      <c r="CN54" s="104" t="s">
        <v>1176</v>
      </c>
      <c r="CO54" s="104" t="s">
        <v>1176</v>
      </c>
    </row>
    <row r="55" s="102" customFormat="1" ht="15" spans="1:93">
      <c r="A55" s="104" t="s">
        <v>1326</v>
      </c>
      <c r="B55" s="104" t="s">
        <v>1146</v>
      </c>
      <c r="C55" s="104" t="s">
        <v>1147</v>
      </c>
      <c r="D55" s="104" t="s">
        <v>1483</v>
      </c>
      <c r="E55" s="104" t="s">
        <v>1484</v>
      </c>
      <c r="F55" s="104">
        <f t="shared" si="0"/>
        <v>3732</v>
      </c>
      <c r="G55" s="104" t="s">
        <v>1485</v>
      </c>
      <c r="H55" s="104" t="s">
        <v>1176</v>
      </c>
      <c r="I55" s="104" t="s">
        <v>1176</v>
      </c>
      <c r="J55" s="104" t="s">
        <v>1176</v>
      </c>
      <c r="K55" s="104" t="s">
        <v>1176</v>
      </c>
      <c r="L55" s="104" t="s">
        <v>1486</v>
      </c>
      <c r="M55" s="104" t="s">
        <v>1487</v>
      </c>
      <c r="N55" s="104" t="s">
        <v>1211</v>
      </c>
      <c r="O55" s="104" t="s">
        <v>1176</v>
      </c>
      <c r="P55" s="104" t="s">
        <v>1176</v>
      </c>
      <c r="Q55" s="104" t="s">
        <v>1176</v>
      </c>
      <c r="R55" s="104" t="s">
        <v>1176</v>
      </c>
      <c r="S55" s="104" t="s">
        <v>1176</v>
      </c>
      <c r="T55" s="104" t="s">
        <v>1176</v>
      </c>
      <c r="U55" s="104" t="s">
        <v>1201</v>
      </c>
      <c r="V55" s="104" t="s">
        <v>1488</v>
      </c>
      <c r="W55" s="104" t="s">
        <v>1176</v>
      </c>
      <c r="X55" s="104" t="s">
        <v>1489</v>
      </c>
      <c r="Y55" s="104" t="s">
        <v>1490</v>
      </c>
      <c r="Z55" s="104" t="s">
        <v>1491</v>
      </c>
      <c r="AA55" s="104" t="s">
        <v>1176</v>
      </c>
      <c r="AB55" s="104" t="s">
        <v>1176</v>
      </c>
      <c r="AC55" s="104" t="s">
        <v>1176</v>
      </c>
      <c r="AD55" s="104" t="s">
        <v>1176</v>
      </c>
      <c r="AE55" s="104" t="s">
        <v>1176</v>
      </c>
      <c r="AF55" s="104" t="s">
        <v>1176</v>
      </c>
      <c r="AG55" s="104" t="s">
        <v>1176</v>
      </c>
      <c r="AH55" s="104" t="s">
        <v>1176</v>
      </c>
      <c r="AI55" s="104" t="s">
        <v>1212</v>
      </c>
      <c r="AJ55" s="104" t="s">
        <v>1320</v>
      </c>
      <c r="AK55" s="104" t="s">
        <v>1492</v>
      </c>
      <c r="AL55" s="104" t="s">
        <v>1493</v>
      </c>
      <c r="AM55" s="104" t="s">
        <v>1176</v>
      </c>
      <c r="AN55" s="104" t="s">
        <v>1328</v>
      </c>
      <c r="AO55" s="104" t="s">
        <v>1176</v>
      </c>
      <c r="AP55" s="104" t="s">
        <v>1176</v>
      </c>
      <c r="AQ55" s="104" t="s">
        <v>1176</v>
      </c>
      <c r="AR55" s="104" t="s">
        <v>1176</v>
      </c>
      <c r="AS55" s="104" t="s">
        <v>1176</v>
      </c>
      <c r="AT55" s="104" t="s">
        <v>1176</v>
      </c>
      <c r="AU55" s="104" t="s">
        <v>1176</v>
      </c>
      <c r="AV55" s="104" t="s">
        <v>1176</v>
      </c>
      <c r="AW55" s="104" t="s">
        <v>1176</v>
      </c>
      <c r="AX55" s="104" t="s">
        <v>1176</v>
      </c>
      <c r="AY55" s="104" t="s">
        <v>1176</v>
      </c>
      <c r="AZ55" s="104" t="s">
        <v>1176</v>
      </c>
      <c r="BA55" s="104" t="s">
        <v>1176</v>
      </c>
      <c r="BB55" s="104" t="s">
        <v>1176</v>
      </c>
      <c r="BC55" s="104" t="s">
        <v>1176</v>
      </c>
      <c r="BD55" s="104" t="s">
        <v>1176</v>
      </c>
      <c r="BE55" s="104" t="s">
        <v>1176</v>
      </c>
      <c r="BF55" s="104" t="s">
        <v>1176</v>
      </c>
      <c r="BG55" s="104" t="s">
        <v>1494</v>
      </c>
      <c r="BH55" s="104" t="s">
        <v>1494</v>
      </c>
      <c r="BI55" s="104" t="s">
        <v>1495</v>
      </c>
      <c r="BJ55" s="104" t="s">
        <v>1176</v>
      </c>
      <c r="BK55" s="104" t="s">
        <v>1176</v>
      </c>
      <c r="BL55" s="104" t="s">
        <v>1176</v>
      </c>
      <c r="BM55" s="104" t="s">
        <v>1176</v>
      </c>
      <c r="BN55" s="104" t="s">
        <v>1496</v>
      </c>
      <c r="BO55" s="104" t="s">
        <v>1496</v>
      </c>
      <c r="BP55" s="104" t="s">
        <v>1176</v>
      </c>
      <c r="BQ55" s="104" t="s">
        <v>1176</v>
      </c>
      <c r="BR55" s="104" t="s">
        <v>1176</v>
      </c>
      <c r="BS55" s="104" t="s">
        <v>1176</v>
      </c>
      <c r="BT55" s="104" t="s">
        <v>1314</v>
      </c>
      <c r="BU55" s="104" t="s">
        <v>1497</v>
      </c>
      <c r="BV55" s="104" t="s">
        <v>1176</v>
      </c>
      <c r="BW55" s="104" t="s">
        <v>1176</v>
      </c>
      <c r="BX55" s="104" t="s">
        <v>1238</v>
      </c>
      <c r="BY55" s="104" t="s">
        <v>1498</v>
      </c>
      <c r="BZ55" s="104" t="s">
        <v>1176</v>
      </c>
      <c r="CA55" s="104" t="s">
        <v>1176</v>
      </c>
      <c r="CB55" s="104" t="s">
        <v>1176</v>
      </c>
      <c r="CC55" s="104" t="s">
        <v>1176</v>
      </c>
      <c r="CD55" s="104" t="s">
        <v>1176</v>
      </c>
      <c r="CE55" s="104" t="s">
        <v>1176</v>
      </c>
      <c r="CF55" s="104" t="s">
        <v>1176</v>
      </c>
      <c r="CG55" s="104" t="s">
        <v>1176</v>
      </c>
      <c r="CH55" s="104" t="s">
        <v>1176</v>
      </c>
      <c r="CI55" s="104" t="s">
        <v>1176</v>
      </c>
      <c r="CJ55" s="104" t="s">
        <v>1176</v>
      </c>
      <c r="CK55" s="104" t="s">
        <v>1176</v>
      </c>
      <c r="CL55" s="104" t="s">
        <v>1176</v>
      </c>
      <c r="CM55" s="104" t="s">
        <v>1176</v>
      </c>
      <c r="CN55" s="104" t="s">
        <v>1176</v>
      </c>
      <c r="CO55" s="104" t="s">
        <v>1176</v>
      </c>
    </row>
    <row r="56" s="102" customFormat="1" ht="15" spans="1:93">
      <c r="A56" s="104" t="s">
        <v>1476</v>
      </c>
      <c r="B56" s="104" t="s">
        <v>1146</v>
      </c>
      <c r="C56" s="104" t="s">
        <v>1147</v>
      </c>
      <c r="D56" s="104" t="s">
        <v>1499</v>
      </c>
      <c r="E56" s="104" t="s">
        <v>1500</v>
      </c>
      <c r="F56" s="104">
        <f t="shared" si="0"/>
        <v>1290</v>
      </c>
      <c r="G56" s="104" t="s">
        <v>1501</v>
      </c>
      <c r="H56" s="104" t="s">
        <v>1176</v>
      </c>
      <c r="I56" s="104" t="s">
        <v>1176</v>
      </c>
      <c r="J56" s="104" t="s">
        <v>1176</v>
      </c>
      <c r="K56" s="104" t="s">
        <v>1176</v>
      </c>
      <c r="L56" s="104" t="s">
        <v>1502</v>
      </c>
      <c r="M56" s="104" t="s">
        <v>1503</v>
      </c>
      <c r="N56" s="104" t="s">
        <v>1212</v>
      </c>
      <c r="O56" s="104" t="s">
        <v>1176</v>
      </c>
      <c r="P56" s="104" t="s">
        <v>1176</v>
      </c>
      <c r="Q56" s="104" t="s">
        <v>1176</v>
      </c>
      <c r="R56" s="104" t="s">
        <v>1176</v>
      </c>
      <c r="S56" s="104" t="s">
        <v>1176</v>
      </c>
      <c r="T56" s="104" t="s">
        <v>1176</v>
      </c>
      <c r="U56" s="104" t="s">
        <v>1172</v>
      </c>
      <c r="V56" s="104" t="s">
        <v>1504</v>
      </c>
      <c r="W56" s="104" t="s">
        <v>1176</v>
      </c>
      <c r="X56" s="104" t="s">
        <v>1505</v>
      </c>
      <c r="Y56" s="104" t="s">
        <v>1402</v>
      </c>
      <c r="Z56" s="104" t="s">
        <v>1506</v>
      </c>
      <c r="AA56" s="104" t="s">
        <v>1176</v>
      </c>
      <c r="AB56" s="104" t="s">
        <v>1176</v>
      </c>
      <c r="AC56" s="104" t="s">
        <v>1176</v>
      </c>
      <c r="AD56" s="104" t="s">
        <v>1176</v>
      </c>
      <c r="AE56" s="104" t="s">
        <v>1176</v>
      </c>
      <c r="AF56" s="104" t="s">
        <v>1176</v>
      </c>
      <c r="AG56" s="104" t="s">
        <v>1176</v>
      </c>
      <c r="AH56" s="104" t="s">
        <v>1176</v>
      </c>
      <c r="AI56" s="104" t="s">
        <v>1212</v>
      </c>
      <c r="AJ56" s="104" t="s">
        <v>1507</v>
      </c>
      <c r="AK56" s="104" t="s">
        <v>1508</v>
      </c>
      <c r="AL56" s="104" t="s">
        <v>1509</v>
      </c>
      <c r="AM56" s="104" t="s">
        <v>1176</v>
      </c>
      <c r="AN56" s="104" t="s">
        <v>1203</v>
      </c>
      <c r="AO56" s="104" t="s">
        <v>1176</v>
      </c>
      <c r="AP56" s="104" t="s">
        <v>1176</v>
      </c>
      <c r="AQ56" s="104" t="s">
        <v>1176</v>
      </c>
      <c r="AR56" s="104" t="s">
        <v>1176</v>
      </c>
      <c r="AS56" s="104" t="s">
        <v>1176</v>
      </c>
      <c r="AT56" s="104" t="s">
        <v>1176</v>
      </c>
      <c r="AU56" s="104" t="s">
        <v>1176</v>
      </c>
      <c r="AV56" s="104" t="s">
        <v>1176</v>
      </c>
      <c r="AW56" s="104" t="s">
        <v>1176</v>
      </c>
      <c r="AX56" s="104" t="s">
        <v>1176</v>
      </c>
      <c r="AY56" s="104" t="s">
        <v>1176</v>
      </c>
      <c r="AZ56" s="104" t="s">
        <v>1176</v>
      </c>
      <c r="BA56" s="104" t="s">
        <v>1176</v>
      </c>
      <c r="BB56" s="104" t="s">
        <v>1176</v>
      </c>
      <c r="BC56" s="104" t="s">
        <v>1176</v>
      </c>
      <c r="BD56" s="104" t="s">
        <v>1176</v>
      </c>
      <c r="BE56" s="104" t="s">
        <v>1176</v>
      </c>
      <c r="BF56" s="104" t="s">
        <v>1176</v>
      </c>
      <c r="BG56" s="104" t="s">
        <v>1201</v>
      </c>
      <c r="BH56" s="104" t="s">
        <v>1201</v>
      </c>
      <c r="BI56" s="104" t="s">
        <v>1455</v>
      </c>
      <c r="BJ56" s="104" t="s">
        <v>1176</v>
      </c>
      <c r="BK56" s="104" t="s">
        <v>1176</v>
      </c>
      <c r="BL56" s="104" t="s">
        <v>1176</v>
      </c>
      <c r="BM56" s="104" t="s">
        <v>1176</v>
      </c>
      <c r="BN56" s="104" t="s">
        <v>1179</v>
      </c>
      <c r="BO56" s="104" t="s">
        <v>1179</v>
      </c>
      <c r="BP56" s="104" t="s">
        <v>1176</v>
      </c>
      <c r="BQ56" s="104" t="s">
        <v>1176</v>
      </c>
      <c r="BR56" s="104" t="s">
        <v>1176</v>
      </c>
      <c r="BS56" s="104" t="s">
        <v>1176</v>
      </c>
      <c r="BT56" s="104" t="s">
        <v>1176</v>
      </c>
      <c r="BU56" s="104" t="s">
        <v>1176</v>
      </c>
      <c r="BV56" s="104" t="s">
        <v>1176</v>
      </c>
      <c r="BW56" s="104" t="s">
        <v>1176</v>
      </c>
      <c r="BX56" s="104" t="s">
        <v>1187</v>
      </c>
      <c r="BY56" s="104" t="s">
        <v>1326</v>
      </c>
      <c r="BZ56" s="104" t="s">
        <v>1176</v>
      </c>
      <c r="CA56" s="104" t="s">
        <v>1176</v>
      </c>
      <c r="CB56" s="104" t="s">
        <v>1176</v>
      </c>
      <c r="CC56" s="104" t="s">
        <v>1176</v>
      </c>
      <c r="CD56" s="104" t="s">
        <v>1176</v>
      </c>
      <c r="CE56" s="104" t="s">
        <v>1176</v>
      </c>
      <c r="CF56" s="104" t="s">
        <v>1176</v>
      </c>
      <c r="CG56" s="104" t="s">
        <v>1176</v>
      </c>
      <c r="CH56" s="104" t="s">
        <v>1176</v>
      </c>
      <c r="CI56" s="104" t="s">
        <v>1176</v>
      </c>
      <c r="CJ56" s="104" t="s">
        <v>1176</v>
      </c>
      <c r="CK56" s="104" t="s">
        <v>1176</v>
      </c>
      <c r="CL56" s="104" t="s">
        <v>1176</v>
      </c>
      <c r="CM56" s="104" t="s">
        <v>1176</v>
      </c>
      <c r="CN56" s="104" t="s">
        <v>1176</v>
      </c>
      <c r="CO56" s="104" t="s">
        <v>1176</v>
      </c>
    </row>
    <row r="57" s="102" customFormat="1" ht="15" spans="1:93">
      <c r="A57" s="104" t="s">
        <v>1323</v>
      </c>
      <c r="B57" s="104" t="s">
        <v>1146</v>
      </c>
      <c r="C57" s="104" t="s">
        <v>1147</v>
      </c>
      <c r="D57" s="104" t="s">
        <v>1510</v>
      </c>
      <c r="E57" s="104" t="s">
        <v>1511</v>
      </c>
      <c r="F57" s="104">
        <f t="shared" si="0"/>
        <v>4629</v>
      </c>
      <c r="G57" s="104" t="s">
        <v>1512</v>
      </c>
      <c r="H57" s="104" t="s">
        <v>1176</v>
      </c>
      <c r="I57" s="104" t="s">
        <v>1176</v>
      </c>
      <c r="J57" s="104" t="s">
        <v>1176</v>
      </c>
      <c r="K57" s="104" t="s">
        <v>1176</v>
      </c>
      <c r="L57" s="104" t="s">
        <v>1513</v>
      </c>
      <c r="M57" s="104" t="s">
        <v>1514</v>
      </c>
      <c r="N57" s="104" t="s">
        <v>1306</v>
      </c>
      <c r="O57" s="104" t="s">
        <v>1176</v>
      </c>
      <c r="P57" s="104" t="s">
        <v>1176</v>
      </c>
      <c r="Q57" s="104" t="s">
        <v>1176</v>
      </c>
      <c r="R57" s="104" t="s">
        <v>1176</v>
      </c>
      <c r="S57" s="104" t="s">
        <v>1176</v>
      </c>
      <c r="T57" s="104" t="s">
        <v>1176</v>
      </c>
      <c r="U57" s="104" t="s">
        <v>1243</v>
      </c>
      <c r="V57" s="104" t="s">
        <v>1515</v>
      </c>
      <c r="W57" s="104" t="s">
        <v>1176</v>
      </c>
      <c r="X57" s="104" t="s">
        <v>1516</v>
      </c>
      <c r="Y57" s="104" t="s">
        <v>1311</v>
      </c>
      <c r="Z57" s="104" t="s">
        <v>1517</v>
      </c>
      <c r="AA57" s="104" t="s">
        <v>1176</v>
      </c>
      <c r="AB57" s="104" t="s">
        <v>1176</v>
      </c>
      <c r="AC57" s="104" t="s">
        <v>1176</v>
      </c>
      <c r="AD57" s="104" t="s">
        <v>1176</v>
      </c>
      <c r="AE57" s="104" t="s">
        <v>1176</v>
      </c>
      <c r="AF57" s="104" t="s">
        <v>1176</v>
      </c>
      <c r="AG57" s="104" t="s">
        <v>1176</v>
      </c>
      <c r="AH57" s="104" t="s">
        <v>1176</v>
      </c>
      <c r="AI57" s="104" t="s">
        <v>1356</v>
      </c>
      <c r="AJ57" s="104" t="s">
        <v>1518</v>
      </c>
      <c r="AK57" s="104" t="s">
        <v>1400</v>
      </c>
      <c r="AL57" s="104" t="s">
        <v>1519</v>
      </c>
      <c r="AM57" s="104" t="s">
        <v>1176</v>
      </c>
      <c r="AN57" s="104" t="s">
        <v>1421</v>
      </c>
      <c r="AO57" s="104" t="s">
        <v>1176</v>
      </c>
      <c r="AP57" s="104" t="s">
        <v>1176</v>
      </c>
      <c r="AQ57" s="104" t="s">
        <v>1176</v>
      </c>
      <c r="AR57" s="104" t="s">
        <v>1176</v>
      </c>
      <c r="AS57" s="104" t="s">
        <v>1176</v>
      </c>
      <c r="AT57" s="104" t="s">
        <v>1176</v>
      </c>
      <c r="AU57" s="104" t="s">
        <v>1176</v>
      </c>
      <c r="AV57" s="104" t="s">
        <v>1176</v>
      </c>
      <c r="AW57" s="104" t="s">
        <v>1176</v>
      </c>
      <c r="AX57" s="104" t="s">
        <v>1176</v>
      </c>
      <c r="AY57" s="104" t="s">
        <v>1176</v>
      </c>
      <c r="AZ57" s="104" t="s">
        <v>1176</v>
      </c>
      <c r="BA57" s="104" t="s">
        <v>1176</v>
      </c>
      <c r="BB57" s="104" t="s">
        <v>1176</v>
      </c>
      <c r="BC57" s="104" t="s">
        <v>1176</v>
      </c>
      <c r="BD57" s="104" t="s">
        <v>1176</v>
      </c>
      <c r="BE57" s="104" t="s">
        <v>1176</v>
      </c>
      <c r="BF57" s="104" t="s">
        <v>1176</v>
      </c>
      <c r="BG57" s="104" t="s">
        <v>1229</v>
      </c>
      <c r="BH57" s="104" t="s">
        <v>1229</v>
      </c>
      <c r="BI57" s="104" t="s">
        <v>1520</v>
      </c>
      <c r="BJ57" s="104" t="s">
        <v>1176</v>
      </c>
      <c r="BK57" s="104" t="s">
        <v>1176</v>
      </c>
      <c r="BL57" s="104" t="s">
        <v>1176</v>
      </c>
      <c r="BM57" s="104" t="s">
        <v>1176</v>
      </c>
      <c r="BN57" s="104" t="s">
        <v>1232</v>
      </c>
      <c r="BO57" s="104" t="s">
        <v>1232</v>
      </c>
      <c r="BP57" s="104" t="s">
        <v>1176</v>
      </c>
      <c r="BQ57" s="104" t="s">
        <v>1176</v>
      </c>
      <c r="BR57" s="104" t="s">
        <v>1176</v>
      </c>
      <c r="BS57" s="104" t="s">
        <v>1176</v>
      </c>
      <c r="BT57" s="104" t="s">
        <v>1521</v>
      </c>
      <c r="BU57" s="104" t="s">
        <v>1522</v>
      </c>
      <c r="BV57" s="104" t="s">
        <v>1176</v>
      </c>
      <c r="BW57" s="104" t="s">
        <v>1176</v>
      </c>
      <c r="BX57" s="104" t="s">
        <v>1176</v>
      </c>
      <c r="BY57" s="104" t="s">
        <v>1176</v>
      </c>
      <c r="BZ57" s="104" t="s">
        <v>1176</v>
      </c>
      <c r="CA57" s="104" t="s">
        <v>1176</v>
      </c>
      <c r="CB57" s="104" t="s">
        <v>1176</v>
      </c>
      <c r="CC57" s="104" t="s">
        <v>1176</v>
      </c>
      <c r="CD57" s="104" t="s">
        <v>1176</v>
      </c>
      <c r="CE57" s="104" t="s">
        <v>1176</v>
      </c>
      <c r="CF57" s="104" t="s">
        <v>1176</v>
      </c>
      <c r="CG57" s="104" t="s">
        <v>1176</v>
      </c>
      <c r="CH57" s="104" t="s">
        <v>1176</v>
      </c>
      <c r="CI57" s="104" t="s">
        <v>1176</v>
      </c>
      <c r="CJ57" s="104" t="s">
        <v>1176</v>
      </c>
      <c r="CK57" s="104" t="s">
        <v>1176</v>
      </c>
      <c r="CL57" s="104" t="s">
        <v>1176</v>
      </c>
      <c r="CM57" s="104" t="s">
        <v>1176</v>
      </c>
      <c r="CN57" s="104" t="s">
        <v>1176</v>
      </c>
      <c r="CO57" s="104" t="s">
        <v>1176</v>
      </c>
    </row>
    <row r="58" s="102" customFormat="1" ht="15" spans="1:93">
      <c r="A58" s="104" t="s">
        <v>1345</v>
      </c>
      <c r="B58" s="104" t="s">
        <v>1146</v>
      </c>
      <c r="C58" s="104" t="s">
        <v>1147</v>
      </c>
      <c r="D58" s="104" t="s">
        <v>1523</v>
      </c>
      <c r="E58" s="104" t="s">
        <v>1524</v>
      </c>
      <c r="F58" s="104">
        <f t="shared" si="0"/>
        <v>3244</v>
      </c>
      <c r="G58" s="104" t="s">
        <v>1525</v>
      </c>
      <c r="H58" s="104" t="s">
        <v>1176</v>
      </c>
      <c r="I58" s="104" t="s">
        <v>1176</v>
      </c>
      <c r="J58" s="104" t="s">
        <v>1176</v>
      </c>
      <c r="K58" s="104" t="s">
        <v>1176</v>
      </c>
      <c r="L58" s="104" t="s">
        <v>1526</v>
      </c>
      <c r="M58" s="104" t="s">
        <v>1527</v>
      </c>
      <c r="N58" s="104" t="s">
        <v>1180</v>
      </c>
      <c r="O58" s="104" t="s">
        <v>1176</v>
      </c>
      <c r="P58" s="104" t="s">
        <v>1176</v>
      </c>
      <c r="Q58" s="104" t="s">
        <v>1176</v>
      </c>
      <c r="R58" s="104" t="s">
        <v>1176</v>
      </c>
      <c r="S58" s="104" t="s">
        <v>1176</v>
      </c>
      <c r="T58" s="104" t="s">
        <v>1176</v>
      </c>
      <c r="U58" s="104" t="s">
        <v>1187</v>
      </c>
      <c r="V58" s="104" t="s">
        <v>1528</v>
      </c>
      <c r="W58" s="104" t="s">
        <v>1176</v>
      </c>
      <c r="X58" s="104" t="s">
        <v>1529</v>
      </c>
      <c r="Y58" s="104" t="s">
        <v>1312</v>
      </c>
      <c r="Z58" s="104" t="s">
        <v>1530</v>
      </c>
      <c r="AA58" s="104" t="s">
        <v>1176</v>
      </c>
      <c r="AB58" s="104" t="s">
        <v>1176</v>
      </c>
      <c r="AC58" s="104" t="s">
        <v>1212</v>
      </c>
      <c r="AD58" s="104" t="s">
        <v>1531</v>
      </c>
      <c r="AE58" s="104" t="s">
        <v>1176</v>
      </c>
      <c r="AF58" s="104" t="s">
        <v>1176</v>
      </c>
      <c r="AG58" s="104" t="s">
        <v>1176</v>
      </c>
      <c r="AH58" s="104" t="s">
        <v>1176</v>
      </c>
      <c r="AI58" s="104" t="s">
        <v>1196</v>
      </c>
      <c r="AJ58" s="104" t="s">
        <v>1532</v>
      </c>
      <c r="AK58" s="104" t="s">
        <v>1533</v>
      </c>
      <c r="AL58" s="104" t="s">
        <v>1534</v>
      </c>
      <c r="AM58" s="104" t="s">
        <v>1176</v>
      </c>
      <c r="AN58" s="104" t="s">
        <v>1188</v>
      </c>
      <c r="AO58" s="104" t="s">
        <v>1176</v>
      </c>
      <c r="AP58" s="104" t="s">
        <v>1176</v>
      </c>
      <c r="AQ58" s="104" t="s">
        <v>1176</v>
      </c>
      <c r="AR58" s="104" t="s">
        <v>1176</v>
      </c>
      <c r="AS58" s="104" t="s">
        <v>1176</v>
      </c>
      <c r="AT58" s="104" t="s">
        <v>1176</v>
      </c>
      <c r="AU58" s="104" t="s">
        <v>1176</v>
      </c>
      <c r="AV58" s="104" t="s">
        <v>1176</v>
      </c>
      <c r="AW58" s="104" t="s">
        <v>1176</v>
      </c>
      <c r="AX58" s="104" t="s">
        <v>1176</v>
      </c>
      <c r="AY58" s="104" t="s">
        <v>1176</v>
      </c>
      <c r="AZ58" s="104" t="s">
        <v>1176</v>
      </c>
      <c r="BA58" s="104" t="s">
        <v>1176</v>
      </c>
      <c r="BB58" s="104" t="s">
        <v>1176</v>
      </c>
      <c r="BC58" s="104" t="s">
        <v>1176</v>
      </c>
      <c r="BD58" s="104" t="s">
        <v>1176</v>
      </c>
      <c r="BE58" s="104" t="s">
        <v>1176</v>
      </c>
      <c r="BF58" s="104" t="s">
        <v>1176</v>
      </c>
      <c r="BG58" s="104" t="s">
        <v>1535</v>
      </c>
      <c r="BH58" s="104" t="s">
        <v>1535</v>
      </c>
      <c r="BI58" s="104" t="s">
        <v>1536</v>
      </c>
      <c r="BJ58" s="104" t="s">
        <v>1176</v>
      </c>
      <c r="BK58" s="104" t="s">
        <v>1176</v>
      </c>
      <c r="BL58" s="104" t="s">
        <v>1176</v>
      </c>
      <c r="BM58" s="104" t="s">
        <v>1176</v>
      </c>
      <c r="BN58" s="104" t="s">
        <v>1176</v>
      </c>
      <c r="BO58" s="104" t="s">
        <v>1176</v>
      </c>
      <c r="BP58" s="104" t="s">
        <v>1176</v>
      </c>
      <c r="BQ58" s="104" t="s">
        <v>1176</v>
      </c>
      <c r="BR58" s="104" t="s">
        <v>1176</v>
      </c>
      <c r="BS58" s="104" t="s">
        <v>1176</v>
      </c>
      <c r="BT58" s="104" t="s">
        <v>1537</v>
      </c>
      <c r="BU58" s="104" t="s">
        <v>1538</v>
      </c>
      <c r="BV58" s="104" t="s">
        <v>1176</v>
      </c>
      <c r="BW58" s="104" t="s">
        <v>1176</v>
      </c>
      <c r="BX58" s="104" t="s">
        <v>1172</v>
      </c>
      <c r="BY58" s="104" t="s">
        <v>1172</v>
      </c>
      <c r="BZ58" s="104" t="s">
        <v>1176</v>
      </c>
      <c r="CA58" s="104" t="s">
        <v>1176</v>
      </c>
      <c r="CB58" s="104" t="s">
        <v>1176</v>
      </c>
      <c r="CC58" s="104" t="s">
        <v>1176</v>
      </c>
      <c r="CD58" s="104" t="s">
        <v>1176</v>
      </c>
      <c r="CE58" s="104" t="s">
        <v>1176</v>
      </c>
      <c r="CF58" s="104" t="s">
        <v>1176</v>
      </c>
      <c r="CG58" s="104" t="s">
        <v>1176</v>
      </c>
      <c r="CH58" s="104" t="s">
        <v>1176</v>
      </c>
      <c r="CI58" s="104" t="s">
        <v>1176</v>
      </c>
      <c r="CJ58" s="104" t="s">
        <v>1176</v>
      </c>
      <c r="CK58" s="104" t="s">
        <v>1176</v>
      </c>
      <c r="CL58" s="104" t="s">
        <v>1176</v>
      </c>
      <c r="CM58" s="104" t="s">
        <v>1176</v>
      </c>
      <c r="CN58" s="104" t="s">
        <v>1176</v>
      </c>
      <c r="CO58" s="104" t="s">
        <v>1176</v>
      </c>
    </row>
    <row r="59" s="102" customFormat="1" ht="15" spans="1:93">
      <c r="A59" s="104" t="s">
        <v>1429</v>
      </c>
      <c r="B59" s="104" t="s">
        <v>1146</v>
      </c>
      <c r="C59" s="104" t="s">
        <v>1147</v>
      </c>
      <c r="D59" s="104" t="s">
        <v>1539</v>
      </c>
      <c r="E59" s="104" t="s">
        <v>1540</v>
      </c>
      <c r="F59" s="104">
        <f t="shared" si="0"/>
        <v>4683</v>
      </c>
      <c r="G59" s="104" t="s">
        <v>1541</v>
      </c>
      <c r="H59" s="104" t="s">
        <v>1176</v>
      </c>
      <c r="I59" s="104" t="s">
        <v>1176</v>
      </c>
      <c r="J59" s="104" t="s">
        <v>1176</v>
      </c>
      <c r="K59" s="104" t="s">
        <v>1176</v>
      </c>
      <c r="L59" s="104" t="s">
        <v>1542</v>
      </c>
      <c r="M59" s="104" t="s">
        <v>1543</v>
      </c>
      <c r="N59" s="104" t="s">
        <v>1201</v>
      </c>
      <c r="O59" s="104" t="s">
        <v>1176</v>
      </c>
      <c r="P59" s="104" t="s">
        <v>1172</v>
      </c>
      <c r="Q59" s="104" t="s">
        <v>1176</v>
      </c>
      <c r="R59" s="104" t="s">
        <v>1176</v>
      </c>
      <c r="S59" s="104" t="s">
        <v>1176</v>
      </c>
      <c r="T59" s="104" t="s">
        <v>1176</v>
      </c>
      <c r="U59" s="104" t="s">
        <v>1232</v>
      </c>
      <c r="V59" s="104" t="s">
        <v>1544</v>
      </c>
      <c r="W59" s="104" t="s">
        <v>1176</v>
      </c>
      <c r="X59" s="104" t="s">
        <v>1545</v>
      </c>
      <c r="Y59" s="104" t="s">
        <v>1546</v>
      </c>
      <c r="Z59" s="104" t="s">
        <v>1547</v>
      </c>
      <c r="AA59" s="104" t="s">
        <v>1176</v>
      </c>
      <c r="AB59" s="104" t="s">
        <v>1176</v>
      </c>
      <c r="AC59" s="104" t="s">
        <v>1180</v>
      </c>
      <c r="AD59" s="104" t="s">
        <v>1548</v>
      </c>
      <c r="AE59" s="104" t="s">
        <v>1176</v>
      </c>
      <c r="AF59" s="104" t="s">
        <v>1176</v>
      </c>
      <c r="AG59" s="104" t="s">
        <v>1176</v>
      </c>
      <c r="AH59" s="104" t="s">
        <v>1176</v>
      </c>
      <c r="AI59" s="104" t="s">
        <v>1549</v>
      </c>
      <c r="AJ59" s="104" t="s">
        <v>1550</v>
      </c>
      <c r="AK59" s="104" t="s">
        <v>1551</v>
      </c>
      <c r="AL59" s="104" t="s">
        <v>1552</v>
      </c>
      <c r="AM59" s="104" t="s">
        <v>1176</v>
      </c>
      <c r="AN59" s="104" t="s">
        <v>1196</v>
      </c>
      <c r="AO59" s="104" t="s">
        <v>1176</v>
      </c>
      <c r="AP59" s="104" t="s">
        <v>1176</v>
      </c>
      <c r="AQ59" s="104" t="s">
        <v>1176</v>
      </c>
      <c r="AR59" s="104" t="s">
        <v>1176</v>
      </c>
      <c r="AS59" s="104" t="s">
        <v>1176</v>
      </c>
      <c r="AT59" s="104" t="s">
        <v>1176</v>
      </c>
      <c r="AU59" s="104" t="s">
        <v>1176</v>
      </c>
      <c r="AV59" s="104" t="s">
        <v>1176</v>
      </c>
      <c r="AW59" s="104" t="s">
        <v>1176</v>
      </c>
      <c r="AX59" s="104" t="s">
        <v>1176</v>
      </c>
      <c r="AY59" s="104" t="s">
        <v>1176</v>
      </c>
      <c r="AZ59" s="104" t="s">
        <v>1176</v>
      </c>
      <c r="BA59" s="104" t="s">
        <v>1176</v>
      </c>
      <c r="BB59" s="104" t="s">
        <v>1176</v>
      </c>
      <c r="BC59" s="104" t="s">
        <v>1176</v>
      </c>
      <c r="BD59" s="104" t="s">
        <v>1176</v>
      </c>
      <c r="BE59" s="104" t="s">
        <v>1176</v>
      </c>
      <c r="BF59" s="104" t="s">
        <v>1176</v>
      </c>
      <c r="BG59" s="104" t="s">
        <v>1367</v>
      </c>
      <c r="BH59" s="104" t="s">
        <v>1367</v>
      </c>
      <c r="BI59" s="104" t="s">
        <v>1553</v>
      </c>
      <c r="BJ59" s="104" t="s">
        <v>1176</v>
      </c>
      <c r="BK59" s="104" t="s">
        <v>1176</v>
      </c>
      <c r="BL59" s="104" t="s">
        <v>1176</v>
      </c>
      <c r="BM59" s="104" t="s">
        <v>1176</v>
      </c>
      <c r="BN59" s="104" t="s">
        <v>1176</v>
      </c>
      <c r="BO59" s="104" t="s">
        <v>1176</v>
      </c>
      <c r="BP59" s="104" t="s">
        <v>1176</v>
      </c>
      <c r="BQ59" s="104" t="s">
        <v>1176</v>
      </c>
      <c r="BR59" s="104" t="s">
        <v>1176</v>
      </c>
      <c r="BS59" s="104" t="s">
        <v>1176</v>
      </c>
      <c r="BT59" s="104" t="s">
        <v>1476</v>
      </c>
      <c r="BU59" s="104" t="s">
        <v>1554</v>
      </c>
      <c r="BV59" s="104" t="s">
        <v>1176</v>
      </c>
      <c r="BW59" s="104" t="s">
        <v>1176</v>
      </c>
      <c r="BX59" s="104" t="s">
        <v>1356</v>
      </c>
      <c r="BY59" s="104" t="s">
        <v>1555</v>
      </c>
      <c r="BZ59" s="104" t="s">
        <v>1176</v>
      </c>
      <c r="CA59" s="104" t="s">
        <v>1176</v>
      </c>
      <c r="CB59" s="104" t="s">
        <v>1176</v>
      </c>
      <c r="CC59" s="104" t="s">
        <v>1176</v>
      </c>
      <c r="CD59" s="104" t="s">
        <v>1176</v>
      </c>
      <c r="CE59" s="104" t="s">
        <v>1176</v>
      </c>
      <c r="CF59" s="104" t="s">
        <v>1176</v>
      </c>
      <c r="CG59" s="104" t="s">
        <v>1176</v>
      </c>
      <c r="CH59" s="104" t="s">
        <v>1176</v>
      </c>
      <c r="CI59" s="104" t="s">
        <v>1176</v>
      </c>
      <c r="CJ59" s="104" t="s">
        <v>1176</v>
      </c>
      <c r="CK59" s="104" t="s">
        <v>1176</v>
      </c>
      <c r="CL59" s="104" t="s">
        <v>1176</v>
      </c>
      <c r="CM59" s="104" t="s">
        <v>1176</v>
      </c>
      <c r="CN59" s="104" t="s">
        <v>1176</v>
      </c>
      <c r="CO59" s="104" t="s">
        <v>1176</v>
      </c>
    </row>
    <row r="60" s="102" customFormat="1" ht="15" spans="1:93">
      <c r="A60" s="104" t="s">
        <v>1556</v>
      </c>
      <c r="B60" s="104" t="s">
        <v>1146</v>
      </c>
      <c r="C60" s="104" t="s">
        <v>1147</v>
      </c>
      <c r="D60" s="104" t="s">
        <v>1557</v>
      </c>
      <c r="E60" s="104" t="s">
        <v>1558</v>
      </c>
      <c r="F60" s="104">
        <f t="shared" si="0"/>
        <v>5097</v>
      </c>
      <c r="G60" s="104" t="s">
        <v>1559</v>
      </c>
      <c r="H60" s="104" t="s">
        <v>1176</v>
      </c>
      <c r="I60" s="104" t="s">
        <v>1176</v>
      </c>
      <c r="J60" s="104" t="s">
        <v>1176</v>
      </c>
      <c r="K60" s="104" t="s">
        <v>1176</v>
      </c>
      <c r="L60" s="104" t="s">
        <v>1560</v>
      </c>
      <c r="M60" s="104" t="s">
        <v>1561</v>
      </c>
      <c r="N60" s="104" t="s">
        <v>1201</v>
      </c>
      <c r="O60" s="104" t="s">
        <v>1176</v>
      </c>
      <c r="P60" s="104" t="s">
        <v>1176</v>
      </c>
      <c r="Q60" s="104" t="s">
        <v>1176</v>
      </c>
      <c r="R60" s="104" t="s">
        <v>1176</v>
      </c>
      <c r="S60" s="104" t="s">
        <v>1176</v>
      </c>
      <c r="T60" s="104" t="s">
        <v>1176</v>
      </c>
      <c r="U60" s="104" t="s">
        <v>1196</v>
      </c>
      <c r="V60" s="104" t="s">
        <v>1562</v>
      </c>
      <c r="W60" s="104" t="s">
        <v>1176</v>
      </c>
      <c r="X60" s="104" t="s">
        <v>1563</v>
      </c>
      <c r="Y60" s="104" t="s">
        <v>1564</v>
      </c>
      <c r="Z60" s="104" t="s">
        <v>1565</v>
      </c>
      <c r="AA60" s="104" t="s">
        <v>1176</v>
      </c>
      <c r="AB60" s="104" t="s">
        <v>1176</v>
      </c>
      <c r="AC60" s="104" t="s">
        <v>1176</v>
      </c>
      <c r="AD60" s="104" t="s">
        <v>1176</v>
      </c>
      <c r="AE60" s="104" t="s">
        <v>1176</v>
      </c>
      <c r="AF60" s="104" t="s">
        <v>1176</v>
      </c>
      <c r="AG60" s="104" t="s">
        <v>1176</v>
      </c>
      <c r="AH60" s="104" t="s">
        <v>1176</v>
      </c>
      <c r="AI60" s="104" t="s">
        <v>1566</v>
      </c>
      <c r="AJ60" s="104" t="s">
        <v>1567</v>
      </c>
      <c r="AK60" s="104" t="s">
        <v>1281</v>
      </c>
      <c r="AL60" s="104" t="s">
        <v>1568</v>
      </c>
      <c r="AM60" s="104" t="s">
        <v>1176</v>
      </c>
      <c r="AN60" s="104" t="s">
        <v>1179</v>
      </c>
      <c r="AO60" s="104" t="s">
        <v>1176</v>
      </c>
      <c r="AP60" s="104" t="s">
        <v>1176</v>
      </c>
      <c r="AQ60" s="104" t="s">
        <v>1176</v>
      </c>
      <c r="AR60" s="104" t="s">
        <v>1176</v>
      </c>
      <c r="AS60" s="104" t="s">
        <v>1176</v>
      </c>
      <c r="AT60" s="104" t="s">
        <v>1176</v>
      </c>
      <c r="AU60" s="104" t="s">
        <v>1176</v>
      </c>
      <c r="AV60" s="104" t="s">
        <v>1176</v>
      </c>
      <c r="AW60" s="104" t="s">
        <v>1176</v>
      </c>
      <c r="AX60" s="104" t="s">
        <v>1176</v>
      </c>
      <c r="AY60" s="104" t="s">
        <v>1176</v>
      </c>
      <c r="AZ60" s="104" t="s">
        <v>1176</v>
      </c>
      <c r="BA60" s="104" t="s">
        <v>1176</v>
      </c>
      <c r="BB60" s="104" t="s">
        <v>1176</v>
      </c>
      <c r="BC60" s="104" t="s">
        <v>1176</v>
      </c>
      <c r="BD60" s="104" t="s">
        <v>1176</v>
      </c>
      <c r="BE60" s="104" t="s">
        <v>1176</v>
      </c>
      <c r="BF60" s="104" t="s">
        <v>1176</v>
      </c>
      <c r="BG60" s="104" t="s">
        <v>1350</v>
      </c>
      <c r="BH60" s="104" t="s">
        <v>1350</v>
      </c>
      <c r="BI60" s="104" t="s">
        <v>1569</v>
      </c>
      <c r="BJ60" s="104" t="s">
        <v>1176</v>
      </c>
      <c r="BK60" s="104" t="s">
        <v>1176</v>
      </c>
      <c r="BL60" s="104" t="s">
        <v>1176</v>
      </c>
      <c r="BM60" s="104" t="s">
        <v>1176</v>
      </c>
      <c r="BN60" s="104" t="s">
        <v>1172</v>
      </c>
      <c r="BO60" s="104" t="s">
        <v>1172</v>
      </c>
      <c r="BP60" s="104" t="s">
        <v>1176</v>
      </c>
      <c r="BQ60" s="104" t="s">
        <v>1176</v>
      </c>
      <c r="BR60" s="104" t="s">
        <v>1172</v>
      </c>
      <c r="BS60" s="104" t="s">
        <v>1570</v>
      </c>
      <c r="BT60" s="104" t="s">
        <v>1264</v>
      </c>
      <c r="BU60" s="104" t="s">
        <v>1571</v>
      </c>
      <c r="BV60" s="104" t="s">
        <v>1176</v>
      </c>
      <c r="BW60" s="104" t="s">
        <v>1176</v>
      </c>
      <c r="BX60" s="104" t="s">
        <v>1176</v>
      </c>
      <c r="BY60" s="104" t="s">
        <v>1176</v>
      </c>
      <c r="BZ60" s="104" t="s">
        <v>1176</v>
      </c>
      <c r="CA60" s="104" t="s">
        <v>1176</v>
      </c>
      <c r="CB60" s="104" t="s">
        <v>1176</v>
      </c>
      <c r="CC60" s="104" t="s">
        <v>1176</v>
      </c>
      <c r="CD60" s="104" t="s">
        <v>1176</v>
      </c>
      <c r="CE60" s="104" t="s">
        <v>1176</v>
      </c>
      <c r="CF60" s="104" t="s">
        <v>1176</v>
      </c>
      <c r="CG60" s="104" t="s">
        <v>1176</v>
      </c>
      <c r="CH60" s="104" t="s">
        <v>1176</v>
      </c>
      <c r="CI60" s="104" t="s">
        <v>1176</v>
      </c>
      <c r="CJ60" s="104" t="s">
        <v>1176</v>
      </c>
      <c r="CK60" s="104" t="s">
        <v>1176</v>
      </c>
      <c r="CL60" s="104" t="s">
        <v>1176</v>
      </c>
      <c r="CM60" s="104" t="s">
        <v>1176</v>
      </c>
      <c r="CN60" s="104" t="s">
        <v>1176</v>
      </c>
      <c r="CO60" s="104" t="s">
        <v>1176</v>
      </c>
    </row>
    <row r="61" s="102" customFormat="1" ht="15" spans="1:93">
      <c r="A61" s="104" t="s">
        <v>1455</v>
      </c>
      <c r="B61" s="104" t="s">
        <v>1146</v>
      </c>
      <c r="C61" s="104" t="s">
        <v>1147</v>
      </c>
      <c r="D61" s="104" t="s">
        <v>1572</v>
      </c>
      <c r="E61" s="104" t="s">
        <v>1573</v>
      </c>
      <c r="F61" s="104">
        <f t="shared" si="0"/>
        <v>2951</v>
      </c>
      <c r="G61" s="104" t="s">
        <v>1574</v>
      </c>
      <c r="H61" s="104" t="s">
        <v>1176</v>
      </c>
      <c r="I61" s="104" t="s">
        <v>1176</v>
      </c>
      <c r="J61" s="104" t="s">
        <v>1176</v>
      </c>
      <c r="K61" s="104" t="s">
        <v>1176</v>
      </c>
      <c r="L61" s="104" t="s">
        <v>1575</v>
      </c>
      <c r="M61" s="104" t="s">
        <v>1576</v>
      </c>
      <c r="N61" s="104" t="s">
        <v>1172</v>
      </c>
      <c r="O61" s="104" t="s">
        <v>1176</v>
      </c>
      <c r="P61" s="104" t="s">
        <v>1172</v>
      </c>
      <c r="Q61" s="104" t="s">
        <v>1176</v>
      </c>
      <c r="R61" s="104" t="s">
        <v>1176</v>
      </c>
      <c r="S61" s="104" t="s">
        <v>1176</v>
      </c>
      <c r="T61" s="104" t="s">
        <v>1176</v>
      </c>
      <c r="U61" s="104" t="s">
        <v>1179</v>
      </c>
      <c r="V61" s="104" t="s">
        <v>1577</v>
      </c>
      <c r="W61" s="104" t="s">
        <v>1176</v>
      </c>
      <c r="X61" s="104" t="s">
        <v>1578</v>
      </c>
      <c r="Y61" s="104" t="s">
        <v>1579</v>
      </c>
      <c r="Z61" s="104" t="s">
        <v>1580</v>
      </c>
      <c r="AA61" s="104" t="s">
        <v>1176</v>
      </c>
      <c r="AB61" s="104" t="s">
        <v>1176</v>
      </c>
      <c r="AC61" s="104" t="s">
        <v>1203</v>
      </c>
      <c r="AD61" s="104" t="s">
        <v>1581</v>
      </c>
      <c r="AE61" s="104" t="s">
        <v>1176</v>
      </c>
      <c r="AF61" s="104" t="s">
        <v>1176</v>
      </c>
      <c r="AG61" s="104" t="s">
        <v>1176</v>
      </c>
      <c r="AH61" s="104" t="s">
        <v>1176</v>
      </c>
      <c r="AI61" s="104" t="s">
        <v>1582</v>
      </c>
      <c r="AJ61" s="104" t="s">
        <v>1583</v>
      </c>
      <c r="AK61" s="104" t="s">
        <v>1584</v>
      </c>
      <c r="AL61" s="104" t="s">
        <v>1585</v>
      </c>
      <c r="AM61" s="104" t="s">
        <v>1176</v>
      </c>
      <c r="AN61" s="104" t="s">
        <v>1211</v>
      </c>
      <c r="AO61" s="104" t="s">
        <v>1176</v>
      </c>
      <c r="AP61" s="104" t="s">
        <v>1176</v>
      </c>
      <c r="AQ61" s="104" t="s">
        <v>1176</v>
      </c>
      <c r="AR61" s="104" t="s">
        <v>1176</v>
      </c>
      <c r="AS61" s="104" t="s">
        <v>1176</v>
      </c>
      <c r="AT61" s="104" t="s">
        <v>1176</v>
      </c>
      <c r="AU61" s="104" t="s">
        <v>1176</v>
      </c>
      <c r="AV61" s="104" t="s">
        <v>1176</v>
      </c>
      <c r="AW61" s="104" t="s">
        <v>1176</v>
      </c>
      <c r="AX61" s="104" t="s">
        <v>1176</v>
      </c>
      <c r="AY61" s="104" t="s">
        <v>1176</v>
      </c>
      <c r="AZ61" s="104" t="s">
        <v>1176</v>
      </c>
      <c r="BA61" s="104" t="s">
        <v>1176</v>
      </c>
      <c r="BB61" s="104" t="s">
        <v>1176</v>
      </c>
      <c r="BC61" s="104" t="s">
        <v>1176</v>
      </c>
      <c r="BD61" s="104" t="s">
        <v>1176</v>
      </c>
      <c r="BE61" s="104" t="s">
        <v>1176</v>
      </c>
      <c r="BF61" s="104" t="s">
        <v>1176</v>
      </c>
      <c r="BG61" s="104" t="s">
        <v>1586</v>
      </c>
      <c r="BH61" s="104" t="s">
        <v>1586</v>
      </c>
      <c r="BI61" s="104" t="s">
        <v>1587</v>
      </c>
      <c r="BJ61" s="104" t="s">
        <v>1176</v>
      </c>
      <c r="BK61" s="104" t="s">
        <v>1176</v>
      </c>
      <c r="BL61" s="104" t="s">
        <v>1176</v>
      </c>
      <c r="BM61" s="104" t="s">
        <v>1176</v>
      </c>
      <c r="BN61" s="104" t="s">
        <v>1586</v>
      </c>
      <c r="BO61" s="104" t="s">
        <v>1587</v>
      </c>
      <c r="BP61" s="104" t="s">
        <v>1176</v>
      </c>
      <c r="BQ61" s="104" t="s">
        <v>1176</v>
      </c>
      <c r="BR61" s="104" t="s">
        <v>1176</v>
      </c>
      <c r="BS61" s="104" t="s">
        <v>1176</v>
      </c>
      <c r="BT61" s="104" t="s">
        <v>1176</v>
      </c>
      <c r="BU61" s="104" t="s">
        <v>1176</v>
      </c>
      <c r="BV61" s="104" t="s">
        <v>1176</v>
      </c>
      <c r="BW61" s="104" t="s">
        <v>1176</v>
      </c>
      <c r="BX61" s="104" t="s">
        <v>1176</v>
      </c>
      <c r="BY61" s="104" t="s">
        <v>1176</v>
      </c>
      <c r="BZ61" s="104" t="s">
        <v>1176</v>
      </c>
      <c r="CA61" s="104" t="s">
        <v>1176</v>
      </c>
      <c r="CB61" s="104" t="s">
        <v>1176</v>
      </c>
      <c r="CC61" s="104" t="s">
        <v>1176</v>
      </c>
      <c r="CD61" s="104" t="s">
        <v>1176</v>
      </c>
      <c r="CE61" s="104" t="s">
        <v>1176</v>
      </c>
      <c r="CF61" s="104" t="s">
        <v>1176</v>
      </c>
      <c r="CG61" s="104" t="s">
        <v>1176</v>
      </c>
      <c r="CH61" s="104" t="s">
        <v>1176</v>
      </c>
      <c r="CI61" s="104" t="s">
        <v>1176</v>
      </c>
      <c r="CJ61" s="104" t="s">
        <v>1176</v>
      </c>
      <c r="CK61" s="104" t="s">
        <v>1176</v>
      </c>
      <c r="CL61" s="104" t="s">
        <v>1176</v>
      </c>
      <c r="CM61" s="104" t="s">
        <v>1176</v>
      </c>
      <c r="CN61" s="104" t="s">
        <v>1176</v>
      </c>
      <c r="CO61" s="104" t="s">
        <v>1176</v>
      </c>
    </row>
    <row r="62" s="102" customFormat="1" ht="15" spans="1:93">
      <c r="A62" s="104" t="s">
        <v>1412</v>
      </c>
      <c r="B62" s="104" t="s">
        <v>1146</v>
      </c>
      <c r="C62" s="104" t="s">
        <v>1147</v>
      </c>
      <c r="D62" s="104" t="s">
        <v>1588</v>
      </c>
      <c r="E62" s="104" t="s">
        <v>1589</v>
      </c>
      <c r="F62" s="104">
        <f t="shared" si="0"/>
        <v>882</v>
      </c>
      <c r="G62" s="104" t="s">
        <v>1589</v>
      </c>
      <c r="H62" s="104" t="s">
        <v>1176</v>
      </c>
      <c r="I62" s="104" t="s">
        <v>1176</v>
      </c>
      <c r="J62" s="104" t="s">
        <v>1176</v>
      </c>
      <c r="K62" s="104" t="s">
        <v>1176</v>
      </c>
      <c r="L62" s="104" t="s">
        <v>1570</v>
      </c>
      <c r="M62" s="104" t="s">
        <v>1590</v>
      </c>
      <c r="N62" s="104" t="s">
        <v>1172</v>
      </c>
      <c r="O62" s="104" t="s">
        <v>1176</v>
      </c>
      <c r="P62" s="104" t="s">
        <v>1176</v>
      </c>
      <c r="Q62" s="104" t="s">
        <v>1176</v>
      </c>
      <c r="R62" s="104" t="s">
        <v>1176</v>
      </c>
      <c r="S62" s="104" t="s">
        <v>1176</v>
      </c>
      <c r="T62" s="104" t="s">
        <v>1176</v>
      </c>
      <c r="U62" s="104" t="s">
        <v>1176</v>
      </c>
      <c r="V62" s="104" t="s">
        <v>1362</v>
      </c>
      <c r="W62" s="104" t="s">
        <v>1176</v>
      </c>
      <c r="X62" s="104" t="s">
        <v>1176</v>
      </c>
      <c r="Y62" s="104" t="s">
        <v>1176</v>
      </c>
      <c r="Z62" s="104" t="s">
        <v>1176</v>
      </c>
      <c r="AA62" s="104" t="s">
        <v>1176</v>
      </c>
      <c r="AB62" s="104" t="s">
        <v>1176</v>
      </c>
      <c r="AC62" s="104" t="s">
        <v>1176</v>
      </c>
      <c r="AD62" s="104" t="s">
        <v>1176</v>
      </c>
      <c r="AE62" s="104" t="s">
        <v>1176</v>
      </c>
      <c r="AF62" s="104" t="s">
        <v>1176</v>
      </c>
      <c r="AG62" s="104" t="s">
        <v>1176</v>
      </c>
      <c r="AH62" s="104" t="s">
        <v>1176</v>
      </c>
      <c r="AI62" s="104" t="s">
        <v>1176</v>
      </c>
      <c r="AJ62" s="104" t="s">
        <v>1176</v>
      </c>
      <c r="AK62" s="104" t="s">
        <v>1176</v>
      </c>
      <c r="AL62" s="104" t="s">
        <v>1176</v>
      </c>
      <c r="AM62" s="104" t="s">
        <v>1176</v>
      </c>
      <c r="AN62" s="104" t="s">
        <v>1176</v>
      </c>
      <c r="AO62" s="104" t="s">
        <v>1176</v>
      </c>
      <c r="AP62" s="104" t="s">
        <v>1176</v>
      </c>
      <c r="AQ62" s="104" t="s">
        <v>1176</v>
      </c>
      <c r="AR62" s="104" t="s">
        <v>1176</v>
      </c>
      <c r="AS62" s="104" t="s">
        <v>1176</v>
      </c>
      <c r="AT62" s="104" t="s">
        <v>1176</v>
      </c>
      <c r="AU62" s="104" t="s">
        <v>1176</v>
      </c>
      <c r="AV62" s="104" t="s">
        <v>1176</v>
      </c>
      <c r="AW62" s="104" t="s">
        <v>1176</v>
      </c>
      <c r="AX62" s="104" t="s">
        <v>1176</v>
      </c>
      <c r="AY62" s="104" t="s">
        <v>1176</v>
      </c>
      <c r="AZ62" s="104" t="s">
        <v>1176</v>
      </c>
      <c r="BA62" s="104" t="s">
        <v>1176</v>
      </c>
      <c r="BB62" s="104" t="s">
        <v>1176</v>
      </c>
      <c r="BC62" s="104" t="s">
        <v>1176</v>
      </c>
      <c r="BD62" s="104" t="s">
        <v>1176</v>
      </c>
      <c r="BE62" s="104" t="s">
        <v>1176</v>
      </c>
      <c r="BF62" s="104" t="s">
        <v>1176</v>
      </c>
      <c r="BG62" s="104" t="s">
        <v>1176</v>
      </c>
      <c r="BH62" s="104" t="s">
        <v>1176</v>
      </c>
      <c r="BI62" s="104" t="s">
        <v>1176</v>
      </c>
      <c r="BJ62" s="104" t="s">
        <v>1176</v>
      </c>
      <c r="BK62" s="104" t="s">
        <v>1176</v>
      </c>
      <c r="BL62" s="104" t="s">
        <v>1176</v>
      </c>
      <c r="BM62" s="104" t="s">
        <v>1176</v>
      </c>
      <c r="BN62" s="104" t="s">
        <v>1176</v>
      </c>
      <c r="BO62" s="104" t="s">
        <v>1176</v>
      </c>
      <c r="BP62" s="104" t="s">
        <v>1176</v>
      </c>
      <c r="BQ62" s="104" t="s">
        <v>1176</v>
      </c>
      <c r="BR62" s="104" t="s">
        <v>1176</v>
      </c>
      <c r="BS62" s="104" t="s">
        <v>1176</v>
      </c>
      <c r="BT62" s="104" t="s">
        <v>1176</v>
      </c>
      <c r="BU62" s="104" t="s">
        <v>1176</v>
      </c>
      <c r="BV62" s="104" t="s">
        <v>1176</v>
      </c>
      <c r="BW62" s="104" t="s">
        <v>1176</v>
      </c>
      <c r="BX62" s="104" t="s">
        <v>1176</v>
      </c>
      <c r="BY62" s="104" t="s">
        <v>1176</v>
      </c>
      <c r="BZ62" s="104" t="s">
        <v>1176</v>
      </c>
      <c r="CA62" s="104" t="s">
        <v>1176</v>
      </c>
      <c r="CB62" s="104" t="s">
        <v>1176</v>
      </c>
      <c r="CC62" s="104" t="s">
        <v>1176</v>
      </c>
      <c r="CD62" s="104" t="s">
        <v>1176</v>
      </c>
      <c r="CE62" s="104" t="s">
        <v>1176</v>
      </c>
      <c r="CF62" s="104" t="s">
        <v>1176</v>
      </c>
      <c r="CG62" s="104" t="s">
        <v>1176</v>
      </c>
      <c r="CH62" s="104" t="s">
        <v>1176</v>
      </c>
      <c r="CI62" s="104" t="s">
        <v>1176</v>
      </c>
      <c r="CJ62" s="104" t="s">
        <v>1176</v>
      </c>
      <c r="CK62" s="104" t="s">
        <v>1176</v>
      </c>
      <c r="CL62" s="104" t="s">
        <v>1176</v>
      </c>
      <c r="CM62" s="104" t="s">
        <v>1176</v>
      </c>
      <c r="CN62" s="104" t="s">
        <v>1176</v>
      </c>
      <c r="CO62" s="104" t="s">
        <v>1176</v>
      </c>
    </row>
    <row r="63" s="102" customFormat="1" ht="15" spans="1:93">
      <c r="A63" s="104" t="s">
        <v>1591</v>
      </c>
      <c r="B63" s="104" t="s">
        <v>1146</v>
      </c>
      <c r="C63" s="104" t="s">
        <v>1147</v>
      </c>
      <c r="D63" s="104" t="s">
        <v>1592</v>
      </c>
      <c r="E63" s="104" t="s">
        <v>1593</v>
      </c>
      <c r="F63" s="104">
        <f t="shared" si="0"/>
        <v>2590</v>
      </c>
      <c r="G63" s="104" t="s">
        <v>1594</v>
      </c>
      <c r="H63" s="104" t="s">
        <v>1176</v>
      </c>
      <c r="I63" s="104" t="s">
        <v>1176</v>
      </c>
      <c r="J63" s="104" t="s">
        <v>1176</v>
      </c>
      <c r="K63" s="104" t="s">
        <v>1176</v>
      </c>
      <c r="L63" s="104" t="s">
        <v>1595</v>
      </c>
      <c r="M63" s="104" t="s">
        <v>1596</v>
      </c>
      <c r="N63" s="104" t="s">
        <v>1188</v>
      </c>
      <c r="O63" s="104" t="s">
        <v>1176</v>
      </c>
      <c r="P63" s="104" t="s">
        <v>1176</v>
      </c>
      <c r="Q63" s="104" t="s">
        <v>1176</v>
      </c>
      <c r="R63" s="104" t="s">
        <v>1176</v>
      </c>
      <c r="S63" s="104" t="s">
        <v>1176</v>
      </c>
      <c r="T63" s="104" t="s">
        <v>1176</v>
      </c>
      <c r="U63" s="104" t="s">
        <v>1187</v>
      </c>
      <c r="V63" s="104" t="s">
        <v>1597</v>
      </c>
      <c r="W63" s="104" t="s">
        <v>1176</v>
      </c>
      <c r="X63" s="104" t="s">
        <v>1176</v>
      </c>
      <c r="Y63" s="104" t="s">
        <v>1176</v>
      </c>
      <c r="Z63" s="104" t="s">
        <v>1176</v>
      </c>
      <c r="AA63" s="104" t="s">
        <v>1176</v>
      </c>
      <c r="AB63" s="104" t="s">
        <v>1176</v>
      </c>
      <c r="AC63" s="104" t="s">
        <v>1176</v>
      </c>
      <c r="AD63" s="104" t="s">
        <v>1176</v>
      </c>
      <c r="AE63" s="104" t="s">
        <v>1176</v>
      </c>
      <c r="AF63" s="104" t="s">
        <v>1176</v>
      </c>
      <c r="AG63" s="104" t="s">
        <v>1176</v>
      </c>
      <c r="AH63" s="104" t="s">
        <v>1176</v>
      </c>
      <c r="AI63" s="104" t="s">
        <v>1176</v>
      </c>
      <c r="AJ63" s="104" t="s">
        <v>1176</v>
      </c>
      <c r="AK63" s="104" t="s">
        <v>1176</v>
      </c>
      <c r="AL63" s="104" t="s">
        <v>1176</v>
      </c>
      <c r="AM63" s="104" t="s">
        <v>1176</v>
      </c>
      <c r="AN63" s="104" t="s">
        <v>1176</v>
      </c>
      <c r="AO63" s="104" t="s">
        <v>1176</v>
      </c>
      <c r="AP63" s="104" t="s">
        <v>1176</v>
      </c>
      <c r="AQ63" s="104" t="s">
        <v>1176</v>
      </c>
      <c r="AR63" s="104" t="s">
        <v>1176</v>
      </c>
      <c r="AS63" s="104" t="s">
        <v>1176</v>
      </c>
      <c r="AT63" s="104" t="s">
        <v>1176</v>
      </c>
      <c r="AU63" s="104" t="s">
        <v>1176</v>
      </c>
      <c r="AV63" s="104" t="s">
        <v>1176</v>
      </c>
      <c r="AW63" s="104" t="s">
        <v>1176</v>
      </c>
      <c r="AX63" s="104" t="s">
        <v>1176</v>
      </c>
      <c r="AY63" s="104" t="s">
        <v>1176</v>
      </c>
      <c r="AZ63" s="104" t="s">
        <v>1176</v>
      </c>
      <c r="BA63" s="104" t="s">
        <v>1176</v>
      </c>
      <c r="BB63" s="104" t="s">
        <v>1176</v>
      </c>
      <c r="BC63" s="104" t="s">
        <v>1176</v>
      </c>
      <c r="BD63" s="104" t="s">
        <v>1176</v>
      </c>
      <c r="BE63" s="104" t="s">
        <v>1176</v>
      </c>
      <c r="BF63" s="104" t="s">
        <v>1176</v>
      </c>
      <c r="BG63" s="104" t="s">
        <v>1598</v>
      </c>
      <c r="BH63" s="104" t="s">
        <v>1598</v>
      </c>
      <c r="BI63" s="104" t="s">
        <v>1599</v>
      </c>
      <c r="BJ63" s="104" t="s">
        <v>1176</v>
      </c>
      <c r="BK63" s="104" t="s">
        <v>1176</v>
      </c>
      <c r="BL63" s="104" t="s">
        <v>1176</v>
      </c>
      <c r="BM63" s="104" t="s">
        <v>1176</v>
      </c>
      <c r="BN63" s="104" t="s">
        <v>1201</v>
      </c>
      <c r="BO63" s="104" t="s">
        <v>1201</v>
      </c>
      <c r="BP63" s="104" t="s">
        <v>1176</v>
      </c>
      <c r="BQ63" s="104" t="s">
        <v>1176</v>
      </c>
      <c r="BR63" s="104" t="s">
        <v>1176</v>
      </c>
      <c r="BS63" s="104" t="s">
        <v>1176</v>
      </c>
      <c r="BT63" s="104" t="s">
        <v>1314</v>
      </c>
      <c r="BU63" s="104" t="s">
        <v>1600</v>
      </c>
      <c r="BV63" s="104" t="s">
        <v>1176</v>
      </c>
      <c r="BW63" s="104" t="s">
        <v>1176</v>
      </c>
      <c r="BX63" s="104" t="s">
        <v>1176</v>
      </c>
      <c r="BY63" s="104" t="s">
        <v>1176</v>
      </c>
      <c r="BZ63" s="104" t="s">
        <v>1176</v>
      </c>
      <c r="CA63" s="104" t="s">
        <v>1176</v>
      </c>
      <c r="CB63" s="104" t="s">
        <v>1176</v>
      </c>
      <c r="CC63" s="104" t="s">
        <v>1176</v>
      </c>
      <c r="CD63" s="104" t="s">
        <v>1176</v>
      </c>
      <c r="CE63" s="104" t="s">
        <v>1176</v>
      </c>
      <c r="CF63" s="104" t="s">
        <v>1176</v>
      </c>
      <c r="CG63" s="104" t="s">
        <v>1176</v>
      </c>
      <c r="CH63" s="104" t="s">
        <v>1176</v>
      </c>
      <c r="CI63" s="104" t="s">
        <v>1176</v>
      </c>
      <c r="CJ63" s="104" t="s">
        <v>1176</v>
      </c>
      <c r="CK63" s="104" t="s">
        <v>1176</v>
      </c>
      <c r="CL63" s="104" t="s">
        <v>1176</v>
      </c>
      <c r="CM63" s="104" t="s">
        <v>1176</v>
      </c>
      <c r="CN63" s="104" t="s">
        <v>1176</v>
      </c>
      <c r="CO63" s="104" t="s">
        <v>1176</v>
      </c>
    </row>
    <row r="64" s="102" customFormat="1" ht="15" spans="1:93">
      <c r="A64" s="104" t="s">
        <v>1601</v>
      </c>
      <c r="B64" s="104" t="s">
        <v>1146</v>
      </c>
      <c r="C64" s="104" t="s">
        <v>1147</v>
      </c>
      <c r="D64" s="104" t="s">
        <v>1602</v>
      </c>
      <c r="E64" s="104" t="s">
        <v>1603</v>
      </c>
      <c r="F64" s="104">
        <f t="shared" si="0"/>
        <v>2514</v>
      </c>
      <c r="G64" s="104" t="s">
        <v>1604</v>
      </c>
      <c r="H64" s="104" t="s">
        <v>1176</v>
      </c>
      <c r="I64" s="104" t="s">
        <v>1176</v>
      </c>
      <c r="J64" s="104" t="s">
        <v>1176</v>
      </c>
      <c r="K64" s="104" t="s">
        <v>1176</v>
      </c>
      <c r="L64" s="104" t="s">
        <v>1586</v>
      </c>
      <c r="M64" s="104" t="s">
        <v>1605</v>
      </c>
      <c r="N64" s="104" t="s">
        <v>1356</v>
      </c>
      <c r="O64" s="104" t="s">
        <v>1176</v>
      </c>
      <c r="P64" s="104" t="s">
        <v>1176</v>
      </c>
      <c r="Q64" s="104" t="s">
        <v>1176</v>
      </c>
      <c r="R64" s="104" t="s">
        <v>1176</v>
      </c>
      <c r="S64" s="104" t="s">
        <v>1176</v>
      </c>
      <c r="T64" s="104" t="s">
        <v>1176</v>
      </c>
      <c r="U64" s="104" t="s">
        <v>1187</v>
      </c>
      <c r="V64" s="104" t="s">
        <v>1606</v>
      </c>
      <c r="W64" s="104" t="s">
        <v>1176</v>
      </c>
      <c r="X64" s="104" t="s">
        <v>1607</v>
      </c>
      <c r="Y64" s="104" t="s">
        <v>1304</v>
      </c>
      <c r="Z64" s="104" t="s">
        <v>1608</v>
      </c>
      <c r="AA64" s="104" t="s">
        <v>1176</v>
      </c>
      <c r="AB64" s="104" t="s">
        <v>1176</v>
      </c>
      <c r="AC64" s="104" t="s">
        <v>1176</v>
      </c>
      <c r="AD64" s="104" t="s">
        <v>1176</v>
      </c>
      <c r="AE64" s="104" t="s">
        <v>1176</v>
      </c>
      <c r="AF64" s="104" t="s">
        <v>1176</v>
      </c>
      <c r="AG64" s="104" t="s">
        <v>1176</v>
      </c>
      <c r="AH64" s="104" t="s">
        <v>1176</v>
      </c>
      <c r="AI64" s="104" t="s">
        <v>1172</v>
      </c>
      <c r="AJ64" s="104" t="s">
        <v>1314</v>
      </c>
      <c r="AK64" s="104" t="s">
        <v>1294</v>
      </c>
      <c r="AL64" s="104" t="s">
        <v>1609</v>
      </c>
      <c r="AM64" s="104" t="s">
        <v>1176</v>
      </c>
      <c r="AN64" s="104" t="s">
        <v>1172</v>
      </c>
      <c r="AO64" s="104" t="s">
        <v>1176</v>
      </c>
      <c r="AP64" s="104" t="s">
        <v>1176</v>
      </c>
      <c r="AQ64" s="104" t="s">
        <v>1176</v>
      </c>
      <c r="AR64" s="104" t="s">
        <v>1176</v>
      </c>
      <c r="AS64" s="104" t="s">
        <v>1176</v>
      </c>
      <c r="AT64" s="104" t="s">
        <v>1176</v>
      </c>
      <c r="AU64" s="104" t="s">
        <v>1176</v>
      </c>
      <c r="AV64" s="104" t="s">
        <v>1176</v>
      </c>
      <c r="AW64" s="104" t="s">
        <v>1176</v>
      </c>
      <c r="AX64" s="104" t="s">
        <v>1176</v>
      </c>
      <c r="AY64" s="104" t="s">
        <v>1176</v>
      </c>
      <c r="AZ64" s="104" t="s">
        <v>1176</v>
      </c>
      <c r="BA64" s="104" t="s">
        <v>1176</v>
      </c>
      <c r="BB64" s="104" t="s">
        <v>1176</v>
      </c>
      <c r="BC64" s="104" t="s">
        <v>1176</v>
      </c>
      <c r="BD64" s="104" t="s">
        <v>1176</v>
      </c>
      <c r="BE64" s="104" t="s">
        <v>1176</v>
      </c>
      <c r="BF64" s="104" t="s">
        <v>1176</v>
      </c>
      <c r="BG64" s="104" t="s">
        <v>1299</v>
      </c>
      <c r="BH64" s="104" t="s">
        <v>1299</v>
      </c>
      <c r="BI64" s="104" t="s">
        <v>1610</v>
      </c>
      <c r="BJ64" s="104" t="s">
        <v>1179</v>
      </c>
      <c r="BK64" s="104" t="s">
        <v>1176</v>
      </c>
      <c r="BL64" s="104" t="s">
        <v>1176</v>
      </c>
      <c r="BM64" s="104" t="s">
        <v>1176</v>
      </c>
      <c r="BN64" s="104" t="s">
        <v>1176</v>
      </c>
      <c r="BO64" s="104" t="s">
        <v>1176</v>
      </c>
      <c r="BP64" s="104" t="s">
        <v>1176</v>
      </c>
      <c r="BQ64" s="104" t="s">
        <v>1176</v>
      </c>
      <c r="BR64" s="104" t="s">
        <v>1176</v>
      </c>
      <c r="BS64" s="104" t="s">
        <v>1176</v>
      </c>
      <c r="BT64" s="104" t="s">
        <v>1367</v>
      </c>
      <c r="BU64" s="104" t="s">
        <v>1611</v>
      </c>
      <c r="BV64" s="104" t="s">
        <v>1176</v>
      </c>
      <c r="BW64" s="104" t="s">
        <v>1176</v>
      </c>
      <c r="BX64" s="104" t="s">
        <v>1179</v>
      </c>
      <c r="BY64" s="104" t="s">
        <v>1209</v>
      </c>
      <c r="BZ64" s="104" t="s">
        <v>1176</v>
      </c>
      <c r="CA64" s="104" t="s">
        <v>1176</v>
      </c>
      <c r="CB64" s="104" t="s">
        <v>1176</v>
      </c>
      <c r="CC64" s="104" t="s">
        <v>1176</v>
      </c>
      <c r="CD64" s="104" t="s">
        <v>1176</v>
      </c>
      <c r="CE64" s="104" t="s">
        <v>1176</v>
      </c>
      <c r="CF64" s="104" t="s">
        <v>1176</v>
      </c>
      <c r="CG64" s="104" t="s">
        <v>1176</v>
      </c>
      <c r="CH64" s="104" t="s">
        <v>1176</v>
      </c>
      <c r="CI64" s="104" t="s">
        <v>1176</v>
      </c>
      <c r="CJ64" s="104" t="s">
        <v>1176</v>
      </c>
      <c r="CK64" s="104" t="s">
        <v>1176</v>
      </c>
      <c r="CL64" s="104" t="s">
        <v>1176</v>
      </c>
      <c r="CM64" s="104" t="s">
        <v>1176</v>
      </c>
      <c r="CN64" s="104" t="s">
        <v>1176</v>
      </c>
      <c r="CO64" s="104" t="s">
        <v>1176</v>
      </c>
    </row>
    <row r="65" s="102" customFormat="1" ht="15" spans="1:93">
      <c r="A65" s="104" t="s">
        <v>1612</v>
      </c>
      <c r="B65" s="104" t="s">
        <v>1146</v>
      </c>
      <c r="C65" s="104" t="s">
        <v>1147</v>
      </c>
      <c r="D65" s="104" t="s">
        <v>1613</v>
      </c>
      <c r="E65" s="104" t="s">
        <v>1614</v>
      </c>
      <c r="F65" s="104">
        <f t="shared" si="0"/>
        <v>809</v>
      </c>
      <c r="G65" s="104" t="s">
        <v>1615</v>
      </c>
      <c r="H65" s="104" t="s">
        <v>1176</v>
      </c>
      <c r="I65" s="104" t="s">
        <v>1176</v>
      </c>
      <c r="J65" s="104" t="s">
        <v>1176</v>
      </c>
      <c r="K65" s="104" t="s">
        <v>1176</v>
      </c>
      <c r="L65" s="104" t="s">
        <v>1328</v>
      </c>
      <c r="M65" s="104" t="s">
        <v>1616</v>
      </c>
      <c r="N65" s="104" t="s">
        <v>1172</v>
      </c>
      <c r="O65" s="104" t="s">
        <v>1176</v>
      </c>
      <c r="P65" s="104" t="s">
        <v>1176</v>
      </c>
      <c r="Q65" s="104" t="s">
        <v>1176</v>
      </c>
      <c r="R65" s="104" t="s">
        <v>1176</v>
      </c>
      <c r="S65" s="104" t="s">
        <v>1176</v>
      </c>
      <c r="T65" s="104" t="s">
        <v>1176</v>
      </c>
      <c r="U65" s="104" t="s">
        <v>1212</v>
      </c>
      <c r="V65" s="104" t="s">
        <v>1617</v>
      </c>
      <c r="W65" s="104" t="s">
        <v>1176</v>
      </c>
      <c r="X65" s="104" t="s">
        <v>1618</v>
      </c>
      <c r="Y65" s="104" t="s">
        <v>1496</v>
      </c>
      <c r="Z65" s="104" t="s">
        <v>1619</v>
      </c>
      <c r="AA65" s="104" t="s">
        <v>1176</v>
      </c>
      <c r="AB65" s="104" t="s">
        <v>1176</v>
      </c>
      <c r="AC65" s="104" t="s">
        <v>1176</v>
      </c>
      <c r="AD65" s="104" t="s">
        <v>1176</v>
      </c>
      <c r="AE65" s="104" t="s">
        <v>1176</v>
      </c>
      <c r="AF65" s="104" t="s">
        <v>1176</v>
      </c>
      <c r="AG65" s="104" t="s">
        <v>1176</v>
      </c>
      <c r="AH65" s="104" t="s">
        <v>1176</v>
      </c>
      <c r="AI65" s="104" t="s">
        <v>1212</v>
      </c>
      <c r="AJ65" s="104" t="s">
        <v>1620</v>
      </c>
      <c r="AK65" s="104" t="s">
        <v>1241</v>
      </c>
      <c r="AL65" s="104" t="s">
        <v>1621</v>
      </c>
      <c r="AM65" s="104" t="s">
        <v>1176</v>
      </c>
      <c r="AN65" s="104" t="s">
        <v>1176</v>
      </c>
      <c r="AO65" s="104" t="s">
        <v>1176</v>
      </c>
      <c r="AP65" s="104" t="s">
        <v>1176</v>
      </c>
      <c r="AQ65" s="104" t="s">
        <v>1176</v>
      </c>
      <c r="AR65" s="104" t="s">
        <v>1176</v>
      </c>
      <c r="AS65" s="104" t="s">
        <v>1176</v>
      </c>
      <c r="AT65" s="104" t="s">
        <v>1176</v>
      </c>
      <c r="AU65" s="104" t="s">
        <v>1176</v>
      </c>
      <c r="AV65" s="104" t="s">
        <v>1176</v>
      </c>
      <c r="AW65" s="104" t="s">
        <v>1176</v>
      </c>
      <c r="AX65" s="104" t="s">
        <v>1176</v>
      </c>
      <c r="AY65" s="104" t="s">
        <v>1176</v>
      </c>
      <c r="AZ65" s="104" t="s">
        <v>1176</v>
      </c>
      <c r="BA65" s="104" t="s">
        <v>1176</v>
      </c>
      <c r="BB65" s="104" t="s">
        <v>1176</v>
      </c>
      <c r="BC65" s="104" t="s">
        <v>1176</v>
      </c>
      <c r="BD65" s="104" t="s">
        <v>1176</v>
      </c>
      <c r="BE65" s="104" t="s">
        <v>1176</v>
      </c>
      <c r="BF65" s="104" t="s">
        <v>1176</v>
      </c>
      <c r="BG65" s="104" t="s">
        <v>1179</v>
      </c>
      <c r="BH65" s="104" t="s">
        <v>1179</v>
      </c>
      <c r="BI65" s="104" t="s">
        <v>1622</v>
      </c>
      <c r="BJ65" s="104" t="s">
        <v>1187</v>
      </c>
      <c r="BK65" s="104" t="s">
        <v>1176</v>
      </c>
      <c r="BL65" s="104" t="s">
        <v>1176</v>
      </c>
      <c r="BM65" s="104" t="s">
        <v>1176</v>
      </c>
      <c r="BN65" s="104" t="s">
        <v>1176</v>
      </c>
      <c r="BO65" s="104" t="s">
        <v>1176</v>
      </c>
      <c r="BP65" s="104" t="s">
        <v>1176</v>
      </c>
      <c r="BQ65" s="104" t="s">
        <v>1176</v>
      </c>
      <c r="BR65" s="104" t="s">
        <v>1176</v>
      </c>
      <c r="BS65" s="104" t="s">
        <v>1176</v>
      </c>
      <c r="BT65" s="104" t="s">
        <v>1180</v>
      </c>
      <c r="BU65" s="104" t="s">
        <v>1622</v>
      </c>
      <c r="BV65" s="104" t="s">
        <v>1176</v>
      </c>
      <c r="BW65" s="104" t="s">
        <v>1176</v>
      </c>
      <c r="BX65" s="104" t="s">
        <v>1176</v>
      </c>
      <c r="BY65" s="104" t="s">
        <v>1176</v>
      </c>
      <c r="BZ65" s="104" t="s">
        <v>1176</v>
      </c>
      <c r="CA65" s="104" t="s">
        <v>1176</v>
      </c>
      <c r="CB65" s="104" t="s">
        <v>1176</v>
      </c>
      <c r="CC65" s="104" t="s">
        <v>1176</v>
      </c>
      <c r="CD65" s="104" t="s">
        <v>1176</v>
      </c>
      <c r="CE65" s="104" t="s">
        <v>1176</v>
      </c>
      <c r="CF65" s="104" t="s">
        <v>1176</v>
      </c>
      <c r="CG65" s="104" t="s">
        <v>1176</v>
      </c>
      <c r="CH65" s="104" t="s">
        <v>1176</v>
      </c>
      <c r="CI65" s="104" t="s">
        <v>1176</v>
      </c>
      <c r="CJ65" s="104" t="s">
        <v>1176</v>
      </c>
      <c r="CK65" s="104" t="s">
        <v>1176</v>
      </c>
      <c r="CL65" s="104" t="s">
        <v>1176</v>
      </c>
      <c r="CM65" s="104" t="s">
        <v>1176</v>
      </c>
      <c r="CN65" s="104" t="s">
        <v>1176</v>
      </c>
      <c r="CO65" s="104" t="s">
        <v>1176</v>
      </c>
    </row>
    <row r="66" s="102" customFormat="1" ht="15" spans="1:93">
      <c r="A66" s="104" t="s">
        <v>1328</v>
      </c>
      <c r="B66" s="104" t="s">
        <v>1146</v>
      </c>
      <c r="C66" s="104" t="s">
        <v>1147</v>
      </c>
      <c r="D66" s="104" t="s">
        <v>1623</v>
      </c>
      <c r="E66" s="104" t="s">
        <v>1624</v>
      </c>
      <c r="F66" s="104">
        <f t="shared" si="0"/>
        <v>2197</v>
      </c>
      <c r="G66" s="104" t="s">
        <v>1625</v>
      </c>
      <c r="H66" s="104" t="s">
        <v>1176</v>
      </c>
      <c r="I66" s="104" t="s">
        <v>1176</v>
      </c>
      <c r="J66" s="104" t="s">
        <v>1176</v>
      </c>
      <c r="K66" s="104" t="s">
        <v>1176</v>
      </c>
      <c r="L66" s="104" t="s">
        <v>1626</v>
      </c>
      <c r="M66" s="104" t="s">
        <v>1627</v>
      </c>
      <c r="N66" s="104" t="s">
        <v>1179</v>
      </c>
      <c r="O66" s="104" t="s">
        <v>1176</v>
      </c>
      <c r="P66" s="104" t="s">
        <v>1176</v>
      </c>
      <c r="Q66" s="104" t="s">
        <v>1176</v>
      </c>
      <c r="R66" s="104" t="s">
        <v>1176</v>
      </c>
      <c r="S66" s="104" t="s">
        <v>1176</v>
      </c>
      <c r="T66" s="104" t="s">
        <v>1176</v>
      </c>
      <c r="U66" s="104" t="s">
        <v>1179</v>
      </c>
      <c r="V66" s="104" t="s">
        <v>1564</v>
      </c>
      <c r="W66" s="104" t="s">
        <v>1176</v>
      </c>
      <c r="X66" s="104" t="s">
        <v>1628</v>
      </c>
      <c r="Y66" s="104" t="s">
        <v>1629</v>
      </c>
      <c r="Z66" s="104" t="s">
        <v>1630</v>
      </c>
      <c r="AA66" s="104" t="s">
        <v>1176</v>
      </c>
      <c r="AB66" s="104" t="s">
        <v>1176</v>
      </c>
      <c r="AC66" s="104" t="s">
        <v>1176</v>
      </c>
      <c r="AD66" s="104" t="s">
        <v>1176</v>
      </c>
      <c r="AE66" s="104" t="s">
        <v>1176</v>
      </c>
      <c r="AF66" s="104" t="s">
        <v>1176</v>
      </c>
      <c r="AG66" s="104" t="s">
        <v>1176</v>
      </c>
      <c r="AH66" s="104" t="s">
        <v>1176</v>
      </c>
      <c r="AI66" s="104" t="s">
        <v>1211</v>
      </c>
      <c r="AJ66" s="104" t="s">
        <v>1311</v>
      </c>
      <c r="AK66" s="104" t="s">
        <v>1631</v>
      </c>
      <c r="AL66" s="104" t="s">
        <v>1632</v>
      </c>
      <c r="AM66" s="104" t="s">
        <v>1176</v>
      </c>
      <c r="AN66" s="104" t="s">
        <v>1172</v>
      </c>
      <c r="AO66" s="104" t="s">
        <v>1176</v>
      </c>
      <c r="AP66" s="104" t="s">
        <v>1176</v>
      </c>
      <c r="AQ66" s="104" t="s">
        <v>1176</v>
      </c>
      <c r="AR66" s="104" t="s">
        <v>1176</v>
      </c>
      <c r="AS66" s="104" t="s">
        <v>1176</v>
      </c>
      <c r="AT66" s="104" t="s">
        <v>1176</v>
      </c>
      <c r="AU66" s="104" t="s">
        <v>1176</v>
      </c>
      <c r="AV66" s="104" t="s">
        <v>1176</v>
      </c>
      <c r="AW66" s="104" t="s">
        <v>1176</v>
      </c>
      <c r="AX66" s="104" t="s">
        <v>1176</v>
      </c>
      <c r="AY66" s="104" t="s">
        <v>1176</v>
      </c>
      <c r="AZ66" s="104" t="s">
        <v>1176</v>
      </c>
      <c r="BA66" s="104" t="s">
        <v>1176</v>
      </c>
      <c r="BB66" s="104" t="s">
        <v>1176</v>
      </c>
      <c r="BC66" s="104" t="s">
        <v>1176</v>
      </c>
      <c r="BD66" s="104" t="s">
        <v>1176</v>
      </c>
      <c r="BE66" s="104" t="s">
        <v>1176</v>
      </c>
      <c r="BF66" s="104" t="s">
        <v>1176</v>
      </c>
      <c r="BG66" s="104" t="s">
        <v>1633</v>
      </c>
      <c r="BH66" s="104" t="s">
        <v>1633</v>
      </c>
      <c r="BI66" s="104" t="s">
        <v>1634</v>
      </c>
      <c r="BJ66" s="104" t="s">
        <v>1176</v>
      </c>
      <c r="BK66" s="104" t="s">
        <v>1176</v>
      </c>
      <c r="BL66" s="104" t="s">
        <v>1176</v>
      </c>
      <c r="BM66" s="104" t="s">
        <v>1176</v>
      </c>
      <c r="BN66" s="104" t="s">
        <v>1635</v>
      </c>
      <c r="BO66" s="104" t="s">
        <v>1635</v>
      </c>
      <c r="BP66" s="104" t="s">
        <v>1176</v>
      </c>
      <c r="BQ66" s="104" t="s">
        <v>1176</v>
      </c>
      <c r="BR66" s="104" t="s">
        <v>1176</v>
      </c>
      <c r="BS66" s="104" t="s">
        <v>1176</v>
      </c>
      <c r="BT66" s="104" t="s">
        <v>1412</v>
      </c>
      <c r="BU66" s="104" t="s">
        <v>1636</v>
      </c>
      <c r="BV66" s="104" t="s">
        <v>1176</v>
      </c>
      <c r="BW66" s="104" t="s">
        <v>1176</v>
      </c>
      <c r="BX66" s="104" t="s">
        <v>1176</v>
      </c>
      <c r="BY66" s="104" t="s">
        <v>1176</v>
      </c>
      <c r="BZ66" s="104" t="s">
        <v>1176</v>
      </c>
      <c r="CA66" s="104" t="s">
        <v>1176</v>
      </c>
      <c r="CB66" s="104" t="s">
        <v>1176</v>
      </c>
      <c r="CC66" s="104" t="s">
        <v>1176</v>
      </c>
      <c r="CD66" s="104" t="s">
        <v>1176</v>
      </c>
      <c r="CE66" s="104" t="s">
        <v>1176</v>
      </c>
      <c r="CF66" s="104" t="s">
        <v>1176</v>
      </c>
      <c r="CG66" s="104" t="s">
        <v>1176</v>
      </c>
      <c r="CH66" s="104" t="s">
        <v>1176</v>
      </c>
      <c r="CI66" s="104" t="s">
        <v>1176</v>
      </c>
      <c r="CJ66" s="104" t="s">
        <v>1176</v>
      </c>
      <c r="CK66" s="104" t="s">
        <v>1176</v>
      </c>
      <c r="CL66" s="104" t="s">
        <v>1176</v>
      </c>
      <c r="CM66" s="104" t="s">
        <v>1176</v>
      </c>
      <c r="CN66" s="104" t="s">
        <v>1176</v>
      </c>
      <c r="CO66" s="104" t="s">
        <v>1176</v>
      </c>
    </row>
    <row r="67" s="102" customFormat="1" ht="15" spans="1:93">
      <c r="A67" s="104" t="s">
        <v>1230</v>
      </c>
      <c r="B67" s="104" t="s">
        <v>1146</v>
      </c>
      <c r="C67" s="104" t="s">
        <v>1147</v>
      </c>
      <c r="D67" s="104" t="s">
        <v>1637</v>
      </c>
      <c r="E67" s="104" t="s">
        <v>1638</v>
      </c>
      <c r="F67" s="104">
        <f t="shared" si="0"/>
        <v>2252</v>
      </c>
      <c r="G67" s="104" t="s">
        <v>1639</v>
      </c>
      <c r="H67" s="104" t="s">
        <v>1176</v>
      </c>
      <c r="I67" s="104" t="s">
        <v>1176</v>
      </c>
      <c r="J67" s="104" t="s">
        <v>1176</v>
      </c>
      <c r="K67" s="104" t="s">
        <v>1176</v>
      </c>
      <c r="L67" s="104" t="s">
        <v>1299</v>
      </c>
      <c r="M67" s="104" t="s">
        <v>1640</v>
      </c>
      <c r="N67" s="104" t="s">
        <v>1187</v>
      </c>
      <c r="O67" s="104" t="s">
        <v>1176</v>
      </c>
      <c r="P67" s="104" t="s">
        <v>1176</v>
      </c>
      <c r="Q67" s="104" t="s">
        <v>1176</v>
      </c>
      <c r="R67" s="104" t="s">
        <v>1176</v>
      </c>
      <c r="S67" s="104" t="s">
        <v>1176</v>
      </c>
      <c r="T67" s="104" t="s">
        <v>1176</v>
      </c>
      <c r="U67" s="104" t="s">
        <v>1172</v>
      </c>
      <c r="V67" s="104" t="s">
        <v>1641</v>
      </c>
      <c r="W67" s="104" t="s">
        <v>1176</v>
      </c>
      <c r="X67" s="104" t="s">
        <v>1642</v>
      </c>
      <c r="Y67" s="104" t="s">
        <v>1643</v>
      </c>
      <c r="Z67" s="104" t="s">
        <v>1644</v>
      </c>
      <c r="AA67" s="104" t="s">
        <v>1176</v>
      </c>
      <c r="AB67" s="104" t="s">
        <v>1176</v>
      </c>
      <c r="AC67" s="104" t="s">
        <v>1203</v>
      </c>
      <c r="AD67" s="104" t="s">
        <v>1581</v>
      </c>
      <c r="AE67" s="104" t="s">
        <v>1176</v>
      </c>
      <c r="AF67" s="104" t="s">
        <v>1176</v>
      </c>
      <c r="AG67" s="104" t="s">
        <v>1176</v>
      </c>
      <c r="AH67" s="104" t="s">
        <v>1176</v>
      </c>
      <c r="AI67" s="104" t="s">
        <v>1203</v>
      </c>
      <c r="AJ67" s="104" t="s">
        <v>1645</v>
      </c>
      <c r="AK67" s="104" t="s">
        <v>1646</v>
      </c>
      <c r="AL67" s="104" t="s">
        <v>1647</v>
      </c>
      <c r="AM67" s="104" t="s">
        <v>1176</v>
      </c>
      <c r="AN67" s="104" t="s">
        <v>1172</v>
      </c>
      <c r="AO67" s="104" t="s">
        <v>1176</v>
      </c>
      <c r="AP67" s="104" t="s">
        <v>1176</v>
      </c>
      <c r="AQ67" s="104" t="s">
        <v>1176</v>
      </c>
      <c r="AR67" s="104" t="s">
        <v>1176</v>
      </c>
      <c r="AS67" s="104" t="s">
        <v>1176</v>
      </c>
      <c r="AT67" s="104" t="s">
        <v>1176</v>
      </c>
      <c r="AU67" s="104" t="s">
        <v>1176</v>
      </c>
      <c r="AV67" s="104" t="s">
        <v>1176</v>
      </c>
      <c r="AW67" s="104" t="s">
        <v>1176</v>
      </c>
      <c r="AX67" s="104" t="s">
        <v>1176</v>
      </c>
      <c r="AY67" s="104" t="s">
        <v>1176</v>
      </c>
      <c r="AZ67" s="104" t="s">
        <v>1176</v>
      </c>
      <c r="BA67" s="104" t="s">
        <v>1176</v>
      </c>
      <c r="BB67" s="104" t="s">
        <v>1176</v>
      </c>
      <c r="BC67" s="104" t="s">
        <v>1176</v>
      </c>
      <c r="BD67" s="104" t="s">
        <v>1176</v>
      </c>
      <c r="BE67" s="104" t="s">
        <v>1176</v>
      </c>
      <c r="BF67" s="104" t="s">
        <v>1176</v>
      </c>
      <c r="BG67" s="104" t="s">
        <v>1476</v>
      </c>
      <c r="BH67" s="104" t="s">
        <v>1476</v>
      </c>
      <c r="BI67" s="104" t="s">
        <v>1364</v>
      </c>
      <c r="BJ67" s="104" t="s">
        <v>1176</v>
      </c>
      <c r="BK67" s="104" t="s">
        <v>1176</v>
      </c>
      <c r="BL67" s="104" t="s">
        <v>1176</v>
      </c>
      <c r="BM67" s="104" t="s">
        <v>1176</v>
      </c>
      <c r="BN67" s="104" t="s">
        <v>1212</v>
      </c>
      <c r="BO67" s="104" t="s">
        <v>1212</v>
      </c>
      <c r="BP67" s="104" t="s">
        <v>1176</v>
      </c>
      <c r="BQ67" s="104" t="s">
        <v>1176</v>
      </c>
      <c r="BR67" s="104" t="s">
        <v>1176</v>
      </c>
      <c r="BS67" s="104" t="s">
        <v>1176</v>
      </c>
      <c r="BT67" s="104" t="s">
        <v>1442</v>
      </c>
      <c r="BU67" s="104" t="s">
        <v>1328</v>
      </c>
      <c r="BV67" s="104" t="s">
        <v>1176</v>
      </c>
      <c r="BW67" s="104" t="s">
        <v>1176</v>
      </c>
      <c r="BX67" s="104" t="s">
        <v>1176</v>
      </c>
      <c r="BY67" s="104" t="s">
        <v>1176</v>
      </c>
      <c r="BZ67" s="104" t="s">
        <v>1176</v>
      </c>
      <c r="CA67" s="104" t="s">
        <v>1176</v>
      </c>
      <c r="CB67" s="104" t="s">
        <v>1176</v>
      </c>
      <c r="CC67" s="104" t="s">
        <v>1176</v>
      </c>
      <c r="CD67" s="104" t="s">
        <v>1176</v>
      </c>
      <c r="CE67" s="104" t="s">
        <v>1176</v>
      </c>
      <c r="CF67" s="104" t="s">
        <v>1176</v>
      </c>
      <c r="CG67" s="104" t="s">
        <v>1176</v>
      </c>
      <c r="CH67" s="104" t="s">
        <v>1176</v>
      </c>
      <c r="CI67" s="104" t="s">
        <v>1176</v>
      </c>
      <c r="CJ67" s="104" t="s">
        <v>1172</v>
      </c>
      <c r="CK67" s="104" t="s">
        <v>1172</v>
      </c>
      <c r="CL67" s="104" t="s">
        <v>1176</v>
      </c>
      <c r="CM67" s="104" t="s">
        <v>1176</v>
      </c>
      <c r="CN67" s="104" t="s">
        <v>1176</v>
      </c>
      <c r="CO67" s="104" t="s">
        <v>1176</v>
      </c>
    </row>
    <row r="68" s="102" customFormat="1" ht="15" spans="1:93">
      <c r="A68" s="104" t="s">
        <v>1314</v>
      </c>
      <c r="B68" s="104" t="s">
        <v>1146</v>
      </c>
      <c r="C68" s="104" t="s">
        <v>1147</v>
      </c>
      <c r="D68" s="104" t="s">
        <v>1648</v>
      </c>
      <c r="E68" s="104" t="s">
        <v>1649</v>
      </c>
      <c r="F68" s="104">
        <f t="shared" si="0"/>
        <v>7628</v>
      </c>
      <c r="G68" s="104" t="s">
        <v>1650</v>
      </c>
      <c r="H68" s="104" t="s">
        <v>1176</v>
      </c>
      <c r="I68" s="104" t="s">
        <v>1176</v>
      </c>
      <c r="J68" s="104" t="s">
        <v>1176</v>
      </c>
      <c r="K68" s="104" t="s">
        <v>1176</v>
      </c>
      <c r="L68" s="104" t="s">
        <v>1651</v>
      </c>
      <c r="M68" s="104" t="s">
        <v>1652</v>
      </c>
      <c r="N68" s="104" t="s">
        <v>1180</v>
      </c>
      <c r="O68" s="104" t="s">
        <v>1176</v>
      </c>
      <c r="P68" s="104" t="s">
        <v>1176</v>
      </c>
      <c r="Q68" s="104" t="s">
        <v>1176</v>
      </c>
      <c r="R68" s="104" t="s">
        <v>1176</v>
      </c>
      <c r="S68" s="104" t="s">
        <v>1176</v>
      </c>
      <c r="T68" s="104" t="s">
        <v>1176</v>
      </c>
      <c r="U68" s="104" t="s">
        <v>1187</v>
      </c>
      <c r="V68" s="104" t="s">
        <v>1533</v>
      </c>
      <c r="W68" s="104" t="s">
        <v>1176</v>
      </c>
      <c r="X68" s="104" t="s">
        <v>1653</v>
      </c>
      <c r="Y68" s="104" t="s">
        <v>1364</v>
      </c>
      <c r="Z68" s="104" t="s">
        <v>1654</v>
      </c>
      <c r="AA68" s="104" t="s">
        <v>1176</v>
      </c>
      <c r="AB68" s="104" t="s">
        <v>1176</v>
      </c>
      <c r="AC68" s="104" t="s">
        <v>1176</v>
      </c>
      <c r="AD68" s="104" t="s">
        <v>1176</v>
      </c>
      <c r="AE68" s="104" t="s">
        <v>1176</v>
      </c>
      <c r="AF68" s="104" t="s">
        <v>1176</v>
      </c>
      <c r="AG68" s="104" t="s">
        <v>1176</v>
      </c>
      <c r="AH68" s="104" t="s">
        <v>1176</v>
      </c>
      <c r="AI68" s="104" t="s">
        <v>1364</v>
      </c>
      <c r="AJ68" s="104" t="s">
        <v>1655</v>
      </c>
      <c r="AK68" s="104" t="s">
        <v>1176</v>
      </c>
      <c r="AL68" s="104" t="s">
        <v>1212</v>
      </c>
      <c r="AM68" s="104" t="s">
        <v>1176</v>
      </c>
      <c r="AN68" s="104" t="s">
        <v>1176</v>
      </c>
      <c r="AO68" s="104" t="s">
        <v>1176</v>
      </c>
      <c r="AP68" s="104" t="s">
        <v>1176</v>
      </c>
      <c r="AQ68" s="104" t="s">
        <v>1176</v>
      </c>
      <c r="AR68" s="104" t="s">
        <v>1176</v>
      </c>
      <c r="AS68" s="104" t="s">
        <v>1176</v>
      </c>
      <c r="AT68" s="104" t="s">
        <v>1176</v>
      </c>
      <c r="AU68" s="104" t="s">
        <v>1176</v>
      </c>
      <c r="AV68" s="104" t="s">
        <v>1176</v>
      </c>
      <c r="AW68" s="104" t="s">
        <v>1176</v>
      </c>
      <c r="AX68" s="104" t="s">
        <v>1176</v>
      </c>
      <c r="AY68" s="104" t="s">
        <v>1176</v>
      </c>
      <c r="AZ68" s="104" t="s">
        <v>1176</v>
      </c>
      <c r="BA68" s="104" t="s">
        <v>1176</v>
      </c>
      <c r="BB68" s="104" t="s">
        <v>1176</v>
      </c>
      <c r="BC68" s="104" t="s">
        <v>1176</v>
      </c>
      <c r="BD68" s="104" t="s">
        <v>1176</v>
      </c>
      <c r="BE68" s="104" t="s">
        <v>1176</v>
      </c>
      <c r="BF68" s="104" t="s">
        <v>1176</v>
      </c>
      <c r="BG68" s="104" t="s">
        <v>1232</v>
      </c>
      <c r="BH68" s="104" t="s">
        <v>1232</v>
      </c>
      <c r="BI68" s="104" t="s">
        <v>1296</v>
      </c>
      <c r="BJ68" s="104" t="s">
        <v>1176</v>
      </c>
      <c r="BK68" s="104" t="s">
        <v>1176</v>
      </c>
      <c r="BL68" s="104" t="s">
        <v>1176</v>
      </c>
      <c r="BM68" s="104" t="s">
        <v>1176</v>
      </c>
      <c r="BN68" s="104" t="s">
        <v>1176</v>
      </c>
      <c r="BO68" s="104" t="s">
        <v>1176</v>
      </c>
      <c r="BP68" s="104" t="s">
        <v>1176</v>
      </c>
      <c r="BQ68" s="104" t="s">
        <v>1176</v>
      </c>
      <c r="BR68" s="104" t="s">
        <v>1176</v>
      </c>
      <c r="BS68" s="104" t="s">
        <v>1176</v>
      </c>
      <c r="BT68" s="104" t="s">
        <v>1180</v>
      </c>
      <c r="BU68" s="104" t="s">
        <v>1306</v>
      </c>
      <c r="BV68" s="104" t="s">
        <v>1172</v>
      </c>
      <c r="BW68" s="104" t="s">
        <v>1187</v>
      </c>
      <c r="BX68" s="104" t="s">
        <v>1176</v>
      </c>
      <c r="BY68" s="104" t="s">
        <v>1176</v>
      </c>
      <c r="BZ68" s="104" t="s">
        <v>1176</v>
      </c>
      <c r="CA68" s="104" t="s">
        <v>1176</v>
      </c>
      <c r="CB68" s="104" t="s">
        <v>1176</v>
      </c>
      <c r="CC68" s="104" t="s">
        <v>1176</v>
      </c>
      <c r="CD68" s="104" t="s">
        <v>1176</v>
      </c>
      <c r="CE68" s="104" t="s">
        <v>1176</v>
      </c>
      <c r="CF68" s="104" t="s">
        <v>1176</v>
      </c>
      <c r="CG68" s="104" t="s">
        <v>1176</v>
      </c>
      <c r="CH68" s="104" t="s">
        <v>1176</v>
      </c>
      <c r="CI68" s="104" t="s">
        <v>1176</v>
      </c>
      <c r="CJ68" s="104" t="s">
        <v>1176</v>
      </c>
      <c r="CK68" s="104" t="s">
        <v>1176</v>
      </c>
      <c r="CL68" s="104" t="s">
        <v>1176</v>
      </c>
      <c r="CM68" s="104" t="s">
        <v>1176</v>
      </c>
      <c r="CN68" s="104" t="s">
        <v>1176</v>
      </c>
      <c r="CO68" s="104" t="s">
        <v>1176</v>
      </c>
    </row>
    <row r="69" s="102" customFormat="1" ht="15" spans="1:93">
      <c r="A69" s="104" t="s">
        <v>1367</v>
      </c>
      <c r="B69" s="104" t="s">
        <v>1146</v>
      </c>
      <c r="C69" s="104" t="s">
        <v>1147</v>
      </c>
      <c r="D69" s="104" t="s">
        <v>1656</v>
      </c>
      <c r="E69" s="104" t="s">
        <v>1657</v>
      </c>
      <c r="F69" s="104">
        <f t="shared" si="0"/>
        <v>4560</v>
      </c>
      <c r="G69" s="104" t="s">
        <v>1658</v>
      </c>
      <c r="H69" s="104" t="s">
        <v>1176</v>
      </c>
      <c r="I69" s="104" t="s">
        <v>1176</v>
      </c>
      <c r="J69" s="104" t="s">
        <v>1176</v>
      </c>
      <c r="K69" s="104" t="s">
        <v>1176</v>
      </c>
      <c r="L69" s="104" t="s">
        <v>1418</v>
      </c>
      <c r="M69" s="104" t="s">
        <v>1659</v>
      </c>
      <c r="N69" s="104" t="s">
        <v>1172</v>
      </c>
      <c r="O69" s="104" t="s">
        <v>1176</v>
      </c>
      <c r="P69" s="104" t="s">
        <v>1176</v>
      </c>
      <c r="Q69" s="104" t="s">
        <v>1176</v>
      </c>
      <c r="R69" s="104" t="s">
        <v>1176</v>
      </c>
      <c r="S69" s="104" t="s">
        <v>1176</v>
      </c>
      <c r="T69" s="104" t="s">
        <v>1176</v>
      </c>
      <c r="U69" s="104" t="s">
        <v>1212</v>
      </c>
      <c r="V69" s="104" t="s">
        <v>1660</v>
      </c>
      <c r="W69" s="104" t="s">
        <v>1176</v>
      </c>
      <c r="X69" s="104" t="s">
        <v>1661</v>
      </c>
      <c r="Y69" s="104" t="s">
        <v>1645</v>
      </c>
      <c r="Z69" s="104" t="s">
        <v>1662</v>
      </c>
      <c r="AA69" s="104" t="s">
        <v>1176</v>
      </c>
      <c r="AB69" s="104" t="s">
        <v>1176</v>
      </c>
      <c r="AC69" s="104" t="s">
        <v>1176</v>
      </c>
      <c r="AD69" s="104" t="s">
        <v>1176</v>
      </c>
      <c r="AE69" s="104" t="s">
        <v>1176</v>
      </c>
      <c r="AF69" s="104" t="s">
        <v>1176</v>
      </c>
      <c r="AG69" s="104" t="s">
        <v>1176</v>
      </c>
      <c r="AH69" s="104" t="s">
        <v>1176</v>
      </c>
      <c r="AI69" s="104" t="s">
        <v>1172</v>
      </c>
      <c r="AJ69" s="104" t="s">
        <v>1187</v>
      </c>
      <c r="AK69" s="104" t="s">
        <v>1663</v>
      </c>
      <c r="AL69" s="104" t="s">
        <v>1664</v>
      </c>
      <c r="AM69" s="104" t="s">
        <v>1176</v>
      </c>
      <c r="AN69" s="104" t="s">
        <v>1176</v>
      </c>
      <c r="AO69" s="104" t="s">
        <v>1176</v>
      </c>
      <c r="AP69" s="104" t="s">
        <v>1176</v>
      </c>
      <c r="AQ69" s="104" t="s">
        <v>1176</v>
      </c>
      <c r="AR69" s="104" t="s">
        <v>1176</v>
      </c>
      <c r="AS69" s="104" t="s">
        <v>1176</v>
      </c>
      <c r="AT69" s="104" t="s">
        <v>1176</v>
      </c>
      <c r="AU69" s="104" t="s">
        <v>1176</v>
      </c>
      <c r="AV69" s="104" t="s">
        <v>1176</v>
      </c>
      <c r="AW69" s="104" t="s">
        <v>1176</v>
      </c>
      <c r="AX69" s="104" t="s">
        <v>1176</v>
      </c>
      <c r="AY69" s="104" t="s">
        <v>1176</v>
      </c>
      <c r="AZ69" s="104" t="s">
        <v>1176</v>
      </c>
      <c r="BA69" s="104" t="s">
        <v>1176</v>
      </c>
      <c r="BB69" s="104" t="s">
        <v>1176</v>
      </c>
      <c r="BC69" s="104" t="s">
        <v>1176</v>
      </c>
      <c r="BD69" s="104" t="s">
        <v>1176</v>
      </c>
      <c r="BE69" s="104" t="s">
        <v>1176</v>
      </c>
      <c r="BF69" s="104" t="s">
        <v>1176</v>
      </c>
      <c r="BG69" s="104" t="s">
        <v>1180</v>
      </c>
      <c r="BH69" s="104" t="s">
        <v>1180</v>
      </c>
      <c r="BI69" s="104" t="s">
        <v>1223</v>
      </c>
      <c r="BJ69" s="104" t="s">
        <v>1176</v>
      </c>
      <c r="BK69" s="104" t="s">
        <v>1176</v>
      </c>
      <c r="BL69" s="104" t="s">
        <v>1176</v>
      </c>
      <c r="BM69" s="104" t="s">
        <v>1176</v>
      </c>
      <c r="BN69" s="104" t="s">
        <v>1187</v>
      </c>
      <c r="BO69" s="104" t="s">
        <v>1187</v>
      </c>
      <c r="BP69" s="104" t="s">
        <v>1176</v>
      </c>
      <c r="BQ69" s="104" t="s">
        <v>1176</v>
      </c>
      <c r="BR69" s="104" t="s">
        <v>1176</v>
      </c>
      <c r="BS69" s="104" t="s">
        <v>1176</v>
      </c>
      <c r="BT69" s="104" t="s">
        <v>1187</v>
      </c>
      <c r="BU69" s="104" t="s">
        <v>1354</v>
      </c>
      <c r="BV69" s="104" t="s">
        <v>1176</v>
      </c>
      <c r="BW69" s="104" t="s">
        <v>1176</v>
      </c>
      <c r="BX69" s="104" t="s">
        <v>1176</v>
      </c>
      <c r="BY69" s="104" t="s">
        <v>1176</v>
      </c>
      <c r="BZ69" s="104" t="s">
        <v>1176</v>
      </c>
      <c r="CA69" s="104" t="s">
        <v>1176</v>
      </c>
      <c r="CB69" s="104" t="s">
        <v>1176</v>
      </c>
      <c r="CC69" s="104" t="s">
        <v>1176</v>
      </c>
      <c r="CD69" s="104" t="s">
        <v>1176</v>
      </c>
      <c r="CE69" s="104" t="s">
        <v>1176</v>
      </c>
      <c r="CF69" s="104" t="s">
        <v>1176</v>
      </c>
      <c r="CG69" s="104" t="s">
        <v>1176</v>
      </c>
      <c r="CH69" s="104" t="s">
        <v>1176</v>
      </c>
      <c r="CI69" s="104" t="s">
        <v>1176</v>
      </c>
      <c r="CJ69" s="104" t="s">
        <v>1176</v>
      </c>
      <c r="CK69" s="104" t="s">
        <v>1176</v>
      </c>
      <c r="CL69" s="104" t="s">
        <v>1176</v>
      </c>
      <c r="CM69" s="104" t="s">
        <v>1176</v>
      </c>
      <c r="CN69" s="104" t="s">
        <v>1176</v>
      </c>
      <c r="CO69" s="104" t="s">
        <v>1176</v>
      </c>
    </row>
    <row r="70" s="102" customFormat="1" ht="15" spans="1:93">
      <c r="A70" s="104" t="s">
        <v>1364</v>
      </c>
      <c r="B70" s="104" t="s">
        <v>1146</v>
      </c>
      <c r="C70" s="104" t="s">
        <v>1147</v>
      </c>
      <c r="D70" s="104" t="s">
        <v>1665</v>
      </c>
      <c r="E70" s="104" t="s">
        <v>1666</v>
      </c>
      <c r="F70" s="104">
        <f t="shared" si="0"/>
        <v>1607</v>
      </c>
      <c r="G70" s="104" t="s">
        <v>1667</v>
      </c>
      <c r="H70" s="104" t="s">
        <v>1176</v>
      </c>
      <c r="I70" s="104" t="s">
        <v>1176</v>
      </c>
      <c r="J70" s="104" t="s">
        <v>1176</v>
      </c>
      <c r="K70" s="104" t="s">
        <v>1176</v>
      </c>
      <c r="L70" s="104" t="s">
        <v>1230</v>
      </c>
      <c r="M70" s="104" t="s">
        <v>1668</v>
      </c>
      <c r="N70" s="104" t="s">
        <v>1180</v>
      </c>
      <c r="O70" s="104" t="s">
        <v>1187</v>
      </c>
      <c r="P70" s="104" t="s">
        <v>1176</v>
      </c>
      <c r="Q70" s="104" t="s">
        <v>1176</v>
      </c>
      <c r="R70" s="104" t="s">
        <v>1176</v>
      </c>
      <c r="S70" s="104" t="s">
        <v>1176</v>
      </c>
      <c r="T70" s="104" t="s">
        <v>1176</v>
      </c>
      <c r="U70" s="104" t="s">
        <v>1172</v>
      </c>
      <c r="V70" s="104" t="s">
        <v>1259</v>
      </c>
      <c r="W70" s="104" t="s">
        <v>1176</v>
      </c>
      <c r="X70" s="104" t="s">
        <v>1669</v>
      </c>
      <c r="Y70" s="104" t="s">
        <v>1670</v>
      </c>
      <c r="Z70" s="104" t="s">
        <v>1671</v>
      </c>
      <c r="AA70" s="104" t="s">
        <v>1176</v>
      </c>
      <c r="AB70" s="104" t="s">
        <v>1176</v>
      </c>
      <c r="AC70" s="104" t="s">
        <v>1176</v>
      </c>
      <c r="AD70" s="104" t="s">
        <v>1176</v>
      </c>
      <c r="AE70" s="104" t="s">
        <v>1176</v>
      </c>
      <c r="AF70" s="104" t="s">
        <v>1176</v>
      </c>
      <c r="AG70" s="104" t="s">
        <v>1176</v>
      </c>
      <c r="AH70" s="104" t="s">
        <v>1176</v>
      </c>
      <c r="AI70" s="104" t="s">
        <v>1176</v>
      </c>
      <c r="AJ70" s="104" t="s">
        <v>1180</v>
      </c>
      <c r="AK70" s="104" t="s">
        <v>1670</v>
      </c>
      <c r="AL70" s="104" t="s">
        <v>1672</v>
      </c>
      <c r="AM70" s="104" t="s">
        <v>1176</v>
      </c>
      <c r="AN70" s="104" t="s">
        <v>1212</v>
      </c>
      <c r="AO70" s="104" t="s">
        <v>1176</v>
      </c>
      <c r="AP70" s="104" t="s">
        <v>1176</v>
      </c>
      <c r="AQ70" s="104" t="s">
        <v>1176</v>
      </c>
      <c r="AR70" s="104" t="s">
        <v>1176</v>
      </c>
      <c r="AS70" s="104" t="s">
        <v>1176</v>
      </c>
      <c r="AT70" s="104" t="s">
        <v>1176</v>
      </c>
      <c r="AU70" s="104" t="s">
        <v>1176</v>
      </c>
      <c r="AV70" s="104" t="s">
        <v>1176</v>
      </c>
      <c r="AW70" s="104" t="s">
        <v>1176</v>
      </c>
      <c r="AX70" s="104" t="s">
        <v>1176</v>
      </c>
      <c r="AY70" s="104" t="s">
        <v>1176</v>
      </c>
      <c r="AZ70" s="104" t="s">
        <v>1176</v>
      </c>
      <c r="BA70" s="104" t="s">
        <v>1176</v>
      </c>
      <c r="BB70" s="104" t="s">
        <v>1176</v>
      </c>
      <c r="BC70" s="104" t="s">
        <v>1176</v>
      </c>
      <c r="BD70" s="104" t="s">
        <v>1176</v>
      </c>
      <c r="BE70" s="104" t="s">
        <v>1176</v>
      </c>
      <c r="BF70" s="104" t="s">
        <v>1176</v>
      </c>
      <c r="BG70" s="104" t="s">
        <v>1211</v>
      </c>
      <c r="BH70" s="104" t="s">
        <v>1211</v>
      </c>
      <c r="BI70" s="104" t="s">
        <v>1673</v>
      </c>
      <c r="BJ70" s="104" t="s">
        <v>1176</v>
      </c>
      <c r="BK70" s="104" t="s">
        <v>1176</v>
      </c>
      <c r="BL70" s="104" t="s">
        <v>1176</v>
      </c>
      <c r="BM70" s="104" t="s">
        <v>1176</v>
      </c>
      <c r="BN70" s="104" t="s">
        <v>1176</v>
      </c>
      <c r="BO70" s="104" t="s">
        <v>1176</v>
      </c>
      <c r="BP70" s="104" t="s">
        <v>1176</v>
      </c>
      <c r="BQ70" s="104" t="s">
        <v>1176</v>
      </c>
      <c r="BR70" s="104" t="s">
        <v>1176</v>
      </c>
      <c r="BS70" s="104" t="s">
        <v>1176</v>
      </c>
      <c r="BT70" s="104" t="s">
        <v>1211</v>
      </c>
      <c r="BU70" s="104" t="s">
        <v>1673</v>
      </c>
      <c r="BV70" s="104" t="s">
        <v>1176</v>
      </c>
      <c r="BW70" s="104" t="s">
        <v>1176</v>
      </c>
      <c r="BX70" s="104" t="s">
        <v>1176</v>
      </c>
      <c r="BY70" s="104" t="s">
        <v>1176</v>
      </c>
      <c r="BZ70" s="104" t="s">
        <v>1176</v>
      </c>
      <c r="CA70" s="104" t="s">
        <v>1176</v>
      </c>
      <c r="CB70" s="104" t="s">
        <v>1176</v>
      </c>
      <c r="CC70" s="104" t="s">
        <v>1176</v>
      </c>
      <c r="CD70" s="104" t="s">
        <v>1176</v>
      </c>
      <c r="CE70" s="104" t="s">
        <v>1176</v>
      </c>
      <c r="CF70" s="104" t="s">
        <v>1176</v>
      </c>
      <c r="CG70" s="104" t="s">
        <v>1176</v>
      </c>
      <c r="CH70" s="104" t="s">
        <v>1176</v>
      </c>
      <c r="CI70" s="104" t="s">
        <v>1176</v>
      </c>
      <c r="CJ70" s="104" t="s">
        <v>1176</v>
      </c>
      <c r="CK70" s="104" t="s">
        <v>1176</v>
      </c>
      <c r="CL70" s="104" t="s">
        <v>1176</v>
      </c>
      <c r="CM70" s="104" t="s">
        <v>1176</v>
      </c>
      <c r="CN70" s="104" t="s">
        <v>1176</v>
      </c>
      <c r="CO70" s="104" t="s">
        <v>1176</v>
      </c>
    </row>
    <row r="71" s="102" customFormat="1" ht="15" spans="1:93">
      <c r="A71" s="104" t="s">
        <v>1264</v>
      </c>
      <c r="B71" s="104" t="s">
        <v>1146</v>
      </c>
      <c r="C71" s="104" t="s">
        <v>1147</v>
      </c>
      <c r="D71" s="104" t="s">
        <v>1674</v>
      </c>
      <c r="E71" s="104" t="s">
        <v>1675</v>
      </c>
      <c r="F71" s="104">
        <f t="shared" si="0"/>
        <v>3839</v>
      </c>
      <c r="G71" s="104" t="s">
        <v>1676</v>
      </c>
      <c r="H71" s="104" t="s">
        <v>1176</v>
      </c>
      <c r="I71" s="104" t="s">
        <v>1176</v>
      </c>
      <c r="J71" s="104" t="s">
        <v>1176</v>
      </c>
      <c r="K71" s="104" t="s">
        <v>1176</v>
      </c>
      <c r="L71" s="104" t="s">
        <v>1555</v>
      </c>
      <c r="M71" s="104" t="s">
        <v>1677</v>
      </c>
      <c r="N71" s="104" t="s">
        <v>1188</v>
      </c>
      <c r="O71" s="104" t="s">
        <v>1176</v>
      </c>
      <c r="P71" s="104" t="s">
        <v>1176</v>
      </c>
      <c r="Q71" s="104" t="s">
        <v>1176</v>
      </c>
      <c r="R71" s="104" t="s">
        <v>1176</v>
      </c>
      <c r="S71" s="104" t="s">
        <v>1176</v>
      </c>
      <c r="T71" s="104" t="s">
        <v>1176</v>
      </c>
      <c r="U71" s="104" t="s">
        <v>1201</v>
      </c>
      <c r="V71" s="104" t="s">
        <v>1678</v>
      </c>
      <c r="W71" s="104" t="s">
        <v>1176</v>
      </c>
      <c r="X71" s="104" t="s">
        <v>1679</v>
      </c>
      <c r="Y71" s="104" t="s">
        <v>1680</v>
      </c>
      <c r="Z71" s="104" t="s">
        <v>1681</v>
      </c>
      <c r="AA71" s="104" t="s">
        <v>1176</v>
      </c>
      <c r="AB71" s="104" t="s">
        <v>1176</v>
      </c>
      <c r="AC71" s="104" t="s">
        <v>1176</v>
      </c>
      <c r="AD71" s="104" t="s">
        <v>1176</v>
      </c>
      <c r="AE71" s="104" t="s">
        <v>1176</v>
      </c>
      <c r="AF71" s="104" t="s">
        <v>1176</v>
      </c>
      <c r="AG71" s="104" t="s">
        <v>1176</v>
      </c>
      <c r="AH71" s="104" t="s">
        <v>1176</v>
      </c>
      <c r="AI71" s="104" t="s">
        <v>1196</v>
      </c>
      <c r="AJ71" s="104" t="s">
        <v>1682</v>
      </c>
      <c r="AK71" s="104" t="s">
        <v>1400</v>
      </c>
      <c r="AL71" s="104" t="s">
        <v>1683</v>
      </c>
      <c r="AM71" s="104" t="s">
        <v>1176</v>
      </c>
      <c r="AN71" s="104" t="s">
        <v>1176</v>
      </c>
      <c r="AO71" s="104" t="s">
        <v>1176</v>
      </c>
      <c r="AP71" s="104" t="s">
        <v>1176</v>
      </c>
      <c r="AQ71" s="104" t="s">
        <v>1176</v>
      </c>
      <c r="AR71" s="104" t="s">
        <v>1176</v>
      </c>
      <c r="AS71" s="104" t="s">
        <v>1176</v>
      </c>
      <c r="AT71" s="104" t="s">
        <v>1176</v>
      </c>
      <c r="AU71" s="104" t="s">
        <v>1176</v>
      </c>
      <c r="AV71" s="104" t="s">
        <v>1176</v>
      </c>
      <c r="AW71" s="104" t="s">
        <v>1176</v>
      </c>
      <c r="AX71" s="104" t="s">
        <v>1176</v>
      </c>
      <c r="AY71" s="104" t="s">
        <v>1176</v>
      </c>
      <c r="AZ71" s="104" t="s">
        <v>1176</v>
      </c>
      <c r="BA71" s="104" t="s">
        <v>1176</v>
      </c>
      <c r="BB71" s="104" t="s">
        <v>1176</v>
      </c>
      <c r="BC71" s="104" t="s">
        <v>1176</v>
      </c>
      <c r="BD71" s="104" t="s">
        <v>1176</v>
      </c>
      <c r="BE71" s="104" t="s">
        <v>1176</v>
      </c>
      <c r="BF71" s="104" t="s">
        <v>1176</v>
      </c>
      <c r="BG71" s="104" t="s">
        <v>1420</v>
      </c>
      <c r="BH71" s="104" t="s">
        <v>1420</v>
      </c>
      <c r="BI71" s="104" t="s">
        <v>1684</v>
      </c>
      <c r="BJ71" s="104" t="s">
        <v>1176</v>
      </c>
      <c r="BK71" s="104" t="s">
        <v>1176</v>
      </c>
      <c r="BL71" s="104" t="s">
        <v>1176</v>
      </c>
      <c r="BM71" s="104" t="s">
        <v>1176</v>
      </c>
      <c r="BN71" s="104" t="s">
        <v>1176</v>
      </c>
      <c r="BO71" s="104" t="s">
        <v>1176</v>
      </c>
      <c r="BP71" s="104" t="s">
        <v>1176</v>
      </c>
      <c r="BQ71" s="104" t="s">
        <v>1176</v>
      </c>
      <c r="BR71" s="104" t="s">
        <v>1176</v>
      </c>
      <c r="BS71" s="104" t="s">
        <v>1176</v>
      </c>
      <c r="BT71" s="104" t="s">
        <v>1420</v>
      </c>
      <c r="BU71" s="104" t="s">
        <v>1684</v>
      </c>
      <c r="BV71" s="104" t="s">
        <v>1176</v>
      </c>
      <c r="BW71" s="104" t="s">
        <v>1176</v>
      </c>
      <c r="BX71" s="104" t="s">
        <v>1176</v>
      </c>
      <c r="BY71" s="104" t="s">
        <v>1176</v>
      </c>
      <c r="BZ71" s="104" t="s">
        <v>1176</v>
      </c>
      <c r="CA71" s="104" t="s">
        <v>1176</v>
      </c>
      <c r="CB71" s="104" t="s">
        <v>1176</v>
      </c>
      <c r="CC71" s="104" t="s">
        <v>1176</v>
      </c>
      <c r="CD71" s="104" t="s">
        <v>1176</v>
      </c>
      <c r="CE71" s="104" t="s">
        <v>1176</v>
      </c>
      <c r="CF71" s="104" t="s">
        <v>1176</v>
      </c>
      <c r="CG71" s="104" t="s">
        <v>1176</v>
      </c>
      <c r="CH71" s="104" t="s">
        <v>1176</v>
      </c>
      <c r="CI71" s="104" t="s">
        <v>1176</v>
      </c>
      <c r="CJ71" s="104" t="s">
        <v>1176</v>
      </c>
      <c r="CK71" s="104" t="s">
        <v>1176</v>
      </c>
      <c r="CL71" s="104" t="s">
        <v>1176</v>
      </c>
      <c r="CM71" s="104" t="s">
        <v>1176</v>
      </c>
      <c r="CN71" s="104" t="s">
        <v>1176</v>
      </c>
      <c r="CO71" s="104" t="s">
        <v>1176</v>
      </c>
    </row>
    <row r="72" s="102" customFormat="1" ht="15" spans="1:93">
      <c r="A72" s="104" t="s">
        <v>1685</v>
      </c>
      <c r="B72" s="104" t="s">
        <v>1146</v>
      </c>
      <c r="C72" s="104" t="s">
        <v>1147</v>
      </c>
      <c r="D72" s="104" t="s">
        <v>1686</v>
      </c>
      <c r="E72" s="104" t="s">
        <v>1687</v>
      </c>
      <c r="F72" s="104">
        <f t="shared" si="0"/>
        <v>2381</v>
      </c>
      <c r="G72" s="104" t="s">
        <v>1688</v>
      </c>
      <c r="H72" s="104" t="s">
        <v>1176</v>
      </c>
      <c r="I72" s="104" t="s">
        <v>1176</v>
      </c>
      <c r="J72" s="104" t="s">
        <v>1176</v>
      </c>
      <c r="K72" s="104" t="s">
        <v>1176</v>
      </c>
      <c r="L72" s="104" t="s">
        <v>1320</v>
      </c>
      <c r="M72" s="104" t="s">
        <v>1689</v>
      </c>
      <c r="N72" s="104" t="s">
        <v>1187</v>
      </c>
      <c r="O72" s="104" t="s">
        <v>1176</v>
      </c>
      <c r="P72" s="104" t="s">
        <v>1176</v>
      </c>
      <c r="Q72" s="104" t="s">
        <v>1176</v>
      </c>
      <c r="R72" s="104" t="s">
        <v>1176</v>
      </c>
      <c r="S72" s="104" t="s">
        <v>1176</v>
      </c>
      <c r="T72" s="104" t="s">
        <v>1176</v>
      </c>
      <c r="U72" s="104" t="s">
        <v>1172</v>
      </c>
      <c r="V72" s="104" t="s">
        <v>1690</v>
      </c>
      <c r="W72" s="104" t="s">
        <v>1176</v>
      </c>
      <c r="X72" s="104" t="s">
        <v>1691</v>
      </c>
      <c r="Y72" s="104" t="s">
        <v>1692</v>
      </c>
      <c r="Z72" s="104" t="s">
        <v>1693</v>
      </c>
      <c r="AA72" s="104" t="s">
        <v>1176</v>
      </c>
      <c r="AB72" s="104" t="s">
        <v>1176</v>
      </c>
      <c r="AC72" s="104" t="s">
        <v>1176</v>
      </c>
      <c r="AD72" s="104" t="s">
        <v>1176</v>
      </c>
      <c r="AE72" s="104" t="s">
        <v>1176</v>
      </c>
      <c r="AF72" s="104" t="s">
        <v>1176</v>
      </c>
      <c r="AG72" s="104" t="s">
        <v>1176</v>
      </c>
      <c r="AH72" s="104" t="s">
        <v>1176</v>
      </c>
      <c r="AI72" s="104" t="s">
        <v>1412</v>
      </c>
      <c r="AJ72" s="104" t="s">
        <v>1694</v>
      </c>
      <c r="AK72" s="104" t="s">
        <v>1695</v>
      </c>
      <c r="AL72" s="104" t="s">
        <v>1696</v>
      </c>
      <c r="AM72" s="104" t="s">
        <v>1176</v>
      </c>
      <c r="AN72" s="104" t="s">
        <v>1187</v>
      </c>
      <c r="AO72" s="104" t="s">
        <v>1176</v>
      </c>
      <c r="AP72" s="104" t="s">
        <v>1176</v>
      </c>
      <c r="AQ72" s="104" t="s">
        <v>1176</v>
      </c>
      <c r="AR72" s="104" t="s">
        <v>1176</v>
      </c>
      <c r="AS72" s="104" t="s">
        <v>1176</v>
      </c>
      <c r="AT72" s="104" t="s">
        <v>1176</v>
      </c>
      <c r="AU72" s="104" t="s">
        <v>1176</v>
      </c>
      <c r="AV72" s="104" t="s">
        <v>1176</v>
      </c>
      <c r="AW72" s="104" t="s">
        <v>1176</v>
      </c>
      <c r="AX72" s="104" t="s">
        <v>1176</v>
      </c>
      <c r="AY72" s="104" t="s">
        <v>1176</v>
      </c>
      <c r="AZ72" s="104" t="s">
        <v>1176</v>
      </c>
      <c r="BA72" s="104" t="s">
        <v>1176</v>
      </c>
      <c r="BB72" s="104" t="s">
        <v>1176</v>
      </c>
      <c r="BC72" s="104" t="s">
        <v>1176</v>
      </c>
      <c r="BD72" s="104" t="s">
        <v>1176</v>
      </c>
      <c r="BE72" s="104" t="s">
        <v>1176</v>
      </c>
      <c r="BF72" s="104" t="s">
        <v>1176</v>
      </c>
      <c r="BG72" s="104" t="s">
        <v>1180</v>
      </c>
      <c r="BH72" s="104" t="s">
        <v>1180</v>
      </c>
      <c r="BI72" s="104" t="s">
        <v>1697</v>
      </c>
      <c r="BJ72" s="104" t="s">
        <v>1176</v>
      </c>
      <c r="BK72" s="104" t="s">
        <v>1176</v>
      </c>
      <c r="BL72" s="104" t="s">
        <v>1176</v>
      </c>
      <c r="BM72" s="104" t="s">
        <v>1176</v>
      </c>
      <c r="BN72" s="104" t="s">
        <v>1176</v>
      </c>
      <c r="BO72" s="104" t="s">
        <v>1176</v>
      </c>
      <c r="BP72" s="104" t="s">
        <v>1176</v>
      </c>
      <c r="BQ72" s="104" t="s">
        <v>1176</v>
      </c>
      <c r="BR72" s="104" t="s">
        <v>1176</v>
      </c>
      <c r="BS72" s="104" t="s">
        <v>1176</v>
      </c>
      <c r="BT72" s="104" t="s">
        <v>1180</v>
      </c>
      <c r="BU72" s="104" t="s">
        <v>1697</v>
      </c>
      <c r="BV72" s="104" t="s">
        <v>1176</v>
      </c>
      <c r="BW72" s="104" t="s">
        <v>1176</v>
      </c>
      <c r="BX72" s="104" t="s">
        <v>1176</v>
      </c>
      <c r="BY72" s="104" t="s">
        <v>1176</v>
      </c>
      <c r="BZ72" s="104" t="s">
        <v>1176</v>
      </c>
      <c r="CA72" s="104" t="s">
        <v>1176</v>
      </c>
      <c r="CB72" s="104" t="s">
        <v>1176</v>
      </c>
      <c r="CC72" s="104" t="s">
        <v>1176</v>
      </c>
      <c r="CD72" s="104" t="s">
        <v>1176</v>
      </c>
      <c r="CE72" s="104" t="s">
        <v>1176</v>
      </c>
      <c r="CF72" s="104" t="s">
        <v>1176</v>
      </c>
      <c r="CG72" s="104" t="s">
        <v>1176</v>
      </c>
      <c r="CH72" s="104" t="s">
        <v>1176</v>
      </c>
      <c r="CI72" s="104" t="s">
        <v>1176</v>
      </c>
      <c r="CJ72" s="104" t="s">
        <v>1176</v>
      </c>
      <c r="CK72" s="104" t="s">
        <v>1176</v>
      </c>
      <c r="CL72" s="104" t="s">
        <v>1176</v>
      </c>
      <c r="CM72" s="104" t="s">
        <v>1176</v>
      </c>
      <c r="CN72" s="104" t="s">
        <v>1176</v>
      </c>
      <c r="CO72" s="104" t="s">
        <v>1176</v>
      </c>
    </row>
    <row r="73" s="102" customFormat="1" ht="15" spans="1:93">
      <c r="A73" s="104" t="s">
        <v>1350</v>
      </c>
      <c r="B73" s="104" t="s">
        <v>1146</v>
      </c>
      <c r="C73" s="104" t="s">
        <v>1147</v>
      </c>
      <c r="D73" s="104" t="s">
        <v>1698</v>
      </c>
      <c r="E73" s="104" t="s">
        <v>1699</v>
      </c>
      <c r="F73" s="104">
        <f t="shared" ref="F73:F136" si="1">G73+Y73+BH73</f>
        <v>2276</v>
      </c>
      <c r="G73" s="104" t="s">
        <v>1699</v>
      </c>
      <c r="H73" s="104" t="s">
        <v>1176</v>
      </c>
      <c r="I73" s="104" t="s">
        <v>1176</v>
      </c>
      <c r="J73" s="104" t="s">
        <v>1176</v>
      </c>
      <c r="K73" s="104" t="s">
        <v>1176</v>
      </c>
      <c r="L73" s="104" t="s">
        <v>1176</v>
      </c>
      <c r="M73" s="104" t="s">
        <v>1700</v>
      </c>
      <c r="N73" s="104" t="s">
        <v>1176</v>
      </c>
      <c r="O73" s="104" t="s">
        <v>1176</v>
      </c>
      <c r="P73" s="104" t="s">
        <v>1176</v>
      </c>
      <c r="Q73" s="104" t="s">
        <v>1176</v>
      </c>
      <c r="R73" s="104" t="s">
        <v>1176</v>
      </c>
      <c r="S73" s="104" t="s">
        <v>1176</v>
      </c>
      <c r="T73" s="104" t="s">
        <v>1176</v>
      </c>
      <c r="U73" s="104" t="s">
        <v>1176</v>
      </c>
      <c r="V73" s="104" t="s">
        <v>1701</v>
      </c>
      <c r="W73" s="104" t="s">
        <v>1176</v>
      </c>
      <c r="X73" s="104" t="s">
        <v>1176</v>
      </c>
      <c r="Y73" s="104" t="s">
        <v>1176</v>
      </c>
      <c r="Z73" s="104" t="s">
        <v>1176</v>
      </c>
      <c r="AA73" s="104" t="s">
        <v>1176</v>
      </c>
      <c r="AB73" s="104" t="s">
        <v>1176</v>
      </c>
      <c r="AC73" s="104" t="s">
        <v>1176</v>
      </c>
      <c r="AD73" s="104" t="s">
        <v>1176</v>
      </c>
      <c r="AE73" s="104" t="s">
        <v>1176</v>
      </c>
      <c r="AF73" s="104" t="s">
        <v>1176</v>
      </c>
      <c r="AG73" s="104" t="s">
        <v>1176</v>
      </c>
      <c r="AH73" s="104" t="s">
        <v>1176</v>
      </c>
      <c r="AI73" s="104" t="s">
        <v>1176</v>
      </c>
      <c r="AJ73" s="104" t="s">
        <v>1176</v>
      </c>
      <c r="AK73" s="104" t="s">
        <v>1176</v>
      </c>
      <c r="AL73" s="104" t="s">
        <v>1176</v>
      </c>
      <c r="AM73" s="104" t="s">
        <v>1176</v>
      </c>
      <c r="AN73" s="104" t="s">
        <v>1176</v>
      </c>
      <c r="AO73" s="104" t="s">
        <v>1176</v>
      </c>
      <c r="AP73" s="104" t="s">
        <v>1176</v>
      </c>
      <c r="AQ73" s="104" t="s">
        <v>1176</v>
      </c>
      <c r="AR73" s="104" t="s">
        <v>1176</v>
      </c>
      <c r="AS73" s="104" t="s">
        <v>1176</v>
      </c>
      <c r="AT73" s="104" t="s">
        <v>1176</v>
      </c>
      <c r="AU73" s="104" t="s">
        <v>1176</v>
      </c>
      <c r="AV73" s="104" t="s">
        <v>1176</v>
      </c>
      <c r="AW73" s="104" t="s">
        <v>1176</v>
      </c>
      <c r="AX73" s="104" t="s">
        <v>1176</v>
      </c>
      <c r="AY73" s="104" t="s">
        <v>1176</v>
      </c>
      <c r="AZ73" s="104" t="s">
        <v>1176</v>
      </c>
      <c r="BA73" s="104" t="s">
        <v>1176</v>
      </c>
      <c r="BB73" s="104" t="s">
        <v>1176</v>
      </c>
      <c r="BC73" s="104" t="s">
        <v>1176</v>
      </c>
      <c r="BD73" s="104" t="s">
        <v>1176</v>
      </c>
      <c r="BE73" s="104" t="s">
        <v>1176</v>
      </c>
      <c r="BF73" s="104" t="s">
        <v>1176</v>
      </c>
      <c r="BG73" s="104" t="s">
        <v>1176</v>
      </c>
      <c r="BH73" s="104" t="s">
        <v>1176</v>
      </c>
      <c r="BI73" s="104" t="s">
        <v>1176</v>
      </c>
      <c r="BJ73" s="104" t="s">
        <v>1176</v>
      </c>
      <c r="BK73" s="104" t="s">
        <v>1176</v>
      </c>
      <c r="BL73" s="104" t="s">
        <v>1176</v>
      </c>
      <c r="BM73" s="104" t="s">
        <v>1176</v>
      </c>
      <c r="BN73" s="104" t="s">
        <v>1176</v>
      </c>
      <c r="BO73" s="104" t="s">
        <v>1176</v>
      </c>
      <c r="BP73" s="104" t="s">
        <v>1176</v>
      </c>
      <c r="BQ73" s="104" t="s">
        <v>1176</v>
      </c>
      <c r="BR73" s="104" t="s">
        <v>1176</v>
      </c>
      <c r="BS73" s="104" t="s">
        <v>1176</v>
      </c>
      <c r="BT73" s="104" t="s">
        <v>1176</v>
      </c>
      <c r="BU73" s="104" t="s">
        <v>1176</v>
      </c>
      <c r="BV73" s="104" t="s">
        <v>1176</v>
      </c>
      <c r="BW73" s="104" t="s">
        <v>1176</v>
      </c>
      <c r="BX73" s="104" t="s">
        <v>1176</v>
      </c>
      <c r="BY73" s="104" t="s">
        <v>1176</v>
      </c>
      <c r="BZ73" s="104" t="s">
        <v>1176</v>
      </c>
      <c r="CA73" s="104" t="s">
        <v>1176</v>
      </c>
      <c r="CB73" s="104" t="s">
        <v>1176</v>
      </c>
      <c r="CC73" s="104" t="s">
        <v>1176</v>
      </c>
      <c r="CD73" s="104" t="s">
        <v>1176</v>
      </c>
      <c r="CE73" s="104" t="s">
        <v>1176</v>
      </c>
      <c r="CF73" s="104" t="s">
        <v>1176</v>
      </c>
      <c r="CG73" s="104" t="s">
        <v>1176</v>
      </c>
      <c r="CH73" s="104" t="s">
        <v>1176</v>
      </c>
      <c r="CI73" s="104" t="s">
        <v>1176</v>
      </c>
      <c r="CJ73" s="104" t="s">
        <v>1176</v>
      </c>
      <c r="CK73" s="104" t="s">
        <v>1176</v>
      </c>
      <c r="CL73" s="104" t="s">
        <v>1176</v>
      </c>
      <c r="CM73" s="104" t="s">
        <v>1176</v>
      </c>
      <c r="CN73" s="104" t="s">
        <v>1176</v>
      </c>
      <c r="CO73" s="104" t="s">
        <v>1176</v>
      </c>
    </row>
    <row r="74" s="102" customFormat="1" ht="15" spans="1:93">
      <c r="A74" s="104" t="s">
        <v>1702</v>
      </c>
      <c r="B74" s="104" t="s">
        <v>1146</v>
      </c>
      <c r="C74" s="104" t="s">
        <v>1147</v>
      </c>
      <c r="D74" s="104" t="s">
        <v>1703</v>
      </c>
      <c r="E74" s="104" t="s">
        <v>1704</v>
      </c>
      <c r="F74" s="104">
        <f t="shared" si="1"/>
        <v>4568</v>
      </c>
      <c r="G74" s="104" t="s">
        <v>1705</v>
      </c>
      <c r="H74" s="104" t="s">
        <v>1176</v>
      </c>
      <c r="I74" s="104" t="s">
        <v>1176</v>
      </c>
      <c r="J74" s="104" t="s">
        <v>1176</v>
      </c>
      <c r="K74" s="104" t="s">
        <v>1176</v>
      </c>
      <c r="L74" s="104" t="s">
        <v>1706</v>
      </c>
      <c r="M74" s="104" t="s">
        <v>1707</v>
      </c>
      <c r="N74" s="104" t="s">
        <v>1176</v>
      </c>
      <c r="O74" s="104" t="s">
        <v>1176</v>
      </c>
      <c r="P74" s="104" t="s">
        <v>1176</v>
      </c>
      <c r="Q74" s="104" t="s">
        <v>1176</v>
      </c>
      <c r="R74" s="104" t="s">
        <v>1176</v>
      </c>
      <c r="S74" s="104" t="s">
        <v>1176</v>
      </c>
      <c r="T74" s="104" t="s">
        <v>1176</v>
      </c>
      <c r="U74" s="104" t="s">
        <v>1176</v>
      </c>
      <c r="V74" s="104" t="s">
        <v>1708</v>
      </c>
      <c r="W74" s="104" t="s">
        <v>1176</v>
      </c>
      <c r="X74" s="104" t="s">
        <v>1709</v>
      </c>
      <c r="Y74" s="104" t="s">
        <v>1710</v>
      </c>
      <c r="Z74" s="104" t="s">
        <v>1711</v>
      </c>
      <c r="AA74" s="104" t="s">
        <v>1176</v>
      </c>
      <c r="AB74" s="104" t="s">
        <v>1176</v>
      </c>
      <c r="AC74" s="104" t="s">
        <v>1176</v>
      </c>
      <c r="AD74" s="104" t="s">
        <v>1176</v>
      </c>
      <c r="AE74" s="104" t="s">
        <v>1176</v>
      </c>
      <c r="AF74" s="104" t="s">
        <v>1176</v>
      </c>
      <c r="AG74" s="104" t="s">
        <v>1176</v>
      </c>
      <c r="AH74" s="104" t="s">
        <v>1176</v>
      </c>
      <c r="AI74" s="104" t="s">
        <v>1176</v>
      </c>
      <c r="AJ74" s="104" t="s">
        <v>1176</v>
      </c>
      <c r="AK74" s="104" t="s">
        <v>1712</v>
      </c>
      <c r="AL74" s="104" t="s">
        <v>1713</v>
      </c>
      <c r="AM74" s="104" t="s">
        <v>1176</v>
      </c>
      <c r="AN74" s="104" t="s">
        <v>1176</v>
      </c>
      <c r="AO74" s="104" t="s">
        <v>1176</v>
      </c>
      <c r="AP74" s="104" t="s">
        <v>1176</v>
      </c>
      <c r="AQ74" s="104" t="s">
        <v>1176</v>
      </c>
      <c r="AR74" s="104" t="s">
        <v>1176</v>
      </c>
      <c r="AS74" s="104" t="s">
        <v>1176</v>
      </c>
      <c r="AT74" s="104" t="s">
        <v>1176</v>
      </c>
      <c r="AU74" s="104" t="s">
        <v>1172</v>
      </c>
      <c r="AV74" s="104" t="s">
        <v>1230</v>
      </c>
      <c r="AW74" s="104" t="s">
        <v>1176</v>
      </c>
      <c r="AX74" s="104" t="s">
        <v>1176</v>
      </c>
      <c r="AY74" s="104" t="s">
        <v>1176</v>
      </c>
      <c r="AZ74" s="104" t="s">
        <v>1176</v>
      </c>
      <c r="BA74" s="104" t="s">
        <v>1176</v>
      </c>
      <c r="BB74" s="104" t="s">
        <v>1176</v>
      </c>
      <c r="BC74" s="104" t="s">
        <v>1176</v>
      </c>
      <c r="BD74" s="104" t="s">
        <v>1176</v>
      </c>
      <c r="BE74" s="104" t="s">
        <v>1176</v>
      </c>
      <c r="BF74" s="104" t="s">
        <v>1176</v>
      </c>
      <c r="BG74" s="104" t="s">
        <v>1176</v>
      </c>
      <c r="BH74" s="104" t="s">
        <v>1176</v>
      </c>
      <c r="BI74" s="104" t="s">
        <v>1176</v>
      </c>
      <c r="BJ74" s="104" t="s">
        <v>1176</v>
      </c>
      <c r="BK74" s="104" t="s">
        <v>1176</v>
      </c>
      <c r="BL74" s="104" t="s">
        <v>1176</v>
      </c>
      <c r="BM74" s="104" t="s">
        <v>1176</v>
      </c>
      <c r="BN74" s="104" t="s">
        <v>1176</v>
      </c>
      <c r="BO74" s="104" t="s">
        <v>1176</v>
      </c>
      <c r="BP74" s="104" t="s">
        <v>1176</v>
      </c>
      <c r="BQ74" s="104" t="s">
        <v>1176</v>
      </c>
      <c r="BR74" s="104" t="s">
        <v>1176</v>
      </c>
      <c r="BS74" s="104" t="s">
        <v>1176</v>
      </c>
      <c r="BT74" s="104" t="s">
        <v>1176</v>
      </c>
      <c r="BU74" s="104" t="s">
        <v>1176</v>
      </c>
      <c r="BV74" s="104" t="s">
        <v>1176</v>
      </c>
      <c r="BW74" s="104" t="s">
        <v>1176</v>
      </c>
      <c r="BX74" s="104" t="s">
        <v>1176</v>
      </c>
      <c r="BY74" s="104" t="s">
        <v>1176</v>
      </c>
      <c r="BZ74" s="104" t="s">
        <v>1176</v>
      </c>
      <c r="CA74" s="104" t="s">
        <v>1176</v>
      </c>
      <c r="CB74" s="104" t="s">
        <v>1176</v>
      </c>
      <c r="CC74" s="104" t="s">
        <v>1176</v>
      </c>
      <c r="CD74" s="104" t="s">
        <v>1176</v>
      </c>
      <c r="CE74" s="104" t="s">
        <v>1176</v>
      </c>
      <c r="CF74" s="104" t="s">
        <v>1176</v>
      </c>
      <c r="CG74" s="104" t="s">
        <v>1176</v>
      </c>
      <c r="CH74" s="104" t="s">
        <v>1176</v>
      </c>
      <c r="CI74" s="104" t="s">
        <v>1176</v>
      </c>
      <c r="CJ74" s="104" t="s">
        <v>1176</v>
      </c>
      <c r="CK74" s="104" t="s">
        <v>1176</v>
      </c>
      <c r="CL74" s="104" t="s">
        <v>1176</v>
      </c>
      <c r="CM74" s="104" t="s">
        <v>1176</v>
      </c>
      <c r="CN74" s="104" t="s">
        <v>1176</v>
      </c>
      <c r="CO74" s="104" t="s">
        <v>1176</v>
      </c>
    </row>
    <row r="75" s="102" customFormat="1" ht="15" spans="1:93">
      <c r="A75" s="104" t="s">
        <v>1249</v>
      </c>
      <c r="B75" s="104" t="s">
        <v>1146</v>
      </c>
      <c r="C75" s="104" t="s">
        <v>1147</v>
      </c>
      <c r="D75" s="104" t="s">
        <v>1714</v>
      </c>
      <c r="E75" s="104" t="s">
        <v>1715</v>
      </c>
      <c r="F75" s="104">
        <f t="shared" si="1"/>
        <v>6689</v>
      </c>
      <c r="G75" s="104" t="s">
        <v>1716</v>
      </c>
      <c r="H75" s="104" t="s">
        <v>1176</v>
      </c>
      <c r="I75" s="104" t="s">
        <v>1176</v>
      </c>
      <c r="J75" s="104" t="s">
        <v>1176</v>
      </c>
      <c r="K75" s="104" t="s">
        <v>1176</v>
      </c>
      <c r="L75" s="104" t="s">
        <v>1717</v>
      </c>
      <c r="M75" s="104" t="s">
        <v>1718</v>
      </c>
      <c r="N75" s="104" t="s">
        <v>1196</v>
      </c>
      <c r="O75" s="104" t="s">
        <v>1176</v>
      </c>
      <c r="P75" s="104" t="s">
        <v>1176</v>
      </c>
      <c r="Q75" s="104" t="s">
        <v>1176</v>
      </c>
      <c r="R75" s="104" t="s">
        <v>1176</v>
      </c>
      <c r="S75" s="104" t="s">
        <v>1176</v>
      </c>
      <c r="T75" s="104" t="s">
        <v>1176</v>
      </c>
      <c r="U75" s="104" t="s">
        <v>1188</v>
      </c>
      <c r="V75" s="104" t="s">
        <v>1719</v>
      </c>
      <c r="W75" s="104" t="s">
        <v>1176</v>
      </c>
      <c r="X75" s="104" t="s">
        <v>1720</v>
      </c>
      <c r="Y75" s="104" t="s">
        <v>1721</v>
      </c>
      <c r="Z75" s="104" t="s">
        <v>1722</v>
      </c>
      <c r="AA75" s="104" t="s">
        <v>1176</v>
      </c>
      <c r="AB75" s="104" t="s">
        <v>1176</v>
      </c>
      <c r="AC75" s="104" t="s">
        <v>1176</v>
      </c>
      <c r="AD75" s="104" t="s">
        <v>1176</v>
      </c>
      <c r="AE75" s="104" t="s">
        <v>1176</v>
      </c>
      <c r="AF75" s="104" t="s">
        <v>1176</v>
      </c>
      <c r="AG75" s="104" t="s">
        <v>1176</v>
      </c>
      <c r="AH75" s="104" t="s">
        <v>1176</v>
      </c>
      <c r="AI75" s="104" t="s">
        <v>1212</v>
      </c>
      <c r="AJ75" s="104" t="s">
        <v>1245</v>
      </c>
      <c r="AK75" s="104" t="s">
        <v>1723</v>
      </c>
      <c r="AL75" s="104" t="s">
        <v>1724</v>
      </c>
      <c r="AM75" s="104" t="s">
        <v>1176</v>
      </c>
      <c r="AN75" s="104" t="s">
        <v>1180</v>
      </c>
      <c r="AO75" s="104" t="s">
        <v>1176</v>
      </c>
      <c r="AP75" s="104" t="s">
        <v>1176</v>
      </c>
      <c r="AQ75" s="104" t="s">
        <v>1176</v>
      </c>
      <c r="AR75" s="104" t="s">
        <v>1176</v>
      </c>
      <c r="AS75" s="104" t="s">
        <v>1176</v>
      </c>
      <c r="AT75" s="104" t="s">
        <v>1176</v>
      </c>
      <c r="AU75" s="104" t="s">
        <v>1176</v>
      </c>
      <c r="AV75" s="104" t="s">
        <v>1176</v>
      </c>
      <c r="AW75" s="104" t="s">
        <v>1176</v>
      </c>
      <c r="AX75" s="104" t="s">
        <v>1176</v>
      </c>
      <c r="AY75" s="104" t="s">
        <v>1176</v>
      </c>
      <c r="AZ75" s="104" t="s">
        <v>1176</v>
      </c>
      <c r="BA75" s="104" t="s">
        <v>1176</v>
      </c>
      <c r="BB75" s="104" t="s">
        <v>1176</v>
      </c>
      <c r="BC75" s="104" t="s">
        <v>1176</v>
      </c>
      <c r="BD75" s="104" t="s">
        <v>1176</v>
      </c>
      <c r="BE75" s="104" t="s">
        <v>1176</v>
      </c>
      <c r="BF75" s="104" t="s">
        <v>1176</v>
      </c>
      <c r="BG75" s="104" t="s">
        <v>1187</v>
      </c>
      <c r="BH75" s="104" t="s">
        <v>1187</v>
      </c>
      <c r="BI75" s="104" t="s">
        <v>1212</v>
      </c>
      <c r="BJ75" s="104" t="s">
        <v>1176</v>
      </c>
      <c r="BK75" s="104" t="s">
        <v>1176</v>
      </c>
      <c r="BL75" s="104" t="s">
        <v>1176</v>
      </c>
      <c r="BM75" s="104" t="s">
        <v>1176</v>
      </c>
      <c r="BN75" s="104" t="s">
        <v>1176</v>
      </c>
      <c r="BO75" s="104" t="s">
        <v>1176</v>
      </c>
      <c r="BP75" s="104" t="s">
        <v>1176</v>
      </c>
      <c r="BQ75" s="104" t="s">
        <v>1176</v>
      </c>
      <c r="BR75" s="104" t="s">
        <v>1176</v>
      </c>
      <c r="BS75" s="104" t="s">
        <v>1176</v>
      </c>
      <c r="BT75" s="104" t="s">
        <v>1176</v>
      </c>
      <c r="BU75" s="104" t="s">
        <v>1176</v>
      </c>
      <c r="BV75" s="104" t="s">
        <v>1176</v>
      </c>
      <c r="BW75" s="104" t="s">
        <v>1176</v>
      </c>
      <c r="BX75" s="104" t="s">
        <v>1172</v>
      </c>
      <c r="BY75" s="104" t="s">
        <v>1172</v>
      </c>
      <c r="BZ75" s="104" t="s">
        <v>1176</v>
      </c>
      <c r="CA75" s="104" t="s">
        <v>1176</v>
      </c>
      <c r="CB75" s="104" t="s">
        <v>1176</v>
      </c>
      <c r="CC75" s="104" t="s">
        <v>1176</v>
      </c>
      <c r="CD75" s="104" t="s">
        <v>1176</v>
      </c>
      <c r="CE75" s="104" t="s">
        <v>1176</v>
      </c>
      <c r="CF75" s="104" t="s">
        <v>1172</v>
      </c>
      <c r="CG75" s="104" t="s">
        <v>1187</v>
      </c>
      <c r="CH75" s="104" t="s">
        <v>1176</v>
      </c>
      <c r="CI75" s="104" t="s">
        <v>1176</v>
      </c>
      <c r="CJ75" s="104" t="s">
        <v>1176</v>
      </c>
      <c r="CK75" s="104" t="s">
        <v>1176</v>
      </c>
      <c r="CL75" s="104" t="s">
        <v>1176</v>
      </c>
      <c r="CM75" s="104" t="s">
        <v>1176</v>
      </c>
      <c r="CN75" s="104" t="s">
        <v>1176</v>
      </c>
      <c r="CO75" s="104" t="s">
        <v>1176</v>
      </c>
    </row>
    <row r="76" s="102" customFormat="1" ht="15" spans="1:93">
      <c r="A76" s="104" t="s">
        <v>1598</v>
      </c>
      <c r="B76" s="104" t="s">
        <v>1146</v>
      </c>
      <c r="C76" s="104" t="s">
        <v>1147</v>
      </c>
      <c r="D76" s="104" t="s">
        <v>1725</v>
      </c>
      <c r="E76" s="104" t="s">
        <v>1726</v>
      </c>
      <c r="F76" s="104">
        <f t="shared" si="1"/>
        <v>4898</v>
      </c>
      <c r="G76" s="104" t="s">
        <v>1727</v>
      </c>
      <c r="H76" s="104" t="s">
        <v>1176</v>
      </c>
      <c r="I76" s="104" t="s">
        <v>1176</v>
      </c>
      <c r="J76" s="104" t="s">
        <v>1176</v>
      </c>
      <c r="K76" s="104" t="s">
        <v>1176</v>
      </c>
      <c r="L76" s="104" t="s">
        <v>1728</v>
      </c>
      <c r="M76" s="104" t="s">
        <v>1729</v>
      </c>
      <c r="N76" s="104" t="s">
        <v>1730</v>
      </c>
      <c r="O76" s="104" t="s">
        <v>1176</v>
      </c>
      <c r="P76" s="104" t="s">
        <v>1176</v>
      </c>
      <c r="Q76" s="104" t="s">
        <v>1176</v>
      </c>
      <c r="R76" s="104" t="s">
        <v>1176</v>
      </c>
      <c r="S76" s="104" t="s">
        <v>1176</v>
      </c>
      <c r="T76" s="104" t="s">
        <v>1176</v>
      </c>
      <c r="U76" s="104" t="s">
        <v>1429</v>
      </c>
      <c r="V76" s="104" t="s">
        <v>1731</v>
      </c>
      <c r="W76" s="104" t="s">
        <v>1176</v>
      </c>
      <c r="X76" s="104" t="s">
        <v>1732</v>
      </c>
      <c r="Y76" s="104" t="s">
        <v>1733</v>
      </c>
      <c r="Z76" s="104" t="s">
        <v>1734</v>
      </c>
      <c r="AA76" s="104" t="s">
        <v>1176</v>
      </c>
      <c r="AB76" s="104" t="s">
        <v>1176</v>
      </c>
      <c r="AC76" s="104" t="s">
        <v>1176</v>
      </c>
      <c r="AD76" s="104" t="s">
        <v>1176</v>
      </c>
      <c r="AE76" s="104" t="s">
        <v>1176</v>
      </c>
      <c r="AF76" s="104" t="s">
        <v>1176</v>
      </c>
      <c r="AG76" s="104" t="s">
        <v>1176</v>
      </c>
      <c r="AH76" s="104" t="s">
        <v>1176</v>
      </c>
      <c r="AI76" s="104" t="s">
        <v>1735</v>
      </c>
      <c r="AJ76" s="104" t="s">
        <v>1736</v>
      </c>
      <c r="AK76" s="104" t="s">
        <v>1737</v>
      </c>
      <c r="AL76" s="104" t="s">
        <v>1738</v>
      </c>
      <c r="AM76" s="104" t="s">
        <v>1176</v>
      </c>
      <c r="AN76" s="104" t="s">
        <v>1356</v>
      </c>
      <c r="AO76" s="104" t="s">
        <v>1176</v>
      </c>
      <c r="AP76" s="104" t="s">
        <v>1176</v>
      </c>
      <c r="AQ76" s="104" t="s">
        <v>1176</v>
      </c>
      <c r="AR76" s="104" t="s">
        <v>1176</v>
      </c>
      <c r="AS76" s="104" t="s">
        <v>1176</v>
      </c>
      <c r="AT76" s="104" t="s">
        <v>1176</v>
      </c>
      <c r="AU76" s="104" t="s">
        <v>1201</v>
      </c>
      <c r="AV76" s="104" t="s">
        <v>1354</v>
      </c>
      <c r="AW76" s="104" t="s">
        <v>1176</v>
      </c>
      <c r="AX76" s="104" t="s">
        <v>1176</v>
      </c>
      <c r="AY76" s="104" t="s">
        <v>1176</v>
      </c>
      <c r="AZ76" s="104" t="s">
        <v>1176</v>
      </c>
      <c r="BA76" s="104" t="s">
        <v>1176</v>
      </c>
      <c r="BB76" s="104" t="s">
        <v>1176</v>
      </c>
      <c r="BC76" s="104" t="s">
        <v>1176</v>
      </c>
      <c r="BD76" s="104" t="s">
        <v>1176</v>
      </c>
      <c r="BE76" s="104" t="s">
        <v>1176</v>
      </c>
      <c r="BF76" s="104" t="s">
        <v>1176</v>
      </c>
      <c r="BG76" s="104" t="s">
        <v>1180</v>
      </c>
      <c r="BH76" s="104" t="s">
        <v>1180</v>
      </c>
      <c r="BI76" s="104" t="s">
        <v>1180</v>
      </c>
      <c r="BJ76" s="104" t="s">
        <v>1176</v>
      </c>
      <c r="BK76" s="104" t="s">
        <v>1176</v>
      </c>
      <c r="BL76" s="104" t="s">
        <v>1176</v>
      </c>
      <c r="BM76" s="104" t="s">
        <v>1176</v>
      </c>
      <c r="BN76" s="104" t="s">
        <v>1176</v>
      </c>
      <c r="BO76" s="104" t="s">
        <v>1176</v>
      </c>
      <c r="BP76" s="104" t="s">
        <v>1176</v>
      </c>
      <c r="BQ76" s="104" t="s">
        <v>1176</v>
      </c>
      <c r="BR76" s="104" t="s">
        <v>1176</v>
      </c>
      <c r="BS76" s="104" t="s">
        <v>1176</v>
      </c>
      <c r="BT76" s="104" t="s">
        <v>1180</v>
      </c>
      <c r="BU76" s="104" t="s">
        <v>1180</v>
      </c>
      <c r="BV76" s="104" t="s">
        <v>1176</v>
      </c>
      <c r="BW76" s="104" t="s">
        <v>1176</v>
      </c>
      <c r="BX76" s="104" t="s">
        <v>1176</v>
      </c>
      <c r="BY76" s="104" t="s">
        <v>1176</v>
      </c>
      <c r="BZ76" s="104" t="s">
        <v>1176</v>
      </c>
      <c r="CA76" s="104" t="s">
        <v>1176</v>
      </c>
      <c r="CB76" s="104" t="s">
        <v>1176</v>
      </c>
      <c r="CC76" s="104" t="s">
        <v>1176</v>
      </c>
      <c r="CD76" s="104" t="s">
        <v>1176</v>
      </c>
      <c r="CE76" s="104" t="s">
        <v>1176</v>
      </c>
      <c r="CF76" s="104" t="s">
        <v>1176</v>
      </c>
      <c r="CG76" s="104" t="s">
        <v>1176</v>
      </c>
      <c r="CH76" s="104" t="s">
        <v>1176</v>
      </c>
      <c r="CI76" s="104" t="s">
        <v>1176</v>
      </c>
      <c r="CJ76" s="104" t="s">
        <v>1176</v>
      </c>
      <c r="CK76" s="104" t="s">
        <v>1176</v>
      </c>
      <c r="CL76" s="104" t="s">
        <v>1176</v>
      </c>
      <c r="CM76" s="104" t="s">
        <v>1176</v>
      </c>
      <c r="CN76" s="104" t="s">
        <v>1176</v>
      </c>
      <c r="CO76" s="104" t="s">
        <v>1176</v>
      </c>
    </row>
    <row r="77" s="102" customFormat="1" ht="15" spans="1:93">
      <c r="A77" s="104" t="s">
        <v>1418</v>
      </c>
      <c r="B77" s="104" t="s">
        <v>1146</v>
      </c>
      <c r="C77" s="104" t="s">
        <v>1147</v>
      </c>
      <c r="D77" s="104" t="s">
        <v>1739</v>
      </c>
      <c r="E77" s="104" t="s">
        <v>1740</v>
      </c>
      <c r="F77" s="104">
        <f t="shared" si="1"/>
        <v>3744</v>
      </c>
      <c r="G77" s="104" t="s">
        <v>1741</v>
      </c>
      <c r="H77" s="104" t="s">
        <v>1176</v>
      </c>
      <c r="I77" s="104" t="s">
        <v>1176</v>
      </c>
      <c r="J77" s="104" t="s">
        <v>1176</v>
      </c>
      <c r="K77" s="104" t="s">
        <v>1176</v>
      </c>
      <c r="L77" s="104" t="s">
        <v>1742</v>
      </c>
      <c r="M77" s="104" t="s">
        <v>1743</v>
      </c>
      <c r="N77" s="104" t="s">
        <v>1326</v>
      </c>
      <c r="O77" s="104" t="s">
        <v>1176</v>
      </c>
      <c r="P77" s="104" t="s">
        <v>1176</v>
      </c>
      <c r="Q77" s="104" t="s">
        <v>1176</v>
      </c>
      <c r="R77" s="104" t="s">
        <v>1176</v>
      </c>
      <c r="S77" s="104" t="s">
        <v>1176</v>
      </c>
      <c r="T77" s="104" t="s">
        <v>1176</v>
      </c>
      <c r="U77" s="104" t="s">
        <v>1196</v>
      </c>
      <c r="V77" s="104" t="s">
        <v>1744</v>
      </c>
      <c r="W77" s="104" t="s">
        <v>1176</v>
      </c>
      <c r="X77" s="104" t="s">
        <v>1745</v>
      </c>
      <c r="Y77" s="104" t="s">
        <v>1746</v>
      </c>
      <c r="Z77" s="104" t="s">
        <v>1747</v>
      </c>
      <c r="AA77" s="104" t="s">
        <v>1176</v>
      </c>
      <c r="AB77" s="104" t="s">
        <v>1176</v>
      </c>
      <c r="AC77" s="104" t="s">
        <v>1176</v>
      </c>
      <c r="AD77" s="104" t="s">
        <v>1176</v>
      </c>
      <c r="AE77" s="104" t="s">
        <v>1176</v>
      </c>
      <c r="AF77" s="104" t="s">
        <v>1176</v>
      </c>
      <c r="AG77" s="104" t="s">
        <v>1176</v>
      </c>
      <c r="AH77" s="104" t="s">
        <v>1176</v>
      </c>
      <c r="AI77" s="104" t="s">
        <v>1748</v>
      </c>
      <c r="AJ77" s="104" t="s">
        <v>1749</v>
      </c>
      <c r="AK77" s="104" t="s">
        <v>1750</v>
      </c>
      <c r="AL77" s="104" t="s">
        <v>1751</v>
      </c>
      <c r="AM77" s="104" t="s">
        <v>1176</v>
      </c>
      <c r="AN77" s="104" t="s">
        <v>1455</v>
      </c>
      <c r="AO77" s="104" t="s">
        <v>1176</v>
      </c>
      <c r="AP77" s="104" t="s">
        <v>1176</v>
      </c>
      <c r="AQ77" s="104" t="s">
        <v>1176</v>
      </c>
      <c r="AR77" s="104" t="s">
        <v>1176</v>
      </c>
      <c r="AS77" s="104" t="s">
        <v>1176</v>
      </c>
      <c r="AT77" s="104" t="s">
        <v>1176</v>
      </c>
      <c r="AU77" s="104" t="s">
        <v>1172</v>
      </c>
      <c r="AV77" s="104" t="s">
        <v>1172</v>
      </c>
      <c r="AW77" s="104" t="s">
        <v>1176</v>
      </c>
      <c r="AX77" s="104" t="s">
        <v>1176</v>
      </c>
      <c r="AY77" s="104" t="s">
        <v>1176</v>
      </c>
      <c r="AZ77" s="104" t="s">
        <v>1176</v>
      </c>
      <c r="BA77" s="104" t="s">
        <v>1176</v>
      </c>
      <c r="BB77" s="104" t="s">
        <v>1176</v>
      </c>
      <c r="BC77" s="104" t="s">
        <v>1176</v>
      </c>
      <c r="BD77" s="104" t="s">
        <v>1176</v>
      </c>
      <c r="BE77" s="104" t="s">
        <v>1176</v>
      </c>
      <c r="BF77" s="104" t="s">
        <v>1176</v>
      </c>
      <c r="BG77" s="104" t="s">
        <v>1232</v>
      </c>
      <c r="BH77" s="104" t="s">
        <v>1232</v>
      </c>
      <c r="BI77" s="104" t="s">
        <v>1223</v>
      </c>
      <c r="BJ77" s="104" t="s">
        <v>1176</v>
      </c>
      <c r="BK77" s="104" t="s">
        <v>1176</v>
      </c>
      <c r="BL77" s="104" t="s">
        <v>1176</v>
      </c>
      <c r="BM77" s="104" t="s">
        <v>1176</v>
      </c>
      <c r="BN77" s="104" t="s">
        <v>1176</v>
      </c>
      <c r="BO77" s="104" t="s">
        <v>1176</v>
      </c>
      <c r="BP77" s="104" t="s">
        <v>1176</v>
      </c>
      <c r="BQ77" s="104" t="s">
        <v>1176</v>
      </c>
      <c r="BR77" s="104" t="s">
        <v>1180</v>
      </c>
      <c r="BS77" s="104" t="s">
        <v>1196</v>
      </c>
      <c r="BT77" s="104" t="s">
        <v>1176</v>
      </c>
      <c r="BU77" s="104" t="s">
        <v>1176</v>
      </c>
      <c r="BV77" s="104" t="s">
        <v>1176</v>
      </c>
      <c r="BW77" s="104" t="s">
        <v>1176</v>
      </c>
      <c r="BX77" s="104" t="s">
        <v>1172</v>
      </c>
      <c r="BY77" s="104" t="s">
        <v>1180</v>
      </c>
      <c r="BZ77" s="104" t="s">
        <v>1176</v>
      </c>
      <c r="CA77" s="104" t="s">
        <v>1176</v>
      </c>
      <c r="CB77" s="104" t="s">
        <v>1176</v>
      </c>
      <c r="CC77" s="104" t="s">
        <v>1176</v>
      </c>
      <c r="CD77" s="104" t="s">
        <v>1176</v>
      </c>
      <c r="CE77" s="104" t="s">
        <v>1176</v>
      </c>
      <c r="CF77" s="104" t="s">
        <v>1176</v>
      </c>
      <c r="CG77" s="104" t="s">
        <v>1176</v>
      </c>
      <c r="CH77" s="104" t="s">
        <v>1176</v>
      </c>
      <c r="CI77" s="104" t="s">
        <v>1176</v>
      </c>
      <c r="CJ77" s="104" t="s">
        <v>1176</v>
      </c>
      <c r="CK77" s="104" t="s">
        <v>1176</v>
      </c>
      <c r="CL77" s="104" t="s">
        <v>1176</v>
      </c>
      <c r="CM77" s="104" t="s">
        <v>1176</v>
      </c>
      <c r="CN77" s="104" t="s">
        <v>1176</v>
      </c>
      <c r="CO77" s="104" t="s">
        <v>1176</v>
      </c>
    </row>
    <row r="78" s="102" customFormat="1" ht="15" spans="1:93">
      <c r="A78" s="104" t="s">
        <v>1521</v>
      </c>
      <c r="B78" s="104" t="s">
        <v>1146</v>
      </c>
      <c r="C78" s="104" t="s">
        <v>1147</v>
      </c>
      <c r="D78" s="104" t="s">
        <v>1752</v>
      </c>
      <c r="E78" s="104" t="s">
        <v>1753</v>
      </c>
      <c r="F78" s="104">
        <f t="shared" si="1"/>
        <v>2604</v>
      </c>
      <c r="G78" s="104" t="s">
        <v>1754</v>
      </c>
      <c r="H78" s="104" t="s">
        <v>1176</v>
      </c>
      <c r="I78" s="104" t="s">
        <v>1176</v>
      </c>
      <c r="J78" s="104" t="s">
        <v>1176</v>
      </c>
      <c r="K78" s="104" t="s">
        <v>1176</v>
      </c>
      <c r="L78" s="104" t="s">
        <v>1755</v>
      </c>
      <c r="M78" s="104" t="s">
        <v>1756</v>
      </c>
      <c r="N78" s="104" t="s">
        <v>1455</v>
      </c>
      <c r="O78" s="104" t="s">
        <v>1176</v>
      </c>
      <c r="P78" s="104" t="s">
        <v>1176</v>
      </c>
      <c r="Q78" s="104" t="s">
        <v>1176</v>
      </c>
      <c r="R78" s="104" t="s">
        <v>1176</v>
      </c>
      <c r="S78" s="104" t="s">
        <v>1176</v>
      </c>
      <c r="T78" s="104" t="s">
        <v>1176</v>
      </c>
      <c r="U78" s="104" t="s">
        <v>1212</v>
      </c>
      <c r="V78" s="104" t="s">
        <v>1757</v>
      </c>
      <c r="W78" s="104" t="s">
        <v>1176</v>
      </c>
      <c r="X78" s="104" t="s">
        <v>1758</v>
      </c>
      <c r="Y78" s="104" t="s">
        <v>1759</v>
      </c>
      <c r="Z78" s="104" t="s">
        <v>1760</v>
      </c>
      <c r="AA78" s="104" t="s">
        <v>1176</v>
      </c>
      <c r="AB78" s="104" t="s">
        <v>1176</v>
      </c>
      <c r="AC78" s="104" t="s">
        <v>1176</v>
      </c>
      <c r="AD78" s="104" t="s">
        <v>1176</v>
      </c>
      <c r="AE78" s="104" t="s">
        <v>1176</v>
      </c>
      <c r="AF78" s="104" t="s">
        <v>1176</v>
      </c>
      <c r="AG78" s="104" t="s">
        <v>1176</v>
      </c>
      <c r="AH78" s="104" t="s">
        <v>1176</v>
      </c>
      <c r="AI78" s="104" t="s">
        <v>1176</v>
      </c>
      <c r="AJ78" s="104" t="s">
        <v>1456</v>
      </c>
      <c r="AK78" s="104" t="s">
        <v>1746</v>
      </c>
      <c r="AL78" s="104" t="s">
        <v>1761</v>
      </c>
      <c r="AM78" s="104" t="s">
        <v>1176</v>
      </c>
      <c r="AN78" s="104" t="s">
        <v>1455</v>
      </c>
      <c r="AO78" s="104" t="s">
        <v>1176</v>
      </c>
      <c r="AP78" s="104" t="s">
        <v>1176</v>
      </c>
      <c r="AQ78" s="104" t="s">
        <v>1176</v>
      </c>
      <c r="AR78" s="104" t="s">
        <v>1176</v>
      </c>
      <c r="AS78" s="104" t="s">
        <v>1176</v>
      </c>
      <c r="AT78" s="104" t="s">
        <v>1176</v>
      </c>
      <c r="AU78" s="104" t="s">
        <v>1176</v>
      </c>
      <c r="AV78" s="104" t="s">
        <v>1176</v>
      </c>
      <c r="AW78" s="104" t="s">
        <v>1176</v>
      </c>
      <c r="AX78" s="104" t="s">
        <v>1176</v>
      </c>
      <c r="AY78" s="104" t="s">
        <v>1176</v>
      </c>
      <c r="AZ78" s="104" t="s">
        <v>1176</v>
      </c>
      <c r="BA78" s="104" t="s">
        <v>1176</v>
      </c>
      <c r="BB78" s="104" t="s">
        <v>1176</v>
      </c>
      <c r="BC78" s="104" t="s">
        <v>1212</v>
      </c>
      <c r="BD78" s="104" t="s">
        <v>1212</v>
      </c>
      <c r="BE78" s="104" t="s">
        <v>1176</v>
      </c>
      <c r="BF78" s="104" t="s">
        <v>1176</v>
      </c>
      <c r="BG78" s="104" t="s">
        <v>1229</v>
      </c>
      <c r="BH78" s="104" t="s">
        <v>1229</v>
      </c>
      <c r="BI78" s="104" t="s">
        <v>1762</v>
      </c>
      <c r="BJ78" s="104" t="s">
        <v>1176</v>
      </c>
      <c r="BK78" s="104" t="s">
        <v>1176</v>
      </c>
      <c r="BL78" s="104" t="s">
        <v>1176</v>
      </c>
      <c r="BM78" s="104" t="s">
        <v>1176</v>
      </c>
      <c r="BN78" s="104" t="s">
        <v>1179</v>
      </c>
      <c r="BO78" s="104" t="s">
        <v>1179</v>
      </c>
      <c r="BP78" s="104" t="s">
        <v>1176</v>
      </c>
      <c r="BQ78" s="104" t="s">
        <v>1176</v>
      </c>
      <c r="BR78" s="104" t="s">
        <v>1176</v>
      </c>
      <c r="BS78" s="104" t="s">
        <v>1176</v>
      </c>
      <c r="BT78" s="104" t="s">
        <v>1176</v>
      </c>
      <c r="BU78" s="104" t="s">
        <v>1176</v>
      </c>
      <c r="BV78" s="104" t="s">
        <v>1176</v>
      </c>
      <c r="BW78" s="104" t="s">
        <v>1176</v>
      </c>
      <c r="BX78" s="104" t="s">
        <v>1685</v>
      </c>
      <c r="BY78" s="104" t="s">
        <v>1763</v>
      </c>
      <c r="BZ78" s="104" t="s">
        <v>1176</v>
      </c>
      <c r="CA78" s="104" t="s">
        <v>1176</v>
      </c>
      <c r="CB78" s="104" t="s">
        <v>1176</v>
      </c>
      <c r="CC78" s="104" t="s">
        <v>1176</v>
      </c>
      <c r="CD78" s="104" t="s">
        <v>1232</v>
      </c>
      <c r="CE78" s="104" t="s">
        <v>1472</v>
      </c>
      <c r="CF78" s="104" t="s">
        <v>1176</v>
      </c>
      <c r="CG78" s="104" t="s">
        <v>1176</v>
      </c>
      <c r="CH78" s="104" t="s">
        <v>1176</v>
      </c>
      <c r="CI78" s="104" t="s">
        <v>1176</v>
      </c>
      <c r="CJ78" s="104" t="s">
        <v>1176</v>
      </c>
      <c r="CK78" s="104" t="s">
        <v>1176</v>
      </c>
      <c r="CL78" s="104" t="s">
        <v>1176</v>
      </c>
      <c r="CM78" s="104" t="s">
        <v>1176</v>
      </c>
      <c r="CN78" s="104" t="s">
        <v>1176</v>
      </c>
      <c r="CO78" s="104" t="s">
        <v>1176</v>
      </c>
    </row>
    <row r="79" s="102" customFormat="1" ht="15" spans="1:93">
      <c r="A79" s="104" t="s">
        <v>1549</v>
      </c>
      <c r="B79" s="104" t="s">
        <v>1146</v>
      </c>
      <c r="C79" s="104" t="s">
        <v>1147</v>
      </c>
      <c r="D79" s="104" t="s">
        <v>1764</v>
      </c>
      <c r="E79" s="104" t="s">
        <v>1765</v>
      </c>
      <c r="F79" s="104">
        <f t="shared" si="1"/>
        <v>1515</v>
      </c>
      <c r="G79" s="104" t="s">
        <v>1766</v>
      </c>
      <c r="H79" s="104" t="s">
        <v>1176</v>
      </c>
      <c r="I79" s="104" t="s">
        <v>1176</v>
      </c>
      <c r="J79" s="104" t="s">
        <v>1176</v>
      </c>
      <c r="K79" s="104" t="s">
        <v>1176</v>
      </c>
      <c r="L79" s="104" t="s">
        <v>1767</v>
      </c>
      <c r="M79" s="104" t="s">
        <v>1768</v>
      </c>
      <c r="N79" s="104" t="s">
        <v>1556</v>
      </c>
      <c r="O79" s="104" t="s">
        <v>1176</v>
      </c>
      <c r="P79" s="104" t="s">
        <v>1176</v>
      </c>
      <c r="Q79" s="104" t="s">
        <v>1176</v>
      </c>
      <c r="R79" s="104" t="s">
        <v>1176</v>
      </c>
      <c r="S79" s="104" t="s">
        <v>1176</v>
      </c>
      <c r="T79" s="104" t="s">
        <v>1176</v>
      </c>
      <c r="U79" s="104" t="s">
        <v>1176</v>
      </c>
      <c r="V79" s="104" t="s">
        <v>1769</v>
      </c>
      <c r="W79" s="104" t="s">
        <v>1176</v>
      </c>
      <c r="X79" s="104" t="s">
        <v>1770</v>
      </c>
      <c r="Y79" s="104" t="s">
        <v>1420</v>
      </c>
      <c r="Z79" s="104" t="s">
        <v>1771</v>
      </c>
      <c r="AA79" s="104" t="s">
        <v>1176</v>
      </c>
      <c r="AB79" s="104" t="s">
        <v>1176</v>
      </c>
      <c r="AC79" s="104" t="s">
        <v>1176</v>
      </c>
      <c r="AD79" s="104" t="s">
        <v>1176</v>
      </c>
      <c r="AE79" s="104" t="s">
        <v>1176</v>
      </c>
      <c r="AF79" s="104" t="s">
        <v>1176</v>
      </c>
      <c r="AG79" s="104" t="s">
        <v>1176</v>
      </c>
      <c r="AH79" s="104" t="s">
        <v>1176</v>
      </c>
      <c r="AI79" s="104" t="s">
        <v>1172</v>
      </c>
      <c r="AJ79" s="104" t="s">
        <v>1172</v>
      </c>
      <c r="AK79" s="104" t="s">
        <v>1620</v>
      </c>
      <c r="AL79" s="104" t="s">
        <v>1772</v>
      </c>
      <c r="AM79" s="104" t="s">
        <v>1176</v>
      </c>
      <c r="AN79" s="104" t="s">
        <v>1172</v>
      </c>
      <c r="AO79" s="104" t="s">
        <v>1176</v>
      </c>
      <c r="AP79" s="104" t="s">
        <v>1176</v>
      </c>
      <c r="AQ79" s="104" t="s">
        <v>1176</v>
      </c>
      <c r="AR79" s="104" t="s">
        <v>1176</v>
      </c>
      <c r="AS79" s="104" t="s">
        <v>1176</v>
      </c>
      <c r="AT79" s="104" t="s">
        <v>1176</v>
      </c>
      <c r="AU79" s="104" t="s">
        <v>1176</v>
      </c>
      <c r="AV79" s="104" t="s">
        <v>1176</v>
      </c>
      <c r="AW79" s="104" t="s">
        <v>1176</v>
      </c>
      <c r="AX79" s="104" t="s">
        <v>1176</v>
      </c>
      <c r="AY79" s="104" t="s">
        <v>1176</v>
      </c>
      <c r="AZ79" s="104" t="s">
        <v>1176</v>
      </c>
      <c r="BA79" s="104" t="s">
        <v>1176</v>
      </c>
      <c r="BB79" s="104" t="s">
        <v>1176</v>
      </c>
      <c r="BC79" s="104" t="s">
        <v>1176</v>
      </c>
      <c r="BD79" s="104" t="s">
        <v>1176</v>
      </c>
      <c r="BE79" s="104" t="s">
        <v>1176</v>
      </c>
      <c r="BF79" s="104" t="s">
        <v>1176</v>
      </c>
      <c r="BG79" s="104" t="s">
        <v>1180</v>
      </c>
      <c r="BH79" s="104" t="s">
        <v>1180</v>
      </c>
      <c r="BI79" s="104" t="s">
        <v>1556</v>
      </c>
      <c r="BJ79" s="104" t="s">
        <v>1176</v>
      </c>
      <c r="BK79" s="104" t="s">
        <v>1176</v>
      </c>
      <c r="BL79" s="104" t="s">
        <v>1176</v>
      </c>
      <c r="BM79" s="104" t="s">
        <v>1176</v>
      </c>
      <c r="BN79" s="104" t="s">
        <v>1176</v>
      </c>
      <c r="BO79" s="104" t="s">
        <v>1176</v>
      </c>
      <c r="BP79" s="104" t="s">
        <v>1176</v>
      </c>
      <c r="BQ79" s="104" t="s">
        <v>1176</v>
      </c>
      <c r="BR79" s="104" t="s">
        <v>1176</v>
      </c>
      <c r="BS79" s="104" t="s">
        <v>1176</v>
      </c>
      <c r="BT79" s="104" t="s">
        <v>1180</v>
      </c>
      <c r="BU79" s="104" t="s">
        <v>1556</v>
      </c>
      <c r="BV79" s="104" t="s">
        <v>1176</v>
      </c>
      <c r="BW79" s="104" t="s">
        <v>1176</v>
      </c>
      <c r="BX79" s="104" t="s">
        <v>1176</v>
      </c>
      <c r="BY79" s="104" t="s">
        <v>1176</v>
      </c>
      <c r="BZ79" s="104" t="s">
        <v>1176</v>
      </c>
      <c r="CA79" s="104" t="s">
        <v>1176</v>
      </c>
      <c r="CB79" s="104" t="s">
        <v>1176</v>
      </c>
      <c r="CC79" s="104" t="s">
        <v>1176</v>
      </c>
      <c r="CD79" s="104" t="s">
        <v>1176</v>
      </c>
      <c r="CE79" s="104" t="s">
        <v>1176</v>
      </c>
      <c r="CF79" s="104" t="s">
        <v>1176</v>
      </c>
      <c r="CG79" s="104" t="s">
        <v>1176</v>
      </c>
      <c r="CH79" s="104" t="s">
        <v>1176</v>
      </c>
      <c r="CI79" s="104" t="s">
        <v>1176</v>
      </c>
      <c r="CJ79" s="104" t="s">
        <v>1176</v>
      </c>
      <c r="CK79" s="104" t="s">
        <v>1176</v>
      </c>
      <c r="CL79" s="104" t="s">
        <v>1176</v>
      </c>
      <c r="CM79" s="104" t="s">
        <v>1176</v>
      </c>
      <c r="CN79" s="104" t="s">
        <v>1176</v>
      </c>
      <c r="CO79" s="104" t="s">
        <v>1176</v>
      </c>
    </row>
    <row r="80" s="102" customFormat="1" ht="15" spans="1:93">
      <c r="A80" s="104" t="s">
        <v>1209</v>
      </c>
      <c r="B80" s="104" t="s">
        <v>1146</v>
      </c>
      <c r="C80" s="104" t="s">
        <v>1147</v>
      </c>
      <c r="D80" s="104" t="s">
        <v>1773</v>
      </c>
      <c r="E80" s="104" t="s">
        <v>1774</v>
      </c>
      <c r="F80" s="104">
        <f t="shared" si="1"/>
        <v>2253</v>
      </c>
      <c r="G80" s="104" t="s">
        <v>1775</v>
      </c>
      <c r="H80" s="104" t="s">
        <v>1176</v>
      </c>
      <c r="I80" s="104" t="s">
        <v>1176</v>
      </c>
      <c r="J80" s="104" t="s">
        <v>1176</v>
      </c>
      <c r="K80" s="104" t="s">
        <v>1176</v>
      </c>
      <c r="L80" s="104" t="s">
        <v>1776</v>
      </c>
      <c r="M80" s="104" t="s">
        <v>1777</v>
      </c>
      <c r="N80" s="104" t="s">
        <v>1223</v>
      </c>
      <c r="O80" s="104" t="s">
        <v>1176</v>
      </c>
      <c r="P80" s="104" t="s">
        <v>1176</v>
      </c>
      <c r="Q80" s="104" t="s">
        <v>1176</v>
      </c>
      <c r="R80" s="104" t="s">
        <v>1176</v>
      </c>
      <c r="S80" s="104" t="s">
        <v>1176</v>
      </c>
      <c r="T80" s="104" t="s">
        <v>1176</v>
      </c>
      <c r="U80" s="104" t="s">
        <v>1180</v>
      </c>
      <c r="V80" s="104" t="s">
        <v>1606</v>
      </c>
      <c r="W80" s="104" t="s">
        <v>1176</v>
      </c>
      <c r="X80" s="104" t="s">
        <v>1778</v>
      </c>
      <c r="Y80" s="104" t="s">
        <v>1259</v>
      </c>
      <c r="Z80" s="104" t="s">
        <v>1779</v>
      </c>
      <c r="AA80" s="104" t="s">
        <v>1176</v>
      </c>
      <c r="AB80" s="104" t="s">
        <v>1176</v>
      </c>
      <c r="AC80" s="104" t="s">
        <v>1212</v>
      </c>
      <c r="AD80" s="104" t="s">
        <v>1531</v>
      </c>
      <c r="AE80" s="104" t="s">
        <v>1176</v>
      </c>
      <c r="AF80" s="104" t="s">
        <v>1176</v>
      </c>
      <c r="AG80" s="104" t="s">
        <v>1176</v>
      </c>
      <c r="AH80" s="104" t="s">
        <v>1176</v>
      </c>
      <c r="AI80" s="104" t="s">
        <v>1232</v>
      </c>
      <c r="AJ80" s="104" t="s">
        <v>1526</v>
      </c>
      <c r="AK80" s="104" t="s">
        <v>1780</v>
      </c>
      <c r="AL80" s="104" t="s">
        <v>1781</v>
      </c>
      <c r="AM80" s="104" t="s">
        <v>1176</v>
      </c>
      <c r="AN80" s="104" t="s">
        <v>1180</v>
      </c>
      <c r="AO80" s="104" t="s">
        <v>1176</v>
      </c>
      <c r="AP80" s="104" t="s">
        <v>1176</v>
      </c>
      <c r="AQ80" s="104" t="s">
        <v>1176</v>
      </c>
      <c r="AR80" s="104" t="s">
        <v>1176</v>
      </c>
      <c r="AS80" s="104" t="s">
        <v>1176</v>
      </c>
      <c r="AT80" s="104" t="s">
        <v>1176</v>
      </c>
      <c r="AU80" s="104" t="s">
        <v>1176</v>
      </c>
      <c r="AV80" s="104" t="s">
        <v>1176</v>
      </c>
      <c r="AW80" s="104" t="s">
        <v>1176</v>
      </c>
      <c r="AX80" s="104" t="s">
        <v>1176</v>
      </c>
      <c r="AY80" s="104" t="s">
        <v>1176</v>
      </c>
      <c r="AZ80" s="104" t="s">
        <v>1176</v>
      </c>
      <c r="BA80" s="104" t="s">
        <v>1176</v>
      </c>
      <c r="BB80" s="104" t="s">
        <v>1176</v>
      </c>
      <c r="BC80" s="104" t="s">
        <v>1176</v>
      </c>
      <c r="BD80" s="104" t="s">
        <v>1176</v>
      </c>
      <c r="BE80" s="104" t="s">
        <v>1176</v>
      </c>
      <c r="BF80" s="104" t="s">
        <v>1176</v>
      </c>
      <c r="BG80" s="104" t="s">
        <v>1455</v>
      </c>
      <c r="BH80" s="104" t="s">
        <v>1455</v>
      </c>
      <c r="BI80" s="104" t="s">
        <v>1782</v>
      </c>
      <c r="BJ80" s="104" t="s">
        <v>1176</v>
      </c>
      <c r="BK80" s="104" t="s">
        <v>1176</v>
      </c>
      <c r="BL80" s="104" t="s">
        <v>1176</v>
      </c>
      <c r="BM80" s="104" t="s">
        <v>1176</v>
      </c>
      <c r="BN80" s="104" t="s">
        <v>1187</v>
      </c>
      <c r="BO80" s="104" t="s">
        <v>1187</v>
      </c>
      <c r="BP80" s="104" t="s">
        <v>1176</v>
      </c>
      <c r="BQ80" s="104" t="s">
        <v>1176</v>
      </c>
      <c r="BR80" s="104" t="s">
        <v>1176</v>
      </c>
      <c r="BS80" s="104" t="s">
        <v>1176</v>
      </c>
      <c r="BT80" s="104" t="s">
        <v>1429</v>
      </c>
      <c r="BU80" s="104" t="s">
        <v>1783</v>
      </c>
      <c r="BV80" s="104" t="s">
        <v>1176</v>
      </c>
      <c r="BW80" s="104" t="s">
        <v>1176</v>
      </c>
      <c r="BX80" s="104" t="s">
        <v>1176</v>
      </c>
      <c r="BY80" s="104" t="s">
        <v>1176</v>
      </c>
      <c r="BZ80" s="104" t="s">
        <v>1176</v>
      </c>
      <c r="CA80" s="104" t="s">
        <v>1176</v>
      </c>
      <c r="CB80" s="104" t="s">
        <v>1176</v>
      </c>
      <c r="CC80" s="104" t="s">
        <v>1176</v>
      </c>
      <c r="CD80" s="104" t="s">
        <v>1176</v>
      </c>
      <c r="CE80" s="104" t="s">
        <v>1176</v>
      </c>
      <c r="CF80" s="104" t="s">
        <v>1176</v>
      </c>
      <c r="CG80" s="104" t="s">
        <v>1176</v>
      </c>
      <c r="CH80" s="104" t="s">
        <v>1176</v>
      </c>
      <c r="CI80" s="104" t="s">
        <v>1176</v>
      </c>
      <c r="CJ80" s="104" t="s">
        <v>1176</v>
      </c>
      <c r="CK80" s="104" t="s">
        <v>1176</v>
      </c>
      <c r="CL80" s="104" t="s">
        <v>1176</v>
      </c>
      <c r="CM80" s="104" t="s">
        <v>1176</v>
      </c>
      <c r="CN80" s="104" t="s">
        <v>1176</v>
      </c>
      <c r="CO80" s="104" t="s">
        <v>1176</v>
      </c>
    </row>
    <row r="81" s="102" customFormat="1" ht="15" spans="1:93">
      <c r="A81" s="104" t="s">
        <v>1299</v>
      </c>
      <c r="B81" s="104" t="s">
        <v>1146</v>
      </c>
      <c r="C81" s="104" t="s">
        <v>1147</v>
      </c>
      <c r="D81" s="104" t="s">
        <v>1784</v>
      </c>
      <c r="E81" s="104" t="s">
        <v>1785</v>
      </c>
      <c r="F81" s="104">
        <f t="shared" si="1"/>
        <v>4752</v>
      </c>
      <c r="G81" s="104" t="s">
        <v>1786</v>
      </c>
      <c r="H81" s="104" t="s">
        <v>1176</v>
      </c>
      <c r="I81" s="104" t="s">
        <v>1176</v>
      </c>
      <c r="J81" s="104" t="s">
        <v>1176</v>
      </c>
      <c r="K81" s="104" t="s">
        <v>1176</v>
      </c>
      <c r="L81" s="104" t="s">
        <v>1787</v>
      </c>
      <c r="M81" s="104" t="s">
        <v>1788</v>
      </c>
      <c r="N81" s="104" t="s">
        <v>1218</v>
      </c>
      <c r="O81" s="104" t="s">
        <v>1176</v>
      </c>
      <c r="P81" s="104" t="s">
        <v>1196</v>
      </c>
      <c r="Q81" s="104" t="s">
        <v>1176</v>
      </c>
      <c r="R81" s="104" t="s">
        <v>1176</v>
      </c>
      <c r="S81" s="104" t="s">
        <v>1176</v>
      </c>
      <c r="T81" s="104" t="s">
        <v>1176</v>
      </c>
      <c r="U81" s="104" t="s">
        <v>1188</v>
      </c>
      <c r="V81" s="104" t="s">
        <v>1789</v>
      </c>
      <c r="W81" s="104" t="s">
        <v>1176</v>
      </c>
      <c r="X81" s="104" t="s">
        <v>1790</v>
      </c>
      <c r="Y81" s="104" t="s">
        <v>1312</v>
      </c>
      <c r="Z81" s="104" t="s">
        <v>1791</v>
      </c>
      <c r="AA81" s="104" t="s">
        <v>1176</v>
      </c>
      <c r="AB81" s="104" t="s">
        <v>1176</v>
      </c>
      <c r="AC81" s="104" t="s">
        <v>1212</v>
      </c>
      <c r="AD81" s="104" t="s">
        <v>1531</v>
      </c>
      <c r="AE81" s="104" t="s">
        <v>1176</v>
      </c>
      <c r="AF81" s="104" t="s">
        <v>1176</v>
      </c>
      <c r="AG81" s="104" t="s">
        <v>1176</v>
      </c>
      <c r="AH81" s="104" t="s">
        <v>1176</v>
      </c>
      <c r="AI81" s="104" t="s">
        <v>1188</v>
      </c>
      <c r="AJ81" s="104" t="s">
        <v>1285</v>
      </c>
      <c r="AK81" s="104" t="s">
        <v>1205</v>
      </c>
      <c r="AL81" s="104" t="s">
        <v>1792</v>
      </c>
      <c r="AM81" s="104" t="s">
        <v>1176</v>
      </c>
      <c r="AN81" s="104" t="s">
        <v>1187</v>
      </c>
      <c r="AO81" s="104" t="s">
        <v>1176</v>
      </c>
      <c r="AP81" s="104" t="s">
        <v>1176</v>
      </c>
      <c r="AQ81" s="104" t="s">
        <v>1176</v>
      </c>
      <c r="AR81" s="104" t="s">
        <v>1176</v>
      </c>
      <c r="AS81" s="104" t="s">
        <v>1176</v>
      </c>
      <c r="AT81" s="104" t="s">
        <v>1176</v>
      </c>
      <c r="AU81" s="104" t="s">
        <v>1176</v>
      </c>
      <c r="AV81" s="104" t="s">
        <v>1176</v>
      </c>
      <c r="AW81" s="104" t="s">
        <v>1176</v>
      </c>
      <c r="AX81" s="104" t="s">
        <v>1176</v>
      </c>
      <c r="AY81" s="104" t="s">
        <v>1176</v>
      </c>
      <c r="AZ81" s="104" t="s">
        <v>1176</v>
      </c>
      <c r="BA81" s="104" t="s">
        <v>1176</v>
      </c>
      <c r="BB81" s="104" t="s">
        <v>1176</v>
      </c>
      <c r="BC81" s="104" t="s">
        <v>1176</v>
      </c>
      <c r="BD81" s="104" t="s">
        <v>1176</v>
      </c>
      <c r="BE81" s="104" t="s">
        <v>1176</v>
      </c>
      <c r="BF81" s="104" t="s">
        <v>1176</v>
      </c>
      <c r="BG81" s="104" t="s">
        <v>1549</v>
      </c>
      <c r="BH81" s="104" t="s">
        <v>1549</v>
      </c>
      <c r="BI81" s="104" t="s">
        <v>1793</v>
      </c>
      <c r="BJ81" s="104" t="s">
        <v>1176</v>
      </c>
      <c r="BK81" s="104" t="s">
        <v>1176</v>
      </c>
      <c r="BL81" s="104" t="s">
        <v>1176</v>
      </c>
      <c r="BM81" s="104" t="s">
        <v>1176</v>
      </c>
      <c r="BN81" s="104" t="s">
        <v>1212</v>
      </c>
      <c r="BO81" s="104" t="s">
        <v>1212</v>
      </c>
      <c r="BP81" s="104" t="s">
        <v>1176</v>
      </c>
      <c r="BQ81" s="104" t="s">
        <v>1176</v>
      </c>
      <c r="BR81" s="104" t="s">
        <v>1176</v>
      </c>
      <c r="BS81" s="104" t="s">
        <v>1176</v>
      </c>
      <c r="BT81" s="104" t="s">
        <v>1591</v>
      </c>
      <c r="BU81" s="104" t="s">
        <v>1794</v>
      </c>
      <c r="BV81" s="104" t="s">
        <v>1176</v>
      </c>
      <c r="BW81" s="104" t="s">
        <v>1176</v>
      </c>
      <c r="BX81" s="104" t="s">
        <v>1356</v>
      </c>
      <c r="BY81" s="104" t="s">
        <v>1795</v>
      </c>
      <c r="BZ81" s="104" t="s">
        <v>1176</v>
      </c>
      <c r="CA81" s="104" t="s">
        <v>1176</v>
      </c>
      <c r="CB81" s="104" t="s">
        <v>1176</v>
      </c>
      <c r="CC81" s="104" t="s">
        <v>1176</v>
      </c>
      <c r="CD81" s="104" t="s">
        <v>1176</v>
      </c>
      <c r="CE81" s="104" t="s">
        <v>1176</v>
      </c>
      <c r="CF81" s="104" t="s">
        <v>1176</v>
      </c>
      <c r="CG81" s="104" t="s">
        <v>1176</v>
      </c>
      <c r="CH81" s="104" t="s">
        <v>1176</v>
      </c>
      <c r="CI81" s="104" t="s">
        <v>1176</v>
      </c>
      <c r="CJ81" s="104" t="s">
        <v>1176</v>
      </c>
      <c r="CK81" s="104" t="s">
        <v>1176</v>
      </c>
      <c r="CL81" s="104" t="s">
        <v>1176</v>
      </c>
      <c r="CM81" s="104" t="s">
        <v>1176</v>
      </c>
      <c r="CN81" s="104" t="s">
        <v>1176</v>
      </c>
      <c r="CO81" s="104" t="s">
        <v>1176</v>
      </c>
    </row>
    <row r="82" s="102" customFormat="1" ht="15" spans="1:93">
      <c r="A82" s="104" t="s">
        <v>1748</v>
      </c>
      <c r="B82" s="104" t="s">
        <v>1146</v>
      </c>
      <c r="C82" s="104" t="s">
        <v>1147</v>
      </c>
      <c r="D82" s="104" t="s">
        <v>1796</v>
      </c>
      <c r="E82" s="104" t="s">
        <v>1797</v>
      </c>
      <c r="F82" s="104">
        <f t="shared" si="1"/>
        <v>4442</v>
      </c>
      <c r="G82" s="104" t="s">
        <v>1798</v>
      </c>
      <c r="H82" s="104" t="s">
        <v>1176</v>
      </c>
      <c r="I82" s="104" t="s">
        <v>1176</v>
      </c>
      <c r="J82" s="104" t="s">
        <v>1176</v>
      </c>
      <c r="K82" s="104" t="s">
        <v>1176</v>
      </c>
      <c r="L82" s="104" t="s">
        <v>1799</v>
      </c>
      <c r="M82" s="104" t="s">
        <v>1800</v>
      </c>
      <c r="N82" s="104" t="s">
        <v>1326</v>
      </c>
      <c r="O82" s="104" t="s">
        <v>1176</v>
      </c>
      <c r="P82" s="104" t="s">
        <v>1172</v>
      </c>
      <c r="Q82" s="104" t="s">
        <v>1176</v>
      </c>
      <c r="R82" s="104" t="s">
        <v>1176</v>
      </c>
      <c r="S82" s="104" t="s">
        <v>1176</v>
      </c>
      <c r="T82" s="104" t="s">
        <v>1176</v>
      </c>
      <c r="U82" s="104" t="s">
        <v>1211</v>
      </c>
      <c r="V82" s="104" t="s">
        <v>1801</v>
      </c>
      <c r="W82" s="104" t="s">
        <v>1176</v>
      </c>
      <c r="X82" s="104" t="s">
        <v>1802</v>
      </c>
      <c r="Y82" s="104" t="s">
        <v>1803</v>
      </c>
      <c r="Z82" s="104" t="s">
        <v>1804</v>
      </c>
      <c r="AA82" s="104" t="s">
        <v>1176</v>
      </c>
      <c r="AB82" s="104" t="s">
        <v>1176</v>
      </c>
      <c r="AC82" s="104" t="s">
        <v>1212</v>
      </c>
      <c r="AD82" s="104" t="s">
        <v>1531</v>
      </c>
      <c r="AE82" s="104" t="s">
        <v>1176</v>
      </c>
      <c r="AF82" s="104" t="s">
        <v>1176</v>
      </c>
      <c r="AG82" s="104" t="s">
        <v>1176</v>
      </c>
      <c r="AH82" s="104" t="s">
        <v>1176</v>
      </c>
      <c r="AI82" s="104" t="s">
        <v>1238</v>
      </c>
      <c r="AJ82" s="104" t="s">
        <v>1805</v>
      </c>
      <c r="AK82" s="104" t="s">
        <v>1225</v>
      </c>
      <c r="AL82" s="104" t="s">
        <v>1806</v>
      </c>
      <c r="AM82" s="104" t="s">
        <v>1176</v>
      </c>
      <c r="AN82" s="104" t="s">
        <v>1187</v>
      </c>
      <c r="AO82" s="104" t="s">
        <v>1176</v>
      </c>
      <c r="AP82" s="104" t="s">
        <v>1176</v>
      </c>
      <c r="AQ82" s="104" t="s">
        <v>1176</v>
      </c>
      <c r="AR82" s="104" t="s">
        <v>1176</v>
      </c>
      <c r="AS82" s="104" t="s">
        <v>1176</v>
      </c>
      <c r="AT82" s="104" t="s">
        <v>1176</v>
      </c>
      <c r="AU82" s="104" t="s">
        <v>1176</v>
      </c>
      <c r="AV82" s="104" t="s">
        <v>1176</v>
      </c>
      <c r="AW82" s="104" t="s">
        <v>1176</v>
      </c>
      <c r="AX82" s="104" t="s">
        <v>1176</v>
      </c>
      <c r="AY82" s="104" t="s">
        <v>1176</v>
      </c>
      <c r="AZ82" s="104" t="s">
        <v>1176</v>
      </c>
      <c r="BA82" s="104" t="s">
        <v>1176</v>
      </c>
      <c r="BB82" s="104" t="s">
        <v>1176</v>
      </c>
      <c r="BC82" s="104" t="s">
        <v>1176</v>
      </c>
      <c r="BD82" s="104" t="s">
        <v>1176</v>
      </c>
      <c r="BE82" s="104" t="s">
        <v>1176</v>
      </c>
      <c r="BF82" s="104" t="s">
        <v>1176</v>
      </c>
      <c r="BG82" s="104" t="s">
        <v>1807</v>
      </c>
      <c r="BH82" s="104" t="s">
        <v>1807</v>
      </c>
      <c r="BI82" s="104" t="s">
        <v>1808</v>
      </c>
      <c r="BJ82" s="104" t="s">
        <v>1176</v>
      </c>
      <c r="BK82" s="104" t="s">
        <v>1176</v>
      </c>
      <c r="BL82" s="104" t="s">
        <v>1176</v>
      </c>
      <c r="BM82" s="104" t="s">
        <v>1176</v>
      </c>
      <c r="BN82" s="104" t="s">
        <v>1354</v>
      </c>
      <c r="BO82" s="104" t="s">
        <v>1354</v>
      </c>
      <c r="BP82" s="104" t="s">
        <v>1176</v>
      </c>
      <c r="BQ82" s="104" t="s">
        <v>1176</v>
      </c>
      <c r="BR82" s="104" t="s">
        <v>1176</v>
      </c>
      <c r="BS82" s="104" t="s">
        <v>1176</v>
      </c>
      <c r="BT82" s="104" t="s">
        <v>1229</v>
      </c>
      <c r="BU82" s="104" t="s">
        <v>1809</v>
      </c>
      <c r="BV82" s="104" t="s">
        <v>1176</v>
      </c>
      <c r="BW82" s="104" t="s">
        <v>1176</v>
      </c>
      <c r="BX82" s="104" t="s">
        <v>1201</v>
      </c>
      <c r="BY82" s="104" t="s">
        <v>1537</v>
      </c>
      <c r="BZ82" s="104" t="s">
        <v>1176</v>
      </c>
      <c r="CA82" s="104" t="s">
        <v>1176</v>
      </c>
      <c r="CB82" s="104" t="s">
        <v>1176</v>
      </c>
      <c r="CC82" s="104" t="s">
        <v>1176</v>
      </c>
      <c r="CD82" s="104" t="s">
        <v>1176</v>
      </c>
      <c r="CE82" s="104" t="s">
        <v>1176</v>
      </c>
      <c r="CF82" s="104" t="s">
        <v>1176</v>
      </c>
      <c r="CG82" s="104" t="s">
        <v>1176</v>
      </c>
      <c r="CH82" s="104" t="s">
        <v>1176</v>
      </c>
      <c r="CI82" s="104" t="s">
        <v>1176</v>
      </c>
      <c r="CJ82" s="104" t="s">
        <v>1176</v>
      </c>
      <c r="CK82" s="104" t="s">
        <v>1176</v>
      </c>
      <c r="CL82" s="104" t="s">
        <v>1176</v>
      </c>
      <c r="CM82" s="104" t="s">
        <v>1176</v>
      </c>
      <c r="CN82" s="104" t="s">
        <v>1176</v>
      </c>
      <c r="CO82" s="104" t="s">
        <v>1176</v>
      </c>
    </row>
    <row r="83" s="102" customFormat="1" ht="15" spans="1:93">
      <c r="A83" s="104" t="s">
        <v>1229</v>
      </c>
      <c r="B83" s="104" t="s">
        <v>1146</v>
      </c>
      <c r="C83" s="104" t="s">
        <v>1147</v>
      </c>
      <c r="D83" s="104" t="s">
        <v>1810</v>
      </c>
      <c r="E83" s="104" t="s">
        <v>1811</v>
      </c>
      <c r="F83" s="104">
        <f t="shared" si="1"/>
        <v>4011</v>
      </c>
      <c r="G83" s="104" t="s">
        <v>1812</v>
      </c>
      <c r="H83" s="104" t="s">
        <v>1176</v>
      </c>
      <c r="I83" s="104" t="s">
        <v>1176</v>
      </c>
      <c r="J83" s="104" t="s">
        <v>1176</v>
      </c>
      <c r="K83" s="104" t="s">
        <v>1176</v>
      </c>
      <c r="L83" s="104" t="s">
        <v>1813</v>
      </c>
      <c r="M83" s="104" t="s">
        <v>1814</v>
      </c>
      <c r="N83" s="104" t="s">
        <v>1238</v>
      </c>
      <c r="O83" s="104" t="s">
        <v>1176</v>
      </c>
      <c r="P83" s="104" t="s">
        <v>1212</v>
      </c>
      <c r="Q83" s="104" t="s">
        <v>1176</v>
      </c>
      <c r="R83" s="104" t="s">
        <v>1176</v>
      </c>
      <c r="S83" s="104" t="s">
        <v>1176</v>
      </c>
      <c r="T83" s="104" t="s">
        <v>1176</v>
      </c>
      <c r="U83" s="104" t="s">
        <v>1232</v>
      </c>
      <c r="V83" s="104" t="s">
        <v>1815</v>
      </c>
      <c r="W83" s="104" t="s">
        <v>1176</v>
      </c>
      <c r="X83" s="104" t="s">
        <v>1816</v>
      </c>
      <c r="Y83" s="104" t="s">
        <v>1817</v>
      </c>
      <c r="Z83" s="104" t="s">
        <v>1818</v>
      </c>
      <c r="AA83" s="104" t="s">
        <v>1176</v>
      </c>
      <c r="AB83" s="104" t="s">
        <v>1176</v>
      </c>
      <c r="AC83" s="104" t="s">
        <v>1187</v>
      </c>
      <c r="AD83" s="104" t="s">
        <v>1276</v>
      </c>
      <c r="AE83" s="104" t="s">
        <v>1176</v>
      </c>
      <c r="AF83" s="104" t="s">
        <v>1176</v>
      </c>
      <c r="AG83" s="104" t="s">
        <v>1176</v>
      </c>
      <c r="AH83" s="104" t="s">
        <v>1176</v>
      </c>
      <c r="AI83" s="104" t="s">
        <v>1412</v>
      </c>
      <c r="AJ83" s="104" t="s">
        <v>1819</v>
      </c>
      <c r="AK83" s="104" t="s">
        <v>1820</v>
      </c>
      <c r="AL83" s="104" t="s">
        <v>1821</v>
      </c>
      <c r="AM83" s="104" t="s">
        <v>1176</v>
      </c>
      <c r="AN83" s="104" t="s">
        <v>1212</v>
      </c>
      <c r="AO83" s="104" t="s">
        <v>1176</v>
      </c>
      <c r="AP83" s="104" t="s">
        <v>1176</v>
      </c>
      <c r="AQ83" s="104" t="s">
        <v>1176</v>
      </c>
      <c r="AR83" s="104" t="s">
        <v>1176</v>
      </c>
      <c r="AS83" s="104" t="s">
        <v>1176</v>
      </c>
      <c r="AT83" s="104" t="s">
        <v>1176</v>
      </c>
      <c r="AU83" s="104" t="s">
        <v>1176</v>
      </c>
      <c r="AV83" s="104" t="s">
        <v>1176</v>
      </c>
      <c r="AW83" s="104" t="s">
        <v>1176</v>
      </c>
      <c r="AX83" s="104" t="s">
        <v>1176</v>
      </c>
      <c r="AY83" s="104" t="s">
        <v>1176</v>
      </c>
      <c r="AZ83" s="104" t="s">
        <v>1176</v>
      </c>
      <c r="BA83" s="104" t="s">
        <v>1176</v>
      </c>
      <c r="BB83" s="104" t="s">
        <v>1176</v>
      </c>
      <c r="BC83" s="104" t="s">
        <v>1176</v>
      </c>
      <c r="BD83" s="104" t="s">
        <v>1176</v>
      </c>
      <c r="BE83" s="104" t="s">
        <v>1176</v>
      </c>
      <c r="BF83" s="104" t="s">
        <v>1176</v>
      </c>
      <c r="BG83" s="104" t="s">
        <v>1822</v>
      </c>
      <c r="BH83" s="104" t="s">
        <v>1822</v>
      </c>
      <c r="BI83" s="104" t="s">
        <v>1823</v>
      </c>
      <c r="BJ83" s="104" t="s">
        <v>1176</v>
      </c>
      <c r="BK83" s="104" t="s">
        <v>1176</v>
      </c>
      <c r="BL83" s="104" t="s">
        <v>1176</v>
      </c>
      <c r="BM83" s="104" t="s">
        <v>1176</v>
      </c>
      <c r="BN83" s="104" t="s">
        <v>1188</v>
      </c>
      <c r="BO83" s="104" t="s">
        <v>1188</v>
      </c>
      <c r="BP83" s="104" t="s">
        <v>1176</v>
      </c>
      <c r="BQ83" s="104" t="s">
        <v>1176</v>
      </c>
      <c r="BR83" s="104" t="s">
        <v>1176</v>
      </c>
      <c r="BS83" s="104" t="s">
        <v>1176</v>
      </c>
      <c r="BT83" s="104" t="s">
        <v>1748</v>
      </c>
      <c r="BU83" s="104" t="s">
        <v>1824</v>
      </c>
      <c r="BV83" s="104" t="s">
        <v>1176</v>
      </c>
      <c r="BW83" s="104" t="s">
        <v>1176</v>
      </c>
      <c r="BX83" s="104" t="s">
        <v>1187</v>
      </c>
      <c r="BY83" s="104" t="s">
        <v>1296</v>
      </c>
      <c r="BZ83" s="104" t="s">
        <v>1176</v>
      </c>
      <c r="CA83" s="104" t="s">
        <v>1176</v>
      </c>
      <c r="CB83" s="104" t="s">
        <v>1176</v>
      </c>
      <c r="CC83" s="104" t="s">
        <v>1176</v>
      </c>
      <c r="CD83" s="104" t="s">
        <v>1176</v>
      </c>
      <c r="CE83" s="104" t="s">
        <v>1176</v>
      </c>
      <c r="CF83" s="104" t="s">
        <v>1176</v>
      </c>
      <c r="CG83" s="104" t="s">
        <v>1176</v>
      </c>
      <c r="CH83" s="104" t="s">
        <v>1176</v>
      </c>
      <c r="CI83" s="104" t="s">
        <v>1176</v>
      </c>
      <c r="CJ83" s="104" t="s">
        <v>1176</v>
      </c>
      <c r="CK83" s="104" t="s">
        <v>1176</v>
      </c>
      <c r="CL83" s="104" t="s">
        <v>1176</v>
      </c>
      <c r="CM83" s="104" t="s">
        <v>1176</v>
      </c>
      <c r="CN83" s="104" t="s">
        <v>1176</v>
      </c>
      <c r="CO83" s="104" t="s">
        <v>1176</v>
      </c>
    </row>
    <row r="84" s="102" customFormat="1" ht="15" spans="1:93">
      <c r="A84" s="104" t="s">
        <v>1207</v>
      </c>
      <c r="B84" s="104" t="s">
        <v>1146</v>
      </c>
      <c r="C84" s="104" t="s">
        <v>1147</v>
      </c>
      <c r="D84" s="104" t="s">
        <v>1825</v>
      </c>
      <c r="E84" s="104" t="s">
        <v>1826</v>
      </c>
      <c r="F84" s="104">
        <f t="shared" si="1"/>
        <v>4033</v>
      </c>
      <c r="G84" s="104" t="s">
        <v>1827</v>
      </c>
      <c r="H84" s="104" t="s">
        <v>1176</v>
      </c>
      <c r="I84" s="104" t="s">
        <v>1176</v>
      </c>
      <c r="J84" s="104" t="s">
        <v>1176</v>
      </c>
      <c r="K84" s="104" t="s">
        <v>1176</v>
      </c>
      <c r="L84" s="104" t="s">
        <v>1828</v>
      </c>
      <c r="M84" s="104" t="s">
        <v>1829</v>
      </c>
      <c r="N84" s="104" t="s">
        <v>1179</v>
      </c>
      <c r="O84" s="104" t="s">
        <v>1176</v>
      </c>
      <c r="P84" s="104" t="s">
        <v>1212</v>
      </c>
      <c r="Q84" s="104" t="s">
        <v>1176</v>
      </c>
      <c r="R84" s="104" t="s">
        <v>1176</v>
      </c>
      <c r="S84" s="104" t="s">
        <v>1176</v>
      </c>
      <c r="T84" s="104" t="s">
        <v>1176</v>
      </c>
      <c r="U84" s="104" t="s">
        <v>1187</v>
      </c>
      <c r="V84" s="104" t="s">
        <v>1830</v>
      </c>
      <c r="W84" s="104" t="s">
        <v>1176</v>
      </c>
      <c r="X84" s="104" t="s">
        <v>1831</v>
      </c>
      <c r="Y84" s="104" t="s">
        <v>1832</v>
      </c>
      <c r="Z84" s="104" t="s">
        <v>1833</v>
      </c>
      <c r="AA84" s="104" t="s">
        <v>1176</v>
      </c>
      <c r="AB84" s="104" t="s">
        <v>1176</v>
      </c>
      <c r="AC84" s="104" t="s">
        <v>1218</v>
      </c>
      <c r="AD84" s="104" t="s">
        <v>1834</v>
      </c>
      <c r="AE84" s="104" t="s">
        <v>1176</v>
      </c>
      <c r="AF84" s="104" t="s">
        <v>1176</v>
      </c>
      <c r="AG84" s="104" t="s">
        <v>1176</v>
      </c>
      <c r="AH84" s="104" t="s">
        <v>1176</v>
      </c>
      <c r="AI84" s="104" t="s">
        <v>1835</v>
      </c>
      <c r="AJ84" s="104" t="s">
        <v>1836</v>
      </c>
      <c r="AK84" s="104" t="s">
        <v>1837</v>
      </c>
      <c r="AL84" s="104" t="s">
        <v>1838</v>
      </c>
      <c r="AM84" s="104" t="s">
        <v>1176</v>
      </c>
      <c r="AN84" s="104" t="s">
        <v>1243</v>
      </c>
      <c r="AO84" s="104" t="s">
        <v>1176</v>
      </c>
      <c r="AP84" s="104" t="s">
        <v>1176</v>
      </c>
      <c r="AQ84" s="104" t="s">
        <v>1176</v>
      </c>
      <c r="AR84" s="104" t="s">
        <v>1176</v>
      </c>
      <c r="AS84" s="104" t="s">
        <v>1176</v>
      </c>
      <c r="AT84" s="104" t="s">
        <v>1176</v>
      </c>
      <c r="AU84" s="104" t="s">
        <v>1176</v>
      </c>
      <c r="AV84" s="104" t="s">
        <v>1176</v>
      </c>
      <c r="AW84" s="104" t="s">
        <v>1176</v>
      </c>
      <c r="AX84" s="104" t="s">
        <v>1176</v>
      </c>
      <c r="AY84" s="104" t="s">
        <v>1176</v>
      </c>
      <c r="AZ84" s="104" t="s">
        <v>1176</v>
      </c>
      <c r="BA84" s="104" t="s">
        <v>1176</v>
      </c>
      <c r="BB84" s="104" t="s">
        <v>1176</v>
      </c>
      <c r="BC84" s="104" t="s">
        <v>1176</v>
      </c>
      <c r="BD84" s="104" t="s">
        <v>1176</v>
      </c>
      <c r="BE84" s="104" t="s">
        <v>1176</v>
      </c>
      <c r="BF84" s="104" t="s">
        <v>1176</v>
      </c>
      <c r="BG84" s="104" t="s">
        <v>1839</v>
      </c>
      <c r="BH84" s="104" t="s">
        <v>1839</v>
      </c>
      <c r="BI84" s="104" t="s">
        <v>1840</v>
      </c>
      <c r="BJ84" s="104" t="s">
        <v>1176</v>
      </c>
      <c r="BK84" s="104" t="s">
        <v>1176</v>
      </c>
      <c r="BL84" s="104" t="s">
        <v>1176</v>
      </c>
      <c r="BM84" s="104" t="s">
        <v>1176</v>
      </c>
      <c r="BN84" s="104" t="s">
        <v>1412</v>
      </c>
      <c r="BO84" s="104" t="s">
        <v>1412</v>
      </c>
      <c r="BP84" s="104" t="s">
        <v>1176</v>
      </c>
      <c r="BQ84" s="104" t="s">
        <v>1176</v>
      </c>
      <c r="BR84" s="104" t="s">
        <v>1176</v>
      </c>
      <c r="BS84" s="104" t="s">
        <v>1176</v>
      </c>
      <c r="BT84" s="104" t="s">
        <v>1230</v>
      </c>
      <c r="BU84" s="104" t="s">
        <v>1841</v>
      </c>
      <c r="BV84" s="104" t="s">
        <v>1176</v>
      </c>
      <c r="BW84" s="104" t="s">
        <v>1176</v>
      </c>
      <c r="BX84" s="104" t="s">
        <v>1172</v>
      </c>
      <c r="BY84" s="104" t="s">
        <v>1172</v>
      </c>
      <c r="BZ84" s="104" t="s">
        <v>1176</v>
      </c>
      <c r="CA84" s="104" t="s">
        <v>1176</v>
      </c>
      <c r="CB84" s="104" t="s">
        <v>1176</v>
      </c>
      <c r="CC84" s="104" t="s">
        <v>1176</v>
      </c>
      <c r="CD84" s="104" t="s">
        <v>1176</v>
      </c>
      <c r="CE84" s="104" t="s">
        <v>1176</v>
      </c>
      <c r="CF84" s="104" t="s">
        <v>1176</v>
      </c>
      <c r="CG84" s="104" t="s">
        <v>1176</v>
      </c>
      <c r="CH84" s="104" t="s">
        <v>1176</v>
      </c>
      <c r="CI84" s="104" t="s">
        <v>1176</v>
      </c>
      <c r="CJ84" s="104" t="s">
        <v>1176</v>
      </c>
      <c r="CK84" s="104" t="s">
        <v>1176</v>
      </c>
      <c r="CL84" s="104" t="s">
        <v>1176</v>
      </c>
      <c r="CM84" s="104" t="s">
        <v>1176</v>
      </c>
      <c r="CN84" s="104" t="s">
        <v>1176</v>
      </c>
      <c r="CO84" s="104" t="s">
        <v>1176</v>
      </c>
    </row>
    <row r="85" s="102" customFormat="1" ht="15" spans="1:93">
      <c r="A85" s="104" t="s">
        <v>1842</v>
      </c>
      <c r="B85" s="104" t="s">
        <v>1146</v>
      </c>
      <c r="C85" s="104" t="s">
        <v>1147</v>
      </c>
      <c r="D85" s="104" t="s">
        <v>1843</v>
      </c>
      <c r="E85" s="104" t="s">
        <v>1844</v>
      </c>
      <c r="F85" s="104">
        <f t="shared" si="1"/>
        <v>2079</v>
      </c>
      <c r="G85" s="104" t="s">
        <v>1845</v>
      </c>
      <c r="H85" s="104" t="s">
        <v>1176</v>
      </c>
      <c r="I85" s="104" t="s">
        <v>1176</v>
      </c>
      <c r="J85" s="104" t="s">
        <v>1176</v>
      </c>
      <c r="K85" s="104" t="s">
        <v>1176</v>
      </c>
      <c r="L85" s="104" t="s">
        <v>1846</v>
      </c>
      <c r="M85" s="104" t="s">
        <v>1847</v>
      </c>
      <c r="N85" s="104" t="s">
        <v>1176</v>
      </c>
      <c r="O85" s="104" t="s">
        <v>1176</v>
      </c>
      <c r="P85" s="104" t="s">
        <v>1172</v>
      </c>
      <c r="Q85" s="104" t="s">
        <v>1176</v>
      </c>
      <c r="R85" s="104" t="s">
        <v>1176</v>
      </c>
      <c r="S85" s="104" t="s">
        <v>1176</v>
      </c>
      <c r="T85" s="104" t="s">
        <v>1176</v>
      </c>
      <c r="U85" s="104" t="s">
        <v>1172</v>
      </c>
      <c r="V85" s="104" t="s">
        <v>1795</v>
      </c>
      <c r="W85" s="104" t="s">
        <v>1176</v>
      </c>
      <c r="X85" s="104" t="s">
        <v>1848</v>
      </c>
      <c r="Y85" s="104" t="s">
        <v>1849</v>
      </c>
      <c r="Z85" s="104" t="s">
        <v>1850</v>
      </c>
      <c r="AA85" s="104" t="s">
        <v>1176</v>
      </c>
      <c r="AB85" s="104" t="s">
        <v>1176</v>
      </c>
      <c r="AC85" s="104" t="s">
        <v>1176</v>
      </c>
      <c r="AD85" s="104" t="s">
        <v>1176</v>
      </c>
      <c r="AE85" s="104" t="s">
        <v>1176</v>
      </c>
      <c r="AF85" s="104" t="s">
        <v>1176</v>
      </c>
      <c r="AG85" s="104" t="s">
        <v>1176</v>
      </c>
      <c r="AH85" s="104" t="s">
        <v>1176</v>
      </c>
      <c r="AI85" s="104" t="s">
        <v>1849</v>
      </c>
      <c r="AJ85" s="104" t="s">
        <v>1850</v>
      </c>
      <c r="AK85" s="104" t="s">
        <v>1176</v>
      </c>
      <c r="AL85" s="104" t="s">
        <v>1176</v>
      </c>
      <c r="AM85" s="104" t="s">
        <v>1176</v>
      </c>
      <c r="AN85" s="104" t="s">
        <v>1176</v>
      </c>
      <c r="AO85" s="104" t="s">
        <v>1176</v>
      </c>
      <c r="AP85" s="104" t="s">
        <v>1176</v>
      </c>
      <c r="AQ85" s="104" t="s">
        <v>1176</v>
      </c>
      <c r="AR85" s="104" t="s">
        <v>1176</v>
      </c>
      <c r="AS85" s="104" t="s">
        <v>1176</v>
      </c>
      <c r="AT85" s="104" t="s">
        <v>1176</v>
      </c>
      <c r="AU85" s="104" t="s">
        <v>1176</v>
      </c>
      <c r="AV85" s="104" t="s">
        <v>1176</v>
      </c>
      <c r="AW85" s="104" t="s">
        <v>1176</v>
      </c>
      <c r="AX85" s="104" t="s">
        <v>1176</v>
      </c>
      <c r="AY85" s="104" t="s">
        <v>1176</v>
      </c>
      <c r="AZ85" s="104" t="s">
        <v>1176</v>
      </c>
      <c r="BA85" s="104" t="s">
        <v>1176</v>
      </c>
      <c r="BB85" s="104" t="s">
        <v>1176</v>
      </c>
      <c r="BC85" s="104" t="s">
        <v>1176</v>
      </c>
      <c r="BD85" s="104" t="s">
        <v>1176</v>
      </c>
      <c r="BE85" s="104" t="s">
        <v>1176</v>
      </c>
      <c r="BF85" s="104" t="s">
        <v>1176</v>
      </c>
      <c r="BG85" s="104" t="s">
        <v>1851</v>
      </c>
      <c r="BH85" s="104" t="s">
        <v>1851</v>
      </c>
      <c r="BI85" s="104" t="s">
        <v>1852</v>
      </c>
      <c r="BJ85" s="104" t="s">
        <v>1176</v>
      </c>
      <c r="BK85" s="104" t="s">
        <v>1176</v>
      </c>
      <c r="BL85" s="104" t="s">
        <v>1176</v>
      </c>
      <c r="BM85" s="104" t="s">
        <v>1176</v>
      </c>
      <c r="BN85" s="104" t="s">
        <v>1229</v>
      </c>
      <c r="BO85" s="104" t="s">
        <v>1229</v>
      </c>
      <c r="BP85" s="104" t="s">
        <v>1176</v>
      </c>
      <c r="BQ85" s="104" t="s">
        <v>1176</v>
      </c>
      <c r="BR85" s="104" t="s">
        <v>1172</v>
      </c>
      <c r="BS85" s="104" t="s">
        <v>1853</v>
      </c>
      <c r="BT85" s="104" t="s">
        <v>1196</v>
      </c>
      <c r="BU85" s="104" t="s">
        <v>1321</v>
      </c>
      <c r="BV85" s="104" t="s">
        <v>1176</v>
      </c>
      <c r="BW85" s="104" t="s">
        <v>1176</v>
      </c>
      <c r="BX85" s="104" t="s">
        <v>1176</v>
      </c>
      <c r="BY85" s="104" t="s">
        <v>1176</v>
      </c>
      <c r="BZ85" s="104" t="s">
        <v>1176</v>
      </c>
      <c r="CA85" s="104" t="s">
        <v>1176</v>
      </c>
      <c r="CB85" s="104" t="s">
        <v>1176</v>
      </c>
      <c r="CC85" s="104" t="s">
        <v>1176</v>
      </c>
      <c r="CD85" s="104" t="s">
        <v>1176</v>
      </c>
      <c r="CE85" s="104" t="s">
        <v>1176</v>
      </c>
      <c r="CF85" s="104" t="s">
        <v>1176</v>
      </c>
      <c r="CG85" s="104" t="s">
        <v>1176</v>
      </c>
      <c r="CH85" s="104" t="s">
        <v>1176</v>
      </c>
      <c r="CI85" s="104" t="s">
        <v>1176</v>
      </c>
      <c r="CJ85" s="104" t="s">
        <v>1176</v>
      </c>
      <c r="CK85" s="104" t="s">
        <v>1176</v>
      </c>
      <c r="CL85" s="104" t="s">
        <v>1176</v>
      </c>
      <c r="CM85" s="104" t="s">
        <v>1176</v>
      </c>
      <c r="CN85" s="104" t="s">
        <v>1176</v>
      </c>
      <c r="CO85" s="104" t="s">
        <v>1176</v>
      </c>
    </row>
    <row r="86" s="102" customFormat="1" ht="15" spans="1:93">
      <c r="A86" s="104" t="s">
        <v>1325</v>
      </c>
      <c r="B86" s="104" t="s">
        <v>1146</v>
      </c>
      <c r="C86" s="104" t="s">
        <v>1147</v>
      </c>
      <c r="D86" s="104" t="s">
        <v>1854</v>
      </c>
      <c r="E86" s="104" t="s">
        <v>1855</v>
      </c>
      <c r="F86" s="104">
        <f t="shared" si="1"/>
        <v>1996</v>
      </c>
      <c r="G86" s="104" t="s">
        <v>1856</v>
      </c>
      <c r="H86" s="104" t="s">
        <v>1176</v>
      </c>
      <c r="I86" s="104" t="s">
        <v>1176</v>
      </c>
      <c r="J86" s="104" t="s">
        <v>1176</v>
      </c>
      <c r="K86" s="104" t="s">
        <v>1176</v>
      </c>
      <c r="L86" s="104" t="s">
        <v>1817</v>
      </c>
      <c r="M86" s="104" t="s">
        <v>1857</v>
      </c>
      <c r="N86" s="104" t="s">
        <v>1218</v>
      </c>
      <c r="O86" s="104" t="s">
        <v>1176</v>
      </c>
      <c r="P86" s="104" t="s">
        <v>1176</v>
      </c>
      <c r="Q86" s="104" t="s">
        <v>1176</v>
      </c>
      <c r="R86" s="104" t="s">
        <v>1176</v>
      </c>
      <c r="S86" s="104" t="s">
        <v>1176</v>
      </c>
      <c r="T86" s="104" t="s">
        <v>1176</v>
      </c>
      <c r="U86" s="104" t="s">
        <v>1201</v>
      </c>
      <c r="V86" s="104" t="s">
        <v>1633</v>
      </c>
      <c r="W86" s="104" t="s">
        <v>1176</v>
      </c>
      <c r="X86" s="104" t="s">
        <v>1858</v>
      </c>
      <c r="Y86" s="104" t="s">
        <v>1496</v>
      </c>
      <c r="Z86" s="104" t="s">
        <v>1859</v>
      </c>
      <c r="AA86" s="104" t="s">
        <v>1176</v>
      </c>
      <c r="AB86" s="104" t="s">
        <v>1176</v>
      </c>
      <c r="AC86" s="104" t="s">
        <v>1176</v>
      </c>
      <c r="AD86" s="104" t="s">
        <v>1176</v>
      </c>
      <c r="AE86" s="104" t="s">
        <v>1176</v>
      </c>
      <c r="AF86" s="104" t="s">
        <v>1176</v>
      </c>
      <c r="AG86" s="104" t="s">
        <v>1176</v>
      </c>
      <c r="AH86" s="104" t="s">
        <v>1176</v>
      </c>
      <c r="AI86" s="104" t="s">
        <v>1187</v>
      </c>
      <c r="AJ86" s="104" t="s">
        <v>1350</v>
      </c>
      <c r="AK86" s="104" t="s">
        <v>1860</v>
      </c>
      <c r="AL86" s="104" t="s">
        <v>1861</v>
      </c>
      <c r="AM86" s="104" t="s">
        <v>1176</v>
      </c>
      <c r="AN86" s="104" t="s">
        <v>1187</v>
      </c>
      <c r="AO86" s="104" t="s">
        <v>1176</v>
      </c>
      <c r="AP86" s="104" t="s">
        <v>1176</v>
      </c>
      <c r="AQ86" s="104" t="s">
        <v>1176</v>
      </c>
      <c r="AR86" s="104" t="s">
        <v>1176</v>
      </c>
      <c r="AS86" s="104" t="s">
        <v>1176</v>
      </c>
      <c r="AT86" s="104" t="s">
        <v>1176</v>
      </c>
      <c r="AU86" s="104" t="s">
        <v>1176</v>
      </c>
      <c r="AV86" s="104" t="s">
        <v>1176</v>
      </c>
      <c r="AW86" s="104" t="s">
        <v>1176</v>
      </c>
      <c r="AX86" s="104" t="s">
        <v>1176</v>
      </c>
      <c r="AY86" s="104" t="s">
        <v>1176</v>
      </c>
      <c r="AZ86" s="104" t="s">
        <v>1176</v>
      </c>
      <c r="BA86" s="104" t="s">
        <v>1176</v>
      </c>
      <c r="BB86" s="104" t="s">
        <v>1176</v>
      </c>
      <c r="BC86" s="104" t="s">
        <v>1176</v>
      </c>
      <c r="BD86" s="104" t="s">
        <v>1176</v>
      </c>
      <c r="BE86" s="104" t="s">
        <v>1176</v>
      </c>
      <c r="BF86" s="104" t="s">
        <v>1176</v>
      </c>
      <c r="BG86" s="104" t="s">
        <v>1556</v>
      </c>
      <c r="BH86" s="104" t="s">
        <v>1556</v>
      </c>
      <c r="BI86" s="104" t="s">
        <v>1862</v>
      </c>
      <c r="BJ86" s="104" t="s">
        <v>1176</v>
      </c>
      <c r="BK86" s="104" t="s">
        <v>1176</v>
      </c>
      <c r="BL86" s="104" t="s">
        <v>1176</v>
      </c>
      <c r="BM86" s="104" t="s">
        <v>1176</v>
      </c>
      <c r="BN86" s="104" t="s">
        <v>1176</v>
      </c>
      <c r="BO86" s="104" t="s">
        <v>1176</v>
      </c>
      <c r="BP86" s="104" t="s">
        <v>1176</v>
      </c>
      <c r="BQ86" s="104" t="s">
        <v>1176</v>
      </c>
      <c r="BR86" s="104" t="s">
        <v>1176</v>
      </c>
      <c r="BS86" s="104" t="s">
        <v>1176</v>
      </c>
      <c r="BT86" s="104" t="s">
        <v>1556</v>
      </c>
      <c r="BU86" s="104" t="s">
        <v>1862</v>
      </c>
      <c r="BV86" s="104" t="s">
        <v>1176</v>
      </c>
      <c r="BW86" s="104" t="s">
        <v>1176</v>
      </c>
      <c r="BX86" s="104" t="s">
        <v>1176</v>
      </c>
      <c r="BY86" s="104" t="s">
        <v>1176</v>
      </c>
      <c r="BZ86" s="104" t="s">
        <v>1176</v>
      </c>
      <c r="CA86" s="104" t="s">
        <v>1176</v>
      </c>
      <c r="CB86" s="104" t="s">
        <v>1176</v>
      </c>
      <c r="CC86" s="104" t="s">
        <v>1176</v>
      </c>
      <c r="CD86" s="104" t="s">
        <v>1176</v>
      </c>
      <c r="CE86" s="104" t="s">
        <v>1176</v>
      </c>
      <c r="CF86" s="104" t="s">
        <v>1176</v>
      </c>
      <c r="CG86" s="104" t="s">
        <v>1176</v>
      </c>
      <c r="CH86" s="104" t="s">
        <v>1176</v>
      </c>
      <c r="CI86" s="104" t="s">
        <v>1176</v>
      </c>
      <c r="CJ86" s="104" t="s">
        <v>1176</v>
      </c>
      <c r="CK86" s="104" t="s">
        <v>1176</v>
      </c>
      <c r="CL86" s="104" t="s">
        <v>1176</v>
      </c>
      <c r="CM86" s="104" t="s">
        <v>1176</v>
      </c>
      <c r="CN86" s="104" t="s">
        <v>1176</v>
      </c>
      <c r="CO86" s="104" t="s">
        <v>1176</v>
      </c>
    </row>
    <row r="87" s="102" customFormat="1" ht="15" spans="1:93">
      <c r="A87" s="104" t="s">
        <v>1863</v>
      </c>
      <c r="B87" s="104" t="s">
        <v>1146</v>
      </c>
      <c r="C87" s="104" t="s">
        <v>1147</v>
      </c>
      <c r="D87" s="104" t="s">
        <v>1864</v>
      </c>
      <c r="E87" s="104" t="s">
        <v>1865</v>
      </c>
      <c r="F87" s="104">
        <f t="shared" si="1"/>
        <v>3383</v>
      </c>
      <c r="G87" s="104" t="s">
        <v>1866</v>
      </c>
      <c r="H87" s="104" t="s">
        <v>1176</v>
      </c>
      <c r="I87" s="104" t="s">
        <v>1176</v>
      </c>
      <c r="J87" s="104" t="s">
        <v>1176</v>
      </c>
      <c r="K87" s="104" t="s">
        <v>1176</v>
      </c>
      <c r="L87" s="104" t="s">
        <v>1309</v>
      </c>
      <c r="M87" s="104" t="s">
        <v>1867</v>
      </c>
      <c r="N87" s="104" t="s">
        <v>1172</v>
      </c>
      <c r="O87" s="104" t="s">
        <v>1172</v>
      </c>
      <c r="P87" s="104" t="s">
        <v>1176</v>
      </c>
      <c r="Q87" s="104" t="s">
        <v>1176</v>
      </c>
      <c r="R87" s="104" t="s">
        <v>1176</v>
      </c>
      <c r="S87" s="104" t="s">
        <v>1176</v>
      </c>
      <c r="T87" s="104" t="s">
        <v>1176</v>
      </c>
      <c r="U87" s="104" t="s">
        <v>1238</v>
      </c>
      <c r="V87" s="104" t="s">
        <v>1868</v>
      </c>
      <c r="W87" s="104" t="s">
        <v>1176</v>
      </c>
      <c r="X87" s="104" t="s">
        <v>1869</v>
      </c>
      <c r="Y87" s="104" t="s">
        <v>1472</v>
      </c>
      <c r="Z87" s="104" t="s">
        <v>1488</v>
      </c>
      <c r="AA87" s="104" t="s">
        <v>1176</v>
      </c>
      <c r="AB87" s="104" t="s">
        <v>1176</v>
      </c>
      <c r="AC87" s="104" t="s">
        <v>1176</v>
      </c>
      <c r="AD87" s="104" t="s">
        <v>1176</v>
      </c>
      <c r="AE87" s="104" t="s">
        <v>1176</v>
      </c>
      <c r="AF87" s="104" t="s">
        <v>1176</v>
      </c>
      <c r="AG87" s="104" t="s">
        <v>1176</v>
      </c>
      <c r="AH87" s="104" t="s">
        <v>1176</v>
      </c>
      <c r="AI87" s="104" t="s">
        <v>1180</v>
      </c>
      <c r="AJ87" s="104" t="s">
        <v>1325</v>
      </c>
      <c r="AK87" s="104" t="s">
        <v>1421</v>
      </c>
      <c r="AL87" s="104" t="s">
        <v>1870</v>
      </c>
      <c r="AM87" s="104" t="s">
        <v>1176</v>
      </c>
      <c r="AN87" s="104" t="s">
        <v>1176</v>
      </c>
      <c r="AO87" s="104" t="s">
        <v>1176</v>
      </c>
      <c r="AP87" s="104" t="s">
        <v>1176</v>
      </c>
      <c r="AQ87" s="104" t="s">
        <v>1176</v>
      </c>
      <c r="AR87" s="104" t="s">
        <v>1176</v>
      </c>
      <c r="AS87" s="104" t="s">
        <v>1176</v>
      </c>
      <c r="AT87" s="104" t="s">
        <v>1176</v>
      </c>
      <c r="AU87" s="104" t="s">
        <v>1176</v>
      </c>
      <c r="AV87" s="104" t="s">
        <v>1176</v>
      </c>
      <c r="AW87" s="104" t="s">
        <v>1176</v>
      </c>
      <c r="AX87" s="104" t="s">
        <v>1176</v>
      </c>
      <c r="AY87" s="104" t="s">
        <v>1176</v>
      </c>
      <c r="AZ87" s="104" t="s">
        <v>1176</v>
      </c>
      <c r="BA87" s="104" t="s">
        <v>1176</v>
      </c>
      <c r="BB87" s="104" t="s">
        <v>1176</v>
      </c>
      <c r="BC87" s="104" t="s">
        <v>1176</v>
      </c>
      <c r="BD87" s="104" t="s">
        <v>1176</v>
      </c>
      <c r="BE87" s="104" t="s">
        <v>1176</v>
      </c>
      <c r="BF87" s="104" t="s">
        <v>1176</v>
      </c>
      <c r="BG87" s="104" t="s">
        <v>1264</v>
      </c>
      <c r="BH87" s="104" t="s">
        <v>1264</v>
      </c>
      <c r="BI87" s="104" t="s">
        <v>1871</v>
      </c>
      <c r="BJ87" s="104" t="s">
        <v>1188</v>
      </c>
      <c r="BK87" s="104" t="s">
        <v>1187</v>
      </c>
      <c r="BL87" s="104" t="s">
        <v>1176</v>
      </c>
      <c r="BM87" s="104" t="s">
        <v>1176</v>
      </c>
      <c r="BN87" s="104" t="s">
        <v>1176</v>
      </c>
      <c r="BO87" s="104" t="s">
        <v>1176</v>
      </c>
      <c r="BP87" s="104" t="s">
        <v>1176</v>
      </c>
      <c r="BQ87" s="104" t="s">
        <v>1176</v>
      </c>
      <c r="BR87" s="104" t="s">
        <v>1176</v>
      </c>
      <c r="BS87" s="104" t="s">
        <v>1176</v>
      </c>
      <c r="BT87" s="104" t="s">
        <v>1326</v>
      </c>
      <c r="BU87" s="104" t="s">
        <v>1872</v>
      </c>
      <c r="BV87" s="104" t="s">
        <v>1176</v>
      </c>
      <c r="BW87" s="104" t="s">
        <v>1176</v>
      </c>
      <c r="BX87" s="104" t="s">
        <v>1243</v>
      </c>
      <c r="BY87" s="104" t="s">
        <v>1323</v>
      </c>
      <c r="BZ87" s="104" t="s">
        <v>1176</v>
      </c>
      <c r="CA87" s="104" t="s">
        <v>1176</v>
      </c>
      <c r="CB87" s="104" t="s">
        <v>1176</v>
      </c>
      <c r="CC87" s="104" t="s">
        <v>1176</v>
      </c>
      <c r="CD87" s="104" t="s">
        <v>1176</v>
      </c>
      <c r="CE87" s="104" t="s">
        <v>1176</v>
      </c>
      <c r="CF87" s="104" t="s">
        <v>1176</v>
      </c>
      <c r="CG87" s="104" t="s">
        <v>1176</v>
      </c>
      <c r="CH87" s="104" t="s">
        <v>1176</v>
      </c>
      <c r="CI87" s="104" t="s">
        <v>1176</v>
      </c>
      <c r="CJ87" s="104" t="s">
        <v>1176</v>
      </c>
      <c r="CK87" s="104" t="s">
        <v>1176</v>
      </c>
      <c r="CL87" s="104" t="s">
        <v>1176</v>
      </c>
      <c r="CM87" s="104" t="s">
        <v>1176</v>
      </c>
      <c r="CN87" s="104" t="s">
        <v>1176</v>
      </c>
      <c r="CO87" s="104" t="s">
        <v>1176</v>
      </c>
    </row>
    <row r="88" s="102" customFormat="1" ht="15" spans="1:93">
      <c r="A88" s="104" t="s">
        <v>1245</v>
      </c>
      <c r="B88" s="104" t="s">
        <v>1146</v>
      </c>
      <c r="C88" s="104" t="s">
        <v>1147</v>
      </c>
      <c r="D88" s="104" t="s">
        <v>1873</v>
      </c>
      <c r="E88" s="104" t="s">
        <v>1874</v>
      </c>
      <c r="F88" s="104">
        <f t="shared" si="1"/>
        <v>1405</v>
      </c>
      <c r="G88" s="104" t="s">
        <v>1875</v>
      </c>
      <c r="H88" s="104" t="s">
        <v>1176</v>
      </c>
      <c r="I88" s="104" t="s">
        <v>1176</v>
      </c>
      <c r="J88" s="104" t="s">
        <v>1176</v>
      </c>
      <c r="K88" s="104" t="s">
        <v>1176</v>
      </c>
      <c r="L88" s="104" t="s">
        <v>1876</v>
      </c>
      <c r="M88" s="104" t="s">
        <v>1321</v>
      </c>
      <c r="N88" s="104" t="s">
        <v>1212</v>
      </c>
      <c r="O88" s="104" t="s">
        <v>1176</v>
      </c>
      <c r="P88" s="104" t="s">
        <v>1176</v>
      </c>
      <c r="Q88" s="104" t="s">
        <v>1176</v>
      </c>
      <c r="R88" s="104" t="s">
        <v>1176</v>
      </c>
      <c r="S88" s="104" t="s">
        <v>1176</v>
      </c>
      <c r="T88" s="104" t="s">
        <v>1176</v>
      </c>
      <c r="U88" s="104" t="s">
        <v>1176</v>
      </c>
      <c r="V88" s="104" t="s">
        <v>1643</v>
      </c>
      <c r="W88" s="104" t="s">
        <v>1176</v>
      </c>
      <c r="X88" s="104" t="s">
        <v>1877</v>
      </c>
      <c r="Y88" s="104" t="s">
        <v>1397</v>
      </c>
      <c r="Z88" s="104" t="s">
        <v>1878</v>
      </c>
      <c r="AA88" s="104" t="s">
        <v>1176</v>
      </c>
      <c r="AB88" s="104" t="s">
        <v>1176</v>
      </c>
      <c r="AC88" s="104" t="s">
        <v>1176</v>
      </c>
      <c r="AD88" s="104" t="s">
        <v>1176</v>
      </c>
      <c r="AE88" s="104" t="s">
        <v>1176</v>
      </c>
      <c r="AF88" s="104" t="s">
        <v>1176</v>
      </c>
      <c r="AG88" s="104" t="s">
        <v>1176</v>
      </c>
      <c r="AH88" s="104" t="s">
        <v>1176</v>
      </c>
      <c r="AI88" s="104" t="s">
        <v>1218</v>
      </c>
      <c r="AJ88" s="104" t="s">
        <v>1377</v>
      </c>
      <c r="AK88" s="104" t="s">
        <v>1879</v>
      </c>
      <c r="AL88" s="104" t="s">
        <v>1880</v>
      </c>
      <c r="AM88" s="104" t="s">
        <v>1176</v>
      </c>
      <c r="AN88" s="104" t="s">
        <v>1232</v>
      </c>
      <c r="AO88" s="104" t="s">
        <v>1176</v>
      </c>
      <c r="AP88" s="104" t="s">
        <v>1176</v>
      </c>
      <c r="AQ88" s="104" t="s">
        <v>1176</v>
      </c>
      <c r="AR88" s="104" t="s">
        <v>1176</v>
      </c>
      <c r="AS88" s="104" t="s">
        <v>1176</v>
      </c>
      <c r="AT88" s="104" t="s">
        <v>1176</v>
      </c>
      <c r="AU88" s="104" t="s">
        <v>1176</v>
      </c>
      <c r="AV88" s="104" t="s">
        <v>1176</v>
      </c>
      <c r="AW88" s="104" t="s">
        <v>1176</v>
      </c>
      <c r="AX88" s="104" t="s">
        <v>1176</v>
      </c>
      <c r="AY88" s="104" t="s">
        <v>1176</v>
      </c>
      <c r="AZ88" s="104" t="s">
        <v>1176</v>
      </c>
      <c r="BA88" s="104" t="s">
        <v>1176</v>
      </c>
      <c r="BB88" s="104" t="s">
        <v>1176</v>
      </c>
      <c r="BC88" s="104" t="s">
        <v>1176</v>
      </c>
      <c r="BD88" s="104" t="s">
        <v>1176</v>
      </c>
      <c r="BE88" s="104" t="s">
        <v>1176</v>
      </c>
      <c r="BF88" s="104" t="s">
        <v>1176</v>
      </c>
      <c r="BG88" s="104" t="s">
        <v>1296</v>
      </c>
      <c r="BH88" s="104" t="s">
        <v>1296</v>
      </c>
      <c r="BI88" s="104" t="s">
        <v>1881</v>
      </c>
      <c r="BJ88" s="104" t="s">
        <v>1176</v>
      </c>
      <c r="BK88" s="104" t="s">
        <v>1176</v>
      </c>
      <c r="BL88" s="104" t="s">
        <v>1176</v>
      </c>
      <c r="BM88" s="104" t="s">
        <v>1176</v>
      </c>
      <c r="BN88" s="104" t="s">
        <v>1176</v>
      </c>
      <c r="BO88" s="104" t="s">
        <v>1176</v>
      </c>
      <c r="BP88" s="104" t="s">
        <v>1176</v>
      </c>
      <c r="BQ88" s="104" t="s">
        <v>1176</v>
      </c>
      <c r="BR88" s="104" t="s">
        <v>1176</v>
      </c>
      <c r="BS88" s="104" t="s">
        <v>1176</v>
      </c>
      <c r="BT88" s="104" t="s">
        <v>1296</v>
      </c>
      <c r="BU88" s="104" t="s">
        <v>1881</v>
      </c>
      <c r="BV88" s="104" t="s">
        <v>1176</v>
      </c>
      <c r="BW88" s="104" t="s">
        <v>1176</v>
      </c>
      <c r="BX88" s="104" t="s">
        <v>1176</v>
      </c>
      <c r="BY88" s="104" t="s">
        <v>1176</v>
      </c>
      <c r="BZ88" s="104" t="s">
        <v>1176</v>
      </c>
      <c r="CA88" s="104" t="s">
        <v>1176</v>
      </c>
      <c r="CB88" s="104" t="s">
        <v>1176</v>
      </c>
      <c r="CC88" s="104" t="s">
        <v>1176</v>
      </c>
      <c r="CD88" s="104" t="s">
        <v>1176</v>
      </c>
      <c r="CE88" s="104" t="s">
        <v>1176</v>
      </c>
      <c r="CF88" s="104" t="s">
        <v>1176</v>
      </c>
      <c r="CG88" s="104" t="s">
        <v>1176</v>
      </c>
      <c r="CH88" s="104" t="s">
        <v>1176</v>
      </c>
      <c r="CI88" s="104" t="s">
        <v>1176</v>
      </c>
      <c r="CJ88" s="104" t="s">
        <v>1176</v>
      </c>
      <c r="CK88" s="104" t="s">
        <v>1176</v>
      </c>
      <c r="CL88" s="104" t="s">
        <v>1176</v>
      </c>
      <c r="CM88" s="104" t="s">
        <v>1176</v>
      </c>
      <c r="CN88" s="104" t="s">
        <v>1176</v>
      </c>
      <c r="CO88" s="104" t="s">
        <v>1176</v>
      </c>
    </row>
    <row r="89" s="102" customFormat="1" ht="15" spans="1:93">
      <c r="A89" s="104" t="s">
        <v>1470</v>
      </c>
      <c r="B89" s="104" t="s">
        <v>1146</v>
      </c>
      <c r="C89" s="104" t="s">
        <v>1147</v>
      </c>
      <c r="D89" s="104" t="s">
        <v>1882</v>
      </c>
      <c r="E89" s="104" t="s">
        <v>1883</v>
      </c>
      <c r="F89" s="104">
        <f t="shared" si="1"/>
        <v>2362</v>
      </c>
      <c r="G89" s="104" t="s">
        <v>1884</v>
      </c>
      <c r="H89" s="104" t="s">
        <v>1176</v>
      </c>
      <c r="I89" s="104" t="s">
        <v>1176</v>
      </c>
      <c r="J89" s="104" t="s">
        <v>1176</v>
      </c>
      <c r="K89" s="104" t="s">
        <v>1176</v>
      </c>
      <c r="L89" s="104" t="s">
        <v>1885</v>
      </c>
      <c r="M89" s="104" t="s">
        <v>1886</v>
      </c>
      <c r="N89" s="104" t="s">
        <v>1179</v>
      </c>
      <c r="O89" s="104" t="s">
        <v>1176</v>
      </c>
      <c r="P89" s="104" t="s">
        <v>1176</v>
      </c>
      <c r="Q89" s="104" t="s">
        <v>1176</v>
      </c>
      <c r="R89" s="104" t="s">
        <v>1176</v>
      </c>
      <c r="S89" s="104" t="s">
        <v>1176</v>
      </c>
      <c r="T89" s="104" t="s">
        <v>1176</v>
      </c>
      <c r="U89" s="104" t="s">
        <v>1172</v>
      </c>
      <c r="V89" s="104" t="s">
        <v>1887</v>
      </c>
      <c r="W89" s="104" t="s">
        <v>1176</v>
      </c>
      <c r="X89" s="104" t="s">
        <v>1888</v>
      </c>
      <c r="Y89" s="104" t="s">
        <v>1889</v>
      </c>
      <c r="Z89" s="104" t="s">
        <v>1890</v>
      </c>
      <c r="AA89" s="104" t="s">
        <v>1176</v>
      </c>
      <c r="AB89" s="104" t="s">
        <v>1176</v>
      </c>
      <c r="AC89" s="104" t="s">
        <v>1176</v>
      </c>
      <c r="AD89" s="104" t="s">
        <v>1176</v>
      </c>
      <c r="AE89" s="104" t="s">
        <v>1176</v>
      </c>
      <c r="AF89" s="104" t="s">
        <v>1176</v>
      </c>
      <c r="AG89" s="104" t="s">
        <v>1176</v>
      </c>
      <c r="AH89" s="104" t="s">
        <v>1176</v>
      </c>
      <c r="AI89" s="104" t="s">
        <v>1230</v>
      </c>
      <c r="AJ89" s="104" t="s">
        <v>1891</v>
      </c>
      <c r="AK89" s="104" t="s">
        <v>1892</v>
      </c>
      <c r="AL89" s="104" t="s">
        <v>1893</v>
      </c>
      <c r="AM89" s="104" t="s">
        <v>1176</v>
      </c>
      <c r="AN89" s="104" t="s">
        <v>1172</v>
      </c>
      <c r="AO89" s="104" t="s">
        <v>1176</v>
      </c>
      <c r="AP89" s="104" t="s">
        <v>1176</v>
      </c>
      <c r="AQ89" s="104" t="s">
        <v>1176</v>
      </c>
      <c r="AR89" s="104" t="s">
        <v>1176</v>
      </c>
      <c r="AS89" s="104" t="s">
        <v>1176</v>
      </c>
      <c r="AT89" s="104" t="s">
        <v>1176</v>
      </c>
      <c r="AU89" s="104" t="s">
        <v>1176</v>
      </c>
      <c r="AV89" s="104" t="s">
        <v>1176</v>
      </c>
      <c r="AW89" s="104" t="s">
        <v>1176</v>
      </c>
      <c r="AX89" s="104" t="s">
        <v>1176</v>
      </c>
      <c r="AY89" s="104" t="s">
        <v>1176</v>
      </c>
      <c r="AZ89" s="104" t="s">
        <v>1176</v>
      </c>
      <c r="BA89" s="104" t="s">
        <v>1176</v>
      </c>
      <c r="BB89" s="104" t="s">
        <v>1176</v>
      </c>
      <c r="BC89" s="104" t="s">
        <v>1176</v>
      </c>
      <c r="BD89" s="104" t="s">
        <v>1176</v>
      </c>
      <c r="BE89" s="104" t="s">
        <v>1176</v>
      </c>
      <c r="BF89" s="104" t="s">
        <v>1176</v>
      </c>
      <c r="BG89" s="104" t="s">
        <v>1894</v>
      </c>
      <c r="BH89" s="104" t="s">
        <v>1894</v>
      </c>
      <c r="BI89" s="104" t="s">
        <v>1895</v>
      </c>
      <c r="BJ89" s="104" t="s">
        <v>1176</v>
      </c>
      <c r="BK89" s="104" t="s">
        <v>1176</v>
      </c>
      <c r="BL89" s="104" t="s">
        <v>1176</v>
      </c>
      <c r="BM89" s="104" t="s">
        <v>1176</v>
      </c>
      <c r="BN89" s="104" t="s">
        <v>1851</v>
      </c>
      <c r="BO89" s="104" t="s">
        <v>1851</v>
      </c>
      <c r="BP89" s="104" t="s">
        <v>1176</v>
      </c>
      <c r="BQ89" s="104" t="s">
        <v>1176</v>
      </c>
      <c r="BR89" s="104" t="s">
        <v>1176</v>
      </c>
      <c r="BS89" s="104" t="s">
        <v>1176</v>
      </c>
      <c r="BT89" s="104" t="s">
        <v>1306</v>
      </c>
      <c r="BU89" s="104" t="s">
        <v>1896</v>
      </c>
      <c r="BV89" s="104" t="s">
        <v>1176</v>
      </c>
      <c r="BW89" s="104" t="s">
        <v>1176</v>
      </c>
      <c r="BX89" s="104" t="s">
        <v>1176</v>
      </c>
      <c r="BY89" s="104" t="s">
        <v>1176</v>
      </c>
      <c r="BZ89" s="104" t="s">
        <v>1176</v>
      </c>
      <c r="CA89" s="104" t="s">
        <v>1176</v>
      </c>
      <c r="CB89" s="104" t="s">
        <v>1176</v>
      </c>
      <c r="CC89" s="104" t="s">
        <v>1176</v>
      </c>
      <c r="CD89" s="104" t="s">
        <v>1176</v>
      </c>
      <c r="CE89" s="104" t="s">
        <v>1176</v>
      </c>
      <c r="CF89" s="104" t="s">
        <v>1176</v>
      </c>
      <c r="CG89" s="104" t="s">
        <v>1176</v>
      </c>
      <c r="CH89" s="104" t="s">
        <v>1176</v>
      </c>
      <c r="CI89" s="104" t="s">
        <v>1176</v>
      </c>
      <c r="CJ89" s="104" t="s">
        <v>1176</v>
      </c>
      <c r="CK89" s="104" t="s">
        <v>1176</v>
      </c>
      <c r="CL89" s="104" t="s">
        <v>1176</v>
      </c>
      <c r="CM89" s="104" t="s">
        <v>1176</v>
      </c>
      <c r="CN89" s="104" t="s">
        <v>1176</v>
      </c>
      <c r="CO89" s="104" t="s">
        <v>1176</v>
      </c>
    </row>
    <row r="90" s="102" customFormat="1" ht="15" spans="1:93">
      <c r="A90" s="104" t="s">
        <v>1897</v>
      </c>
      <c r="B90" s="104" t="s">
        <v>1146</v>
      </c>
      <c r="C90" s="104" t="s">
        <v>1147</v>
      </c>
      <c r="D90" s="104" t="s">
        <v>1898</v>
      </c>
      <c r="E90" s="104" t="s">
        <v>1899</v>
      </c>
      <c r="F90" s="104">
        <f t="shared" si="1"/>
        <v>270</v>
      </c>
      <c r="G90" s="104" t="s">
        <v>1900</v>
      </c>
      <c r="H90" s="104" t="s">
        <v>1176</v>
      </c>
      <c r="I90" s="104" t="s">
        <v>1176</v>
      </c>
      <c r="J90" s="104" t="s">
        <v>1176</v>
      </c>
      <c r="K90" s="104" t="s">
        <v>1176</v>
      </c>
      <c r="L90" s="104" t="s">
        <v>1176</v>
      </c>
      <c r="M90" s="104" t="s">
        <v>1901</v>
      </c>
      <c r="N90" s="104" t="s">
        <v>1176</v>
      </c>
      <c r="O90" s="104" t="s">
        <v>1176</v>
      </c>
      <c r="P90" s="104" t="s">
        <v>1176</v>
      </c>
      <c r="Q90" s="104" t="s">
        <v>1176</v>
      </c>
      <c r="R90" s="104" t="s">
        <v>1176</v>
      </c>
      <c r="S90" s="104" t="s">
        <v>1176</v>
      </c>
      <c r="T90" s="104" t="s">
        <v>1176</v>
      </c>
      <c r="U90" s="104" t="s">
        <v>1176</v>
      </c>
      <c r="V90" s="104" t="s">
        <v>1188</v>
      </c>
      <c r="W90" s="104" t="s">
        <v>1176</v>
      </c>
      <c r="X90" s="104" t="s">
        <v>1188</v>
      </c>
      <c r="Y90" s="104" t="s">
        <v>1172</v>
      </c>
      <c r="Z90" s="104" t="s">
        <v>1179</v>
      </c>
      <c r="AA90" s="104" t="s">
        <v>1176</v>
      </c>
      <c r="AB90" s="104" t="s">
        <v>1176</v>
      </c>
      <c r="AC90" s="104" t="s">
        <v>1176</v>
      </c>
      <c r="AD90" s="104" t="s">
        <v>1176</v>
      </c>
      <c r="AE90" s="104" t="s">
        <v>1176</v>
      </c>
      <c r="AF90" s="104" t="s">
        <v>1176</v>
      </c>
      <c r="AG90" s="104" t="s">
        <v>1176</v>
      </c>
      <c r="AH90" s="104" t="s">
        <v>1176</v>
      </c>
      <c r="AI90" s="104" t="s">
        <v>1172</v>
      </c>
      <c r="AJ90" s="104" t="s">
        <v>1179</v>
      </c>
      <c r="AK90" s="104" t="s">
        <v>1176</v>
      </c>
      <c r="AL90" s="104" t="s">
        <v>1176</v>
      </c>
      <c r="AM90" s="104" t="s">
        <v>1176</v>
      </c>
      <c r="AN90" s="104" t="s">
        <v>1176</v>
      </c>
      <c r="AO90" s="104" t="s">
        <v>1176</v>
      </c>
      <c r="AP90" s="104" t="s">
        <v>1176</v>
      </c>
      <c r="AQ90" s="104" t="s">
        <v>1176</v>
      </c>
      <c r="AR90" s="104" t="s">
        <v>1176</v>
      </c>
      <c r="AS90" s="104" t="s">
        <v>1176</v>
      </c>
      <c r="AT90" s="104" t="s">
        <v>1176</v>
      </c>
      <c r="AU90" s="104" t="s">
        <v>1176</v>
      </c>
      <c r="AV90" s="104" t="s">
        <v>1176</v>
      </c>
      <c r="AW90" s="104" t="s">
        <v>1176</v>
      </c>
      <c r="AX90" s="104" t="s">
        <v>1176</v>
      </c>
      <c r="AY90" s="104" t="s">
        <v>1176</v>
      </c>
      <c r="AZ90" s="104" t="s">
        <v>1176</v>
      </c>
      <c r="BA90" s="104" t="s">
        <v>1176</v>
      </c>
      <c r="BB90" s="104" t="s">
        <v>1176</v>
      </c>
      <c r="BC90" s="104" t="s">
        <v>1176</v>
      </c>
      <c r="BD90" s="104" t="s">
        <v>1176</v>
      </c>
      <c r="BE90" s="104" t="s">
        <v>1176</v>
      </c>
      <c r="BF90" s="104" t="s">
        <v>1176</v>
      </c>
      <c r="BG90" s="104" t="s">
        <v>1835</v>
      </c>
      <c r="BH90" s="104" t="s">
        <v>1835</v>
      </c>
      <c r="BI90" s="104" t="s">
        <v>1835</v>
      </c>
      <c r="BJ90" s="104" t="s">
        <v>1176</v>
      </c>
      <c r="BK90" s="104" t="s">
        <v>1176</v>
      </c>
      <c r="BL90" s="104" t="s">
        <v>1176</v>
      </c>
      <c r="BM90" s="104" t="s">
        <v>1176</v>
      </c>
      <c r="BN90" s="104" t="s">
        <v>1835</v>
      </c>
      <c r="BO90" s="104" t="s">
        <v>1835</v>
      </c>
      <c r="BP90" s="104" t="s">
        <v>1176</v>
      </c>
      <c r="BQ90" s="104" t="s">
        <v>1176</v>
      </c>
      <c r="BR90" s="104" t="s">
        <v>1176</v>
      </c>
      <c r="BS90" s="104" t="s">
        <v>1176</v>
      </c>
      <c r="BT90" s="104" t="s">
        <v>1176</v>
      </c>
      <c r="BU90" s="104" t="s">
        <v>1176</v>
      </c>
      <c r="BV90" s="104" t="s">
        <v>1176</v>
      </c>
      <c r="BW90" s="104" t="s">
        <v>1176</v>
      </c>
      <c r="BX90" s="104" t="s">
        <v>1176</v>
      </c>
      <c r="BY90" s="104" t="s">
        <v>1176</v>
      </c>
      <c r="BZ90" s="104" t="s">
        <v>1176</v>
      </c>
      <c r="CA90" s="104" t="s">
        <v>1176</v>
      </c>
      <c r="CB90" s="104" t="s">
        <v>1176</v>
      </c>
      <c r="CC90" s="104" t="s">
        <v>1176</v>
      </c>
      <c r="CD90" s="104" t="s">
        <v>1176</v>
      </c>
      <c r="CE90" s="104" t="s">
        <v>1176</v>
      </c>
      <c r="CF90" s="104" t="s">
        <v>1176</v>
      </c>
      <c r="CG90" s="104" t="s">
        <v>1176</v>
      </c>
      <c r="CH90" s="104" t="s">
        <v>1176</v>
      </c>
      <c r="CI90" s="104" t="s">
        <v>1176</v>
      </c>
      <c r="CJ90" s="104" t="s">
        <v>1176</v>
      </c>
      <c r="CK90" s="104" t="s">
        <v>1176</v>
      </c>
      <c r="CL90" s="104" t="s">
        <v>1176</v>
      </c>
      <c r="CM90" s="104" t="s">
        <v>1176</v>
      </c>
      <c r="CN90" s="104" t="s">
        <v>1176</v>
      </c>
      <c r="CO90" s="104" t="s">
        <v>1176</v>
      </c>
    </row>
    <row r="91" s="102" customFormat="1" ht="15" spans="1:93">
      <c r="A91" s="104" t="s">
        <v>1822</v>
      </c>
      <c r="B91" s="104" t="s">
        <v>1146</v>
      </c>
      <c r="C91" s="104" t="s">
        <v>1147</v>
      </c>
      <c r="D91" s="104" t="s">
        <v>1902</v>
      </c>
      <c r="E91" s="104" t="s">
        <v>1903</v>
      </c>
      <c r="F91" s="104">
        <f t="shared" si="1"/>
        <v>2666</v>
      </c>
      <c r="G91" s="104" t="s">
        <v>1904</v>
      </c>
      <c r="H91" s="104" t="s">
        <v>1176</v>
      </c>
      <c r="I91" s="104" t="s">
        <v>1176</v>
      </c>
      <c r="J91" s="104" t="s">
        <v>1176</v>
      </c>
      <c r="K91" s="104" t="s">
        <v>1176</v>
      </c>
      <c r="L91" s="104" t="s">
        <v>1326</v>
      </c>
      <c r="M91" s="104" t="s">
        <v>1905</v>
      </c>
      <c r="N91" s="104" t="s">
        <v>1172</v>
      </c>
      <c r="O91" s="104" t="s">
        <v>1176</v>
      </c>
      <c r="P91" s="104" t="s">
        <v>1176</v>
      </c>
      <c r="Q91" s="104" t="s">
        <v>1176</v>
      </c>
      <c r="R91" s="104" t="s">
        <v>1176</v>
      </c>
      <c r="S91" s="104" t="s">
        <v>1176</v>
      </c>
      <c r="T91" s="104" t="s">
        <v>1176</v>
      </c>
      <c r="U91" s="104" t="s">
        <v>1176</v>
      </c>
      <c r="V91" s="104" t="s">
        <v>1906</v>
      </c>
      <c r="W91" s="104" t="s">
        <v>1176</v>
      </c>
      <c r="X91" s="104" t="s">
        <v>1907</v>
      </c>
      <c r="Y91" s="104" t="s">
        <v>1306</v>
      </c>
      <c r="Z91" s="104" t="s">
        <v>1908</v>
      </c>
      <c r="AA91" s="104" t="s">
        <v>1176</v>
      </c>
      <c r="AB91" s="104" t="s">
        <v>1176</v>
      </c>
      <c r="AC91" s="104" t="s">
        <v>1306</v>
      </c>
      <c r="AD91" s="104" t="s">
        <v>1908</v>
      </c>
      <c r="AE91" s="104" t="s">
        <v>1176</v>
      </c>
      <c r="AF91" s="104" t="s">
        <v>1176</v>
      </c>
      <c r="AG91" s="104" t="s">
        <v>1176</v>
      </c>
      <c r="AH91" s="104" t="s">
        <v>1176</v>
      </c>
      <c r="AI91" s="104" t="s">
        <v>1176</v>
      </c>
      <c r="AJ91" s="104" t="s">
        <v>1176</v>
      </c>
      <c r="AK91" s="104" t="s">
        <v>1176</v>
      </c>
      <c r="AL91" s="104" t="s">
        <v>1176</v>
      </c>
      <c r="AM91" s="104" t="s">
        <v>1176</v>
      </c>
      <c r="AN91" s="104" t="s">
        <v>1176</v>
      </c>
      <c r="AO91" s="104" t="s">
        <v>1176</v>
      </c>
      <c r="AP91" s="104" t="s">
        <v>1176</v>
      </c>
      <c r="AQ91" s="104" t="s">
        <v>1176</v>
      </c>
      <c r="AR91" s="104" t="s">
        <v>1176</v>
      </c>
      <c r="AS91" s="104" t="s">
        <v>1176</v>
      </c>
      <c r="AT91" s="104" t="s">
        <v>1176</v>
      </c>
      <c r="AU91" s="104" t="s">
        <v>1176</v>
      </c>
      <c r="AV91" s="104" t="s">
        <v>1176</v>
      </c>
      <c r="AW91" s="104" t="s">
        <v>1176</v>
      </c>
      <c r="AX91" s="104" t="s">
        <v>1176</v>
      </c>
      <c r="AY91" s="104" t="s">
        <v>1176</v>
      </c>
      <c r="AZ91" s="104" t="s">
        <v>1176</v>
      </c>
      <c r="BA91" s="104" t="s">
        <v>1176</v>
      </c>
      <c r="BB91" s="104" t="s">
        <v>1176</v>
      </c>
      <c r="BC91" s="104" t="s">
        <v>1176</v>
      </c>
      <c r="BD91" s="104" t="s">
        <v>1176</v>
      </c>
      <c r="BE91" s="104" t="s">
        <v>1176</v>
      </c>
      <c r="BF91" s="104" t="s">
        <v>1176</v>
      </c>
      <c r="BG91" s="104" t="s">
        <v>1223</v>
      </c>
      <c r="BH91" s="104" t="s">
        <v>1223</v>
      </c>
      <c r="BI91" s="104" t="s">
        <v>1223</v>
      </c>
      <c r="BJ91" s="104" t="s">
        <v>1176</v>
      </c>
      <c r="BK91" s="104" t="s">
        <v>1176</v>
      </c>
      <c r="BL91" s="104" t="s">
        <v>1176</v>
      </c>
      <c r="BM91" s="104" t="s">
        <v>1176</v>
      </c>
      <c r="BN91" s="104" t="s">
        <v>1176</v>
      </c>
      <c r="BO91" s="104" t="s">
        <v>1176</v>
      </c>
      <c r="BP91" s="104" t="s">
        <v>1176</v>
      </c>
      <c r="BQ91" s="104" t="s">
        <v>1176</v>
      </c>
      <c r="BR91" s="104" t="s">
        <v>1176</v>
      </c>
      <c r="BS91" s="104" t="s">
        <v>1176</v>
      </c>
      <c r="BT91" s="104" t="s">
        <v>1223</v>
      </c>
      <c r="BU91" s="104" t="s">
        <v>1223</v>
      </c>
      <c r="BV91" s="104" t="s">
        <v>1176</v>
      </c>
      <c r="BW91" s="104" t="s">
        <v>1176</v>
      </c>
      <c r="BX91" s="104" t="s">
        <v>1176</v>
      </c>
      <c r="BY91" s="104" t="s">
        <v>1176</v>
      </c>
      <c r="BZ91" s="104" t="s">
        <v>1176</v>
      </c>
      <c r="CA91" s="104" t="s">
        <v>1176</v>
      </c>
      <c r="CB91" s="104" t="s">
        <v>1176</v>
      </c>
      <c r="CC91" s="104" t="s">
        <v>1176</v>
      </c>
      <c r="CD91" s="104" t="s">
        <v>1176</v>
      </c>
      <c r="CE91" s="104" t="s">
        <v>1176</v>
      </c>
      <c r="CF91" s="104" t="s">
        <v>1176</v>
      </c>
      <c r="CG91" s="104" t="s">
        <v>1176</v>
      </c>
      <c r="CH91" s="104" t="s">
        <v>1176</v>
      </c>
      <c r="CI91" s="104" t="s">
        <v>1176</v>
      </c>
      <c r="CJ91" s="104" t="s">
        <v>1176</v>
      </c>
      <c r="CK91" s="104" t="s">
        <v>1176</v>
      </c>
      <c r="CL91" s="104" t="s">
        <v>1176</v>
      </c>
      <c r="CM91" s="104" t="s">
        <v>1176</v>
      </c>
      <c r="CN91" s="104" t="s">
        <v>1176</v>
      </c>
      <c r="CO91" s="104" t="s">
        <v>1176</v>
      </c>
    </row>
    <row r="92" s="102" customFormat="1" ht="15" spans="1:93">
      <c r="A92" s="104" t="s">
        <v>1909</v>
      </c>
      <c r="B92" s="104" t="s">
        <v>1146</v>
      </c>
      <c r="C92" s="104" t="s">
        <v>1147</v>
      </c>
      <c r="D92" s="104" t="s">
        <v>1910</v>
      </c>
      <c r="E92" s="104" t="s">
        <v>1911</v>
      </c>
      <c r="F92" s="104">
        <f t="shared" si="1"/>
        <v>4923</v>
      </c>
      <c r="G92" s="104" t="s">
        <v>1912</v>
      </c>
      <c r="H92" s="104" t="s">
        <v>1176</v>
      </c>
      <c r="I92" s="104" t="s">
        <v>1176</v>
      </c>
      <c r="J92" s="104" t="s">
        <v>1176</v>
      </c>
      <c r="K92" s="104" t="s">
        <v>1176</v>
      </c>
      <c r="L92" s="104" t="s">
        <v>1913</v>
      </c>
      <c r="M92" s="104" t="s">
        <v>1914</v>
      </c>
      <c r="N92" s="104" t="s">
        <v>1172</v>
      </c>
      <c r="O92" s="104" t="s">
        <v>1176</v>
      </c>
      <c r="P92" s="104" t="s">
        <v>1176</v>
      </c>
      <c r="Q92" s="104" t="s">
        <v>1176</v>
      </c>
      <c r="R92" s="104" t="s">
        <v>1176</v>
      </c>
      <c r="S92" s="104" t="s">
        <v>1176</v>
      </c>
      <c r="T92" s="104" t="s">
        <v>1176</v>
      </c>
      <c r="U92" s="104" t="s">
        <v>1179</v>
      </c>
      <c r="V92" s="104" t="s">
        <v>1915</v>
      </c>
      <c r="W92" s="104" t="s">
        <v>1176</v>
      </c>
      <c r="X92" s="104" t="s">
        <v>1916</v>
      </c>
      <c r="Y92" s="104" t="s">
        <v>1230</v>
      </c>
      <c r="Z92" s="104" t="s">
        <v>1625</v>
      </c>
      <c r="AA92" s="104" t="s">
        <v>1176</v>
      </c>
      <c r="AB92" s="104" t="s">
        <v>1176</v>
      </c>
      <c r="AC92" s="104" t="s">
        <v>1172</v>
      </c>
      <c r="AD92" s="104" t="s">
        <v>1366</v>
      </c>
      <c r="AE92" s="104" t="s">
        <v>1176</v>
      </c>
      <c r="AF92" s="104" t="s">
        <v>1176</v>
      </c>
      <c r="AG92" s="104" t="s">
        <v>1176</v>
      </c>
      <c r="AH92" s="104" t="s">
        <v>1176</v>
      </c>
      <c r="AI92" s="104" t="s">
        <v>1328</v>
      </c>
      <c r="AJ92" s="104" t="s">
        <v>1917</v>
      </c>
      <c r="AK92" s="104" t="s">
        <v>1176</v>
      </c>
      <c r="AL92" s="104" t="s">
        <v>1176</v>
      </c>
      <c r="AM92" s="104" t="s">
        <v>1176</v>
      </c>
      <c r="AN92" s="104" t="s">
        <v>1176</v>
      </c>
      <c r="AO92" s="104" t="s">
        <v>1176</v>
      </c>
      <c r="AP92" s="104" t="s">
        <v>1172</v>
      </c>
      <c r="AQ92" s="104" t="s">
        <v>1176</v>
      </c>
      <c r="AR92" s="104" t="s">
        <v>1176</v>
      </c>
      <c r="AS92" s="104" t="s">
        <v>1176</v>
      </c>
      <c r="AT92" s="104" t="s">
        <v>1176</v>
      </c>
      <c r="AU92" s="104" t="s">
        <v>1176</v>
      </c>
      <c r="AV92" s="104" t="s">
        <v>1176</v>
      </c>
      <c r="AW92" s="104" t="s">
        <v>1176</v>
      </c>
      <c r="AX92" s="104" t="s">
        <v>1176</v>
      </c>
      <c r="AY92" s="104" t="s">
        <v>1176</v>
      </c>
      <c r="AZ92" s="104" t="s">
        <v>1176</v>
      </c>
      <c r="BA92" s="104" t="s">
        <v>1176</v>
      </c>
      <c r="BB92" s="104" t="s">
        <v>1176</v>
      </c>
      <c r="BC92" s="104" t="s">
        <v>1176</v>
      </c>
      <c r="BD92" s="104" t="s">
        <v>1176</v>
      </c>
      <c r="BE92" s="104" t="s">
        <v>1176</v>
      </c>
      <c r="BF92" s="104" t="s">
        <v>1176</v>
      </c>
      <c r="BG92" s="104" t="s">
        <v>1201</v>
      </c>
      <c r="BH92" s="104" t="s">
        <v>1201</v>
      </c>
      <c r="BI92" s="104" t="s">
        <v>1182</v>
      </c>
      <c r="BJ92" s="104" t="s">
        <v>1176</v>
      </c>
      <c r="BK92" s="104" t="s">
        <v>1176</v>
      </c>
      <c r="BL92" s="104" t="s">
        <v>1176</v>
      </c>
      <c r="BM92" s="104" t="s">
        <v>1176</v>
      </c>
      <c r="BN92" s="104" t="s">
        <v>1176</v>
      </c>
      <c r="BO92" s="104" t="s">
        <v>1176</v>
      </c>
      <c r="BP92" s="104" t="s">
        <v>1176</v>
      </c>
      <c r="BQ92" s="104" t="s">
        <v>1176</v>
      </c>
      <c r="BR92" s="104" t="s">
        <v>1176</v>
      </c>
      <c r="BS92" s="104" t="s">
        <v>1176</v>
      </c>
      <c r="BT92" s="104" t="s">
        <v>1201</v>
      </c>
      <c r="BU92" s="104" t="s">
        <v>1182</v>
      </c>
      <c r="BV92" s="104" t="s">
        <v>1176</v>
      </c>
      <c r="BW92" s="104" t="s">
        <v>1176</v>
      </c>
      <c r="BX92" s="104" t="s">
        <v>1176</v>
      </c>
      <c r="BY92" s="104" t="s">
        <v>1176</v>
      </c>
      <c r="BZ92" s="104" t="s">
        <v>1176</v>
      </c>
      <c r="CA92" s="104" t="s">
        <v>1176</v>
      </c>
      <c r="CB92" s="104" t="s">
        <v>1176</v>
      </c>
      <c r="CC92" s="104" t="s">
        <v>1176</v>
      </c>
      <c r="CD92" s="104" t="s">
        <v>1176</v>
      </c>
      <c r="CE92" s="104" t="s">
        <v>1176</v>
      </c>
      <c r="CF92" s="104" t="s">
        <v>1176</v>
      </c>
      <c r="CG92" s="104" t="s">
        <v>1176</v>
      </c>
      <c r="CH92" s="104" t="s">
        <v>1176</v>
      </c>
      <c r="CI92" s="104" t="s">
        <v>1176</v>
      </c>
      <c r="CJ92" s="104" t="s">
        <v>1176</v>
      </c>
      <c r="CK92" s="104" t="s">
        <v>1176</v>
      </c>
      <c r="CL92" s="104" t="s">
        <v>1176</v>
      </c>
      <c r="CM92" s="104" t="s">
        <v>1176</v>
      </c>
      <c r="CN92" s="104" t="s">
        <v>1176</v>
      </c>
      <c r="CO92" s="104" t="s">
        <v>1176</v>
      </c>
    </row>
    <row r="93" s="102" customFormat="1" ht="15" spans="1:93">
      <c r="A93" s="104" t="s">
        <v>1730</v>
      </c>
      <c r="B93" s="104" t="s">
        <v>1146</v>
      </c>
      <c r="C93" s="104" t="s">
        <v>1147</v>
      </c>
      <c r="D93" s="104" t="s">
        <v>1918</v>
      </c>
      <c r="E93" s="104" t="s">
        <v>1919</v>
      </c>
      <c r="F93" s="104">
        <f t="shared" si="1"/>
        <v>2440</v>
      </c>
      <c r="G93" s="104" t="s">
        <v>1920</v>
      </c>
      <c r="H93" s="104" t="s">
        <v>1176</v>
      </c>
      <c r="I93" s="104" t="s">
        <v>1176</v>
      </c>
      <c r="J93" s="104" t="s">
        <v>1176</v>
      </c>
      <c r="K93" s="104" t="s">
        <v>1176</v>
      </c>
      <c r="L93" s="104" t="s">
        <v>1223</v>
      </c>
      <c r="M93" s="104" t="s">
        <v>1921</v>
      </c>
      <c r="N93" s="104" t="s">
        <v>1176</v>
      </c>
      <c r="O93" s="104" t="s">
        <v>1176</v>
      </c>
      <c r="P93" s="104" t="s">
        <v>1176</v>
      </c>
      <c r="Q93" s="104" t="s">
        <v>1176</v>
      </c>
      <c r="R93" s="104" t="s">
        <v>1176</v>
      </c>
      <c r="S93" s="104" t="s">
        <v>1176</v>
      </c>
      <c r="T93" s="104" t="s">
        <v>1176</v>
      </c>
      <c r="U93" s="104" t="s">
        <v>1176</v>
      </c>
      <c r="V93" s="104" t="s">
        <v>1922</v>
      </c>
      <c r="W93" s="104" t="s">
        <v>1176</v>
      </c>
      <c r="X93" s="104" t="s">
        <v>1923</v>
      </c>
      <c r="Y93" s="104" t="s">
        <v>1261</v>
      </c>
      <c r="Z93" s="104" t="s">
        <v>1924</v>
      </c>
      <c r="AA93" s="104" t="s">
        <v>1176</v>
      </c>
      <c r="AB93" s="104" t="s">
        <v>1176</v>
      </c>
      <c r="AC93" s="104" t="s">
        <v>1176</v>
      </c>
      <c r="AD93" s="104" t="s">
        <v>1176</v>
      </c>
      <c r="AE93" s="104" t="s">
        <v>1176</v>
      </c>
      <c r="AF93" s="104" t="s">
        <v>1176</v>
      </c>
      <c r="AG93" s="104" t="s">
        <v>1176</v>
      </c>
      <c r="AH93" s="104" t="s">
        <v>1176</v>
      </c>
      <c r="AI93" s="104" t="s">
        <v>1187</v>
      </c>
      <c r="AJ93" s="104" t="s">
        <v>1925</v>
      </c>
      <c r="AK93" s="104" t="s">
        <v>1926</v>
      </c>
      <c r="AL93" s="104" t="s">
        <v>1927</v>
      </c>
      <c r="AM93" s="104" t="s">
        <v>1176</v>
      </c>
      <c r="AN93" s="104" t="s">
        <v>1176</v>
      </c>
      <c r="AO93" s="104" t="s">
        <v>1176</v>
      </c>
      <c r="AP93" s="104" t="s">
        <v>1176</v>
      </c>
      <c r="AQ93" s="104" t="s">
        <v>1176</v>
      </c>
      <c r="AR93" s="104" t="s">
        <v>1176</v>
      </c>
      <c r="AS93" s="104" t="s">
        <v>1176</v>
      </c>
      <c r="AT93" s="104" t="s">
        <v>1176</v>
      </c>
      <c r="AU93" s="104" t="s">
        <v>1176</v>
      </c>
      <c r="AV93" s="104" t="s">
        <v>1176</v>
      </c>
      <c r="AW93" s="104" t="s">
        <v>1176</v>
      </c>
      <c r="AX93" s="104" t="s">
        <v>1176</v>
      </c>
      <c r="AY93" s="104" t="s">
        <v>1176</v>
      </c>
      <c r="AZ93" s="104" t="s">
        <v>1176</v>
      </c>
      <c r="BA93" s="104" t="s">
        <v>1176</v>
      </c>
      <c r="BB93" s="104" t="s">
        <v>1176</v>
      </c>
      <c r="BC93" s="104" t="s">
        <v>1176</v>
      </c>
      <c r="BD93" s="104" t="s">
        <v>1176</v>
      </c>
      <c r="BE93" s="104" t="s">
        <v>1176</v>
      </c>
      <c r="BF93" s="104" t="s">
        <v>1176</v>
      </c>
      <c r="BG93" s="104" t="s">
        <v>1172</v>
      </c>
      <c r="BH93" s="104" t="s">
        <v>1172</v>
      </c>
      <c r="BI93" s="104" t="s">
        <v>1172</v>
      </c>
      <c r="BJ93" s="104" t="s">
        <v>1176</v>
      </c>
      <c r="BK93" s="104" t="s">
        <v>1176</v>
      </c>
      <c r="BL93" s="104" t="s">
        <v>1176</v>
      </c>
      <c r="BM93" s="104" t="s">
        <v>1176</v>
      </c>
      <c r="BN93" s="104" t="s">
        <v>1176</v>
      </c>
      <c r="BO93" s="104" t="s">
        <v>1176</v>
      </c>
      <c r="BP93" s="104" t="s">
        <v>1176</v>
      </c>
      <c r="BQ93" s="104" t="s">
        <v>1176</v>
      </c>
      <c r="BR93" s="104" t="s">
        <v>1176</v>
      </c>
      <c r="BS93" s="104" t="s">
        <v>1176</v>
      </c>
      <c r="BT93" s="104" t="s">
        <v>1176</v>
      </c>
      <c r="BU93" s="104" t="s">
        <v>1176</v>
      </c>
      <c r="BV93" s="104" t="s">
        <v>1176</v>
      </c>
      <c r="BW93" s="104" t="s">
        <v>1176</v>
      </c>
      <c r="BX93" s="104" t="s">
        <v>1176</v>
      </c>
      <c r="BY93" s="104" t="s">
        <v>1176</v>
      </c>
      <c r="BZ93" s="104" t="s">
        <v>1176</v>
      </c>
      <c r="CA93" s="104" t="s">
        <v>1176</v>
      </c>
      <c r="CB93" s="104" t="s">
        <v>1176</v>
      </c>
      <c r="CC93" s="104" t="s">
        <v>1176</v>
      </c>
      <c r="CD93" s="104" t="s">
        <v>1176</v>
      </c>
      <c r="CE93" s="104" t="s">
        <v>1176</v>
      </c>
      <c r="CF93" s="104" t="s">
        <v>1176</v>
      </c>
      <c r="CG93" s="104" t="s">
        <v>1176</v>
      </c>
      <c r="CH93" s="104" t="s">
        <v>1176</v>
      </c>
      <c r="CI93" s="104" t="s">
        <v>1176</v>
      </c>
      <c r="CJ93" s="104" t="s">
        <v>1172</v>
      </c>
      <c r="CK93" s="104" t="s">
        <v>1172</v>
      </c>
      <c r="CL93" s="104" t="s">
        <v>1176</v>
      </c>
      <c r="CM93" s="104" t="s">
        <v>1176</v>
      </c>
      <c r="CN93" s="104" t="s">
        <v>1176</v>
      </c>
      <c r="CO93" s="104" t="s">
        <v>1176</v>
      </c>
    </row>
    <row r="94" s="102" customFormat="1" ht="15" spans="1:93">
      <c r="A94" s="104" t="s">
        <v>1795</v>
      </c>
      <c r="B94" s="104" t="s">
        <v>1146</v>
      </c>
      <c r="C94" s="104" t="s">
        <v>1147</v>
      </c>
      <c r="D94" s="104" t="s">
        <v>1928</v>
      </c>
      <c r="E94" s="104" t="s">
        <v>1929</v>
      </c>
      <c r="F94" s="104">
        <f t="shared" si="1"/>
        <v>1110</v>
      </c>
      <c r="G94" s="104" t="s">
        <v>1930</v>
      </c>
      <c r="H94" s="104" t="s">
        <v>1176</v>
      </c>
      <c r="I94" s="104" t="s">
        <v>1176</v>
      </c>
      <c r="J94" s="104" t="s">
        <v>1176</v>
      </c>
      <c r="K94" s="104" t="s">
        <v>1176</v>
      </c>
      <c r="L94" s="104" t="s">
        <v>1421</v>
      </c>
      <c r="M94" s="104" t="s">
        <v>1931</v>
      </c>
      <c r="N94" s="104" t="s">
        <v>1172</v>
      </c>
      <c r="O94" s="104" t="s">
        <v>1176</v>
      </c>
      <c r="P94" s="104" t="s">
        <v>1176</v>
      </c>
      <c r="Q94" s="104" t="s">
        <v>1176</v>
      </c>
      <c r="R94" s="104" t="s">
        <v>1176</v>
      </c>
      <c r="S94" s="104" t="s">
        <v>1176</v>
      </c>
      <c r="T94" s="104" t="s">
        <v>1176</v>
      </c>
      <c r="U94" s="104" t="s">
        <v>1176</v>
      </c>
      <c r="V94" s="104" t="s">
        <v>1839</v>
      </c>
      <c r="W94" s="104" t="s">
        <v>1176</v>
      </c>
      <c r="X94" s="104" t="s">
        <v>1932</v>
      </c>
      <c r="Y94" s="104" t="s">
        <v>1933</v>
      </c>
      <c r="Z94" s="104" t="s">
        <v>1934</v>
      </c>
      <c r="AA94" s="104" t="s">
        <v>1176</v>
      </c>
      <c r="AB94" s="104" t="s">
        <v>1176</v>
      </c>
      <c r="AC94" s="104" t="s">
        <v>1176</v>
      </c>
      <c r="AD94" s="104" t="s">
        <v>1176</v>
      </c>
      <c r="AE94" s="104" t="s">
        <v>1176</v>
      </c>
      <c r="AF94" s="104" t="s">
        <v>1176</v>
      </c>
      <c r="AG94" s="104" t="s">
        <v>1176</v>
      </c>
      <c r="AH94" s="104" t="s">
        <v>1176</v>
      </c>
      <c r="AI94" s="104" t="s">
        <v>1176</v>
      </c>
      <c r="AJ94" s="104" t="s">
        <v>1201</v>
      </c>
      <c r="AK94" s="104" t="s">
        <v>1933</v>
      </c>
      <c r="AL94" s="104" t="s">
        <v>1935</v>
      </c>
      <c r="AM94" s="104" t="s">
        <v>1176</v>
      </c>
      <c r="AN94" s="104" t="s">
        <v>1172</v>
      </c>
      <c r="AO94" s="104" t="s">
        <v>1176</v>
      </c>
      <c r="AP94" s="104" t="s">
        <v>1176</v>
      </c>
      <c r="AQ94" s="104" t="s">
        <v>1176</v>
      </c>
      <c r="AR94" s="104" t="s">
        <v>1176</v>
      </c>
      <c r="AS94" s="104" t="s">
        <v>1176</v>
      </c>
      <c r="AT94" s="104" t="s">
        <v>1176</v>
      </c>
      <c r="AU94" s="104" t="s">
        <v>1176</v>
      </c>
      <c r="AV94" s="104" t="s">
        <v>1176</v>
      </c>
      <c r="AW94" s="104" t="s">
        <v>1176</v>
      </c>
      <c r="AX94" s="104" t="s">
        <v>1176</v>
      </c>
      <c r="AY94" s="104" t="s">
        <v>1176</v>
      </c>
      <c r="AZ94" s="104" t="s">
        <v>1176</v>
      </c>
      <c r="BA94" s="104" t="s">
        <v>1176</v>
      </c>
      <c r="BB94" s="104" t="s">
        <v>1176</v>
      </c>
      <c r="BC94" s="104" t="s">
        <v>1176</v>
      </c>
      <c r="BD94" s="104" t="s">
        <v>1176</v>
      </c>
      <c r="BE94" s="104" t="s">
        <v>1176</v>
      </c>
      <c r="BF94" s="104" t="s">
        <v>1176</v>
      </c>
      <c r="BG94" s="104" t="s">
        <v>1176</v>
      </c>
      <c r="BH94" s="104" t="s">
        <v>1176</v>
      </c>
      <c r="BI94" s="104" t="s">
        <v>1176</v>
      </c>
      <c r="BJ94" s="104" t="s">
        <v>1176</v>
      </c>
      <c r="BK94" s="104" t="s">
        <v>1176</v>
      </c>
      <c r="BL94" s="104" t="s">
        <v>1176</v>
      </c>
      <c r="BM94" s="104" t="s">
        <v>1176</v>
      </c>
      <c r="BN94" s="104" t="s">
        <v>1176</v>
      </c>
      <c r="BO94" s="104" t="s">
        <v>1176</v>
      </c>
      <c r="BP94" s="104" t="s">
        <v>1176</v>
      </c>
      <c r="BQ94" s="104" t="s">
        <v>1176</v>
      </c>
      <c r="BR94" s="104" t="s">
        <v>1176</v>
      </c>
      <c r="BS94" s="104" t="s">
        <v>1176</v>
      </c>
      <c r="BT94" s="104" t="s">
        <v>1176</v>
      </c>
      <c r="BU94" s="104" t="s">
        <v>1176</v>
      </c>
      <c r="BV94" s="104" t="s">
        <v>1176</v>
      </c>
      <c r="BW94" s="104" t="s">
        <v>1176</v>
      </c>
      <c r="BX94" s="104" t="s">
        <v>1176</v>
      </c>
      <c r="BY94" s="104" t="s">
        <v>1176</v>
      </c>
      <c r="BZ94" s="104" t="s">
        <v>1176</v>
      </c>
      <c r="CA94" s="104" t="s">
        <v>1176</v>
      </c>
      <c r="CB94" s="104" t="s">
        <v>1176</v>
      </c>
      <c r="CC94" s="104" t="s">
        <v>1176</v>
      </c>
      <c r="CD94" s="104" t="s">
        <v>1176</v>
      </c>
      <c r="CE94" s="104" t="s">
        <v>1176</v>
      </c>
      <c r="CF94" s="104" t="s">
        <v>1176</v>
      </c>
      <c r="CG94" s="104" t="s">
        <v>1176</v>
      </c>
      <c r="CH94" s="104" t="s">
        <v>1176</v>
      </c>
      <c r="CI94" s="104" t="s">
        <v>1176</v>
      </c>
      <c r="CJ94" s="104" t="s">
        <v>1176</v>
      </c>
      <c r="CK94" s="104" t="s">
        <v>1176</v>
      </c>
      <c r="CL94" s="104" t="s">
        <v>1176</v>
      </c>
      <c r="CM94" s="104" t="s">
        <v>1176</v>
      </c>
      <c r="CN94" s="104" t="s">
        <v>1176</v>
      </c>
      <c r="CO94" s="104" t="s">
        <v>1176</v>
      </c>
    </row>
    <row r="95" s="102" customFormat="1" ht="15" spans="1:93">
      <c r="A95" s="104" t="s">
        <v>1468</v>
      </c>
      <c r="B95" s="104" t="s">
        <v>1146</v>
      </c>
      <c r="C95" s="104" t="s">
        <v>1147</v>
      </c>
      <c r="D95" s="104" t="s">
        <v>1936</v>
      </c>
      <c r="E95" s="104" t="s">
        <v>1937</v>
      </c>
      <c r="F95" s="104">
        <f t="shared" si="1"/>
        <v>2650</v>
      </c>
      <c r="G95" s="104" t="s">
        <v>1938</v>
      </c>
      <c r="H95" s="104" t="s">
        <v>1176</v>
      </c>
      <c r="I95" s="104" t="s">
        <v>1176</v>
      </c>
      <c r="J95" s="104" t="s">
        <v>1176</v>
      </c>
      <c r="K95" s="104" t="s">
        <v>1176</v>
      </c>
      <c r="L95" s="104" t="s">
        <v>1820</v>
      </c>
      <c r="M95" s="104" t="s">
        <v>1939</v>
      </c>
      <c r="N95" s="104" t="s">
        <v>1179</v>
      </c>
      <c r="O95" s="104" t="s">
        <v>1176</v>
      </c>
      <c r="P95" s="104" t="s">
        <v>1188</v>
      </c>
      <c r="Q95" s="104" t="s">
        <v>1176</v>
      </c>
      <c r="R95" s="104" t="s">
        <v>1176</v>
      </c>
      <c r="S95" s="104" t="s">
        <v>1176</v>
      </c>
      <c r="T95" s="104" t="s">
        <v>1176</v>
      </c>
      <c r="U95" s="104" t="s">
        <v>1180</v>
      </c>
      <c r="V95" s="104" t="s">
        <v>1544</v>
      </c>
      <c r="W95" s="104" t="s">
        <v>1176</v>
      </c>
      <c r="X95" s="104" t="s">
        <v>1940</v>
      </c>
      <c r="Y95" s="104" t="s">
        <v>1244</v>
      </c>
      <c r="Z95" s="104" t="s">
        <v>1941</v>
      </c>
      <c r="AA95" s="104" t="s">
        <v>1176</v>
      </c>
      <c r="AB95" s="104" t="s">
        <v>1176</v>
      </c>
      <c r="AC95" s="104" t="s">
        <v>1176</v>
      </c>
      <c r="AD95" s="104" t="s">
        <v>1176</v>
      </c>
      <c r="AE95" s="104" t="s">
        <v>1176</v>
      </c>
      <c r="AF95" s="104" t="s">
        <v>1176</v>
      </c>
      <c r="AG95" s="104" t="s">
        <v>1176</v>
      </c>
      <c r="AH95" s="104" t="s">
        <v>1176</v>
      </c>
      <c r="AI95" s="104" t="s">
        <v>1187</v>
      </c>
      <c r="AJ95" s="104" t="s">
        <v>1299</v>
      </c>
      <c r="AK95" s="104" t="s">
        <v>1697</v>
      </c>
      <c r="AL95" s="104" t="s">
        <v>1942</v>
      </c>
      <c r="AM95" s="104" t="s">
        <v>1176</v>
      </c>
      <c r="AN95" s="104" t="s">
        <v>1176</v>
      </c>
      <c r="AO95" s="104" t="s">
        <v>1176</v>
      </c>
      <c r="AP95" s="104" t="s">
        <v>1176</v>
      </c>
      <c r="AQ95" s="104" t="s">
        <v>1176</v>
      </c>
      <c r="AR95" s="104" t="s">
        <v>1176</v>
      </c>
      <c r="AS95" s="104" t="s">
        <v>1176</v>
      </c>
      <c r="AT95" s="104" t="s">
        <v>1176</v>
      </c>
      <c r="AU95" s="104" t="s">
        <v>1176</v>
      </c>
      <c r="AV95" s="104" t="s">
        <v>1176</v>
      </c>
      <c r="AW95" s="104" t="s">
        <v>1176</v>
      </c>
      <c r="AX95" s="104" t="s">
        <v>1176</v>
      </c>
      <c r="AY95" s="104" t="s">
        <v>1176</v>
      </c>
      <c r="AZ95" s="104" t="s">
        <v>1176</v>
      </c>
      <c r="BA95" s="104" t="s">
        <v>1176</v>
      </c>
      <c r="BB95" s="104" t="s">
        <v>1176</v>
      </c>
      <c r="BC95" s="104" t="s">
        <v>1176</v>
      </c>
      <c r="BD95" s="104" t="s">
        <v>1176</v>
      </c>
      <c r="BE95" s="104" t="s">
        <v>1176</v>
      </c>
      <c r="BF95" s="104" t="s">
        <v>1176</v>
      </c>
      <c r="BG95" s="104" t="s">
        <v>1863</v>
      </c>
      <c r="BH95" s="104" t="s">
        <v>1863</v>
      </c>
      <c r="BI95" s="104" t="s">
        <v>1943</v>
      </c>
      <c r="BJ95" s="104" t="s">
        <v>1176</v>
      </c>
      <c r="BK95" s="104" t="s">
        <v>1176</v>
      </c>
      <c r="BL95" s="104" t="s">
        <v>1176</v>
      </c>
      <c r="BM95" s="104" t="s">
        <v>1176</v>
      </c>
      <c r="BN95" s="104" t="s">
        <v>1176</v>
      </c>
      <c r="BO95" s="104" t="s">
        <v>1176</v>
      </c>
      <c r="BP95" s="104" t="s">
        <v>1176</v>
      </c>
      <c r="BQ95" s="104" t="s">
        <v>1176</v>
      </c>
      <c r="BR95" s="104" t="s">
        <v>1176</v>
      </c>
      <c r="BS95" s="104" t="s">
        <v>1176</v>
      </c>
      <c r="BT95" s="104" t="s">
        <v>1863</v>
      </c>
      <c r="BU95" s="104" t="s">
        <v>1943</v>
      </c>
      <c r="BV95" s="104" t="s">
        <v>1176</v>
      </c>
      <c r="BW95" s="104" t="s">
        <v>1176</v>
      </c>
      <c r="BX95" s="104" t="s">
        <v>1176</v>
      </c>
      <c r="BY95" s="104" t="s">
        <v>1176</v>
      </c>
      <c r="BZ95" s="104" t="s">
        <v>1176</v>
      </c>
      <c r="CA95" s="104" t="s">
        <v>1176</v>
      </c>
      <c r="CB95" s="104" t="s">
        <v>1176</v>
      </c>
      <c r="CC95" s="104" t="s">
        <v>1176</v>
      </c>
      <c r="CD95" s="104" t="s">
        <v>1176</v>
      </c>
      <c r="CE95" s="104" t="s">
        <v>1176</v>
      </c>
      <c r="CF95" s="104" t="s">
        <v>1176</v>
      </c>
      <c r="CG95" s="104" t="s">
        <v>1176</v>
      </c>
      <c r="CH95" s="104" t="s">
        <v>1176</v>
      </c>
      <c r="CI95" s="104" t="s">
        <v>1176</v>
      </c>
      <c r="CJ95" s="104" t="s">
        <v>1176</v>
      </c>
      <c r="CK95" s="104" t="s">
        <v>1176</v>
      </c>
      <c r="CL95" s="104" t="s">
        <v>1176</v>
      </c>
      <c r="CM95" s="104" t="s">
        <v>1176</v>
      </c>
      <c r="CN95" s="104" t="s">
        <v>1176</v>
      </c>
      <c r="CO95" s="104" t="s">
        <v>1176</v>
      </c>
    </row>
    <row r="96" s="102" customFormat="1" ht="15" spans="1:93">
      <c r="A96" s="104" t="s">
        <v>1851</v>
      </c>
      <c r="B96" s="104" t="s">
        <v>1146</v>
      </c>
      <c r="C96" s="104" t="s">
        <v>1147</v>
      </c>
      <c r="D96" s="104" t="s">
        <v>1944</v>
      </c>
      <c r="E96" s="104" t="s">
        <v>1945</v>
      </c>
      <c r="F96" s="104">
        <f t="shared" si="1"/>
        <v>3299</v>
      </c>
      <c r="G96" s="104" t="s">
        <v>1946</v>
      </c>
      <c r="H96" s="104" t="s">
        <v>1176</v>
      </c>
      <c r="I96" s="104" t="s">
        <v>1176</v>
      </c>
      <c r="J96" s="104" t="s">
        <v>1176</v>
      </c>
      <c r="K96" s="104" t="s">
        <v>1176</v>
      </c>
      <c r="L96" s="104" t="s">
        <v>1336</v>
      </c>
      <c r="M96" s="104" t="s">
        <v>1947</v>
      </c>
      <c r="N96" s="104" t="s">
        <v>1180</v>
      </c>
      <c r="O96" s="104" t="s">
        <v>1176</v>
      </c>
      <c r="P96" s="104" t="s">
        <v>1172</v>
      </c>
      <c r="Q96" s="104" t="s">
        <v>1176</v>
      </c>
      <c r="R96" s="104" t="s">
        <v>1176</v>
      </c>
      <c r="S96" s="104" t="s">
        <v>1176</v>
      </c>
      <c r="T96" s="104" t="s">
        <v>1176</v>
      </c>
      <c r="U96" s="104" t="s">
        <v>1179</v>
      </c>
      <c r="V96" s="104" t="s">
        <v>1948</v>
      </c>
      <c r="W96" s="104" t="s">
        <v>1176</v>
      </c>
      <c r="X96" s="104" t="s">
        <v>1949</v>
      </c>
      <c r="Y96" s="104" t="s">
        <v>1311</v>
      </c>
      <c r="Z96" s="104" t="s">
        <v>1950</v>
      </c>
      <c r="AA96" s="104" t="s">
        <v>1176</v>
      </c>
      <c r="AB96" s="104" t="s">
        <v>1176</v>
      </c>
      <c r="AC96" s="104" t="s">
        <v>1176</v>
      </c>
      <c r="AD96" s="104" t="s">
        <v>1176</v>
      </c>
      <c r="AE96" s="104" t="s">
        <v>1176</v>
      </c>
      <c r="AF96" s="104" t="s">
        <v>1176</v>
      </c>
      <c r="AG96" s="104" t="s">
        <v>1176</v>
      </c>
      <c r="AH96" s="104" t="s">
        <v>1176</v>
      </c>
      <c r="AI96" s="104" t="s">
        <v>1196</v>
      </c>
      <c r="AJ96" s="104" t="s">
        <v>1951</v>
      </c>
      <c r="AK96" s="104" t="s">
        <v>1629</v>
      </c>
      <c r="AL96" s="104" t="s">
        <v>1952</v>
      </c>
      <c r="AM96" s="104" t="s">
        <v>1176</v>
      </c>
      <c r="AN96" s="104" t="s">
        <v>1176</v>
      </c>
      <c r="AO96" s="104" t="s">
        <v>1176</v>
      </c>
      <c r="AP96" s="104" t="s">
        <v>1176</v>
      </c>
      <c r="AQ96" s="104" t="s">
        <v>1176</v>
      </c>
      <c r="AR96" s="104" t="s">
        <v>1176</v>
      </c>
      <c r="AS96" s="104" t="s">
        <v>1176</v>
      </c>
      <c r="AT96" s="104" t="s">
        <v>1176</v>
      </c>
      <c r="AU96" s="104" t="s">
        <v>1176</v>
      </c>
      <c r="AV96" s="104" t="s">
        <v>1176</v>
      </c>
      <c r="AW96" s="104" t="s">
        <v>1176</v>
      </c>
      <c r="AX96" s="104" t="s">
        <v>1176</v>
      </c>
      <c r="AY96" s="104" t="s">
        <v>1176</v>
      </c>
      <c r="AZ96" s="104" t="s">
        <v>1176</v>
      </c>
      <c r="BA96" s="104" t="s">
        <v>1176</v>
      </c>
      <c r="BB96" s="104" t="s">
        <v>1176</v>
      </c>
      <c r="BC96" s="104" t="s">
        <v>1176</v>
      </c>
      <c r="BD96" s="104" t="s">
        <v>1176</v>
      </c>
      <c r="BE96" s="104" t="s">
        <v>1176</v>
      </c>
      <c r="BF96" s="104" t="s">
        <v>1176</v>
      </c>
      <c r="BG96" s="104" t="s">
        <v>1230</v>
      </c>
      <c r="BH96" s="104" t="s">
        <v>1230</v>
      </c>
      <c r="BI96" s="104" t="s">
        <v>1953</v>
      </c>
      <c r="BJ96" s="104" t="s">
        <v>1176</v>
      </c>
      <c r="BK96" s="104" t="s">
        <v>1176</v>
      </c>
      <c r="BL96" s="104" t="s">
        <v>1176</v>
      </c>
      <c r="BM96" s="104" t="s">
        <v>1176</v>
      </c>
      <c r="BN96" s="104" t="s">
        <v>1176</v>
      </c>
      <c r="BO96" s="104" t="s">
        <v>1176</v>
      </c>
      <c r="BP96" s="104" t="s">
        <v>1176</v>
      </c>
      <c r="BQ96" s="104" t="s">
        <v>1176</v>
      </c>
      <c r="BR96" s="104" t="s">
        <v>1176</v>
      </c>
      <c r="BS96" s="104" t="s">
        <v>1176</v>
      </c>
      <c r="BT96" s="104" t="s">
        <v>1230</v>
      </c>
      <c r="BU96" s="104" t="s">
        <v>1953</v>
      </c>
      <c r="BV96" s="104" t="s">
        <v>1176</v>
      </c>
      <c r="BW96" s="104" t="s">
        <v>1176</v>
      </c>
      <c r="BX96" s="104" t="s">
        <v>1176</v>
      </c>
      <c r="BY96" s="104" t="s">
        <v>1176</v>
      </c>
      <c r="BZ96" s="104" t="s">
        <v>1176</v>
      </c>
      <c r="CA96" s="104" t="s">
        <v>1176</v>
      </c>
      <c r="CB96" s="104" t="s">
        <v>1176</v>
      </c>
      <c r="CC96" s="104" t="s">
        <v>1176</v>
      </c>
      <c r="CD96" s="104" t="s">
        <v>1176</v>
      </c>
      <c r="CE96" s="104" t="s">
        <v>1176</v>
      </c>
      <c r="CF96" s="104" t="s">
        <v>1176</v>
      </c>
      <c r="CG96" s="104" t="s">
        <v>1176</v>
      </c>
      <c r="CH96" s="104" t="s">
        <v>1176</v>
      </c>
      <c r="CI96" s="104" t="s">
        <v>1176</v>
      </c>
      <c r="CJ96" s="104" t="s">
        <v>1176</v>
      </c>
      <c r="CK96" s="104" t="s">
        <v>1176</v>
      </c>
      <c r="CL96" s="104" t="s">
        <v>1176</v>
      </c>
      <c r="CM96" s="104" t="s">
        <v>1176</v>
      </c>
      <c r="CN96" s="104" t="s">
        <v>1176</v>
      </c>
      <c r="CO96" s="104" t="s">
        <v>1176</v>
      </c>
    </row>
    <row r="97" s="102" customFormat="1" ht="15" spans="1:93">
      <c r="A97" s="104" t="s">
        <v>1241</v>
      </c>
      <c r="B97" s="104" t="s">
        <v>1146</v>
      </c>
      <c r="C97" s="104" t="s">
        <v>1147</v>
      </c>
      <c r="D97" s="104" t="s">
        <v>1954</v>
      </c>
      <c r="E97" s="104" t="s">
        <v>1955</v>
      </c>
      <c r="F97" s="104">
        <f t="shared" si="1"/>
        <v>2580</v>
      </c>
      <c r="G97" s="104" t="s">
        <v>1956</v>
      </c>
      <c r="H97" s="104" t="s">
        <v>1176</v>
      </c>
      <c r="I97" s="104" t="s">
        <v>1176</v>
      </c>
      <c r="J97" s="104" t="s">
        <v>1176</v>
      </c>
      <c r="K97" s="104" t="s">
        <v>1176</v>
      </c>
      <c r="L97" s="104" t="s">
        <v>1601</v>
      </c>
      <c r="M97" s="104" t="s">
        <v>1957</v>
      </c>
      <c r="N97" s="104" t="s">
        <v>1172</v>
      </c>
      <c r="O97" s="104" t="s">
        <v>1176</v>
      </c>
      <c r="P97" s="104" t="s">
        <v>1176</v>
      </c>
      <c r="Q97" s="104" t="s">
        <v>1176</v>
      </c>
      <c r="R97" s="104" t="s">
        <v>1176</v>
      </c>
      <c r="S97" s="104" t="s">
        <v>1176</v>
      </c>
      <c r="T97" s="104" t="s">
        <v>1176</v>
      </c>
      <c r="U97" s="104" t="s">
        <v>1176</v>
      </c>
      <c r="V97" s="104" t="s">
        <v>1958</v>
      </c>
      <c r="W97" s="104" t="s">
        <v>1176</v>
      </c>
      <c r="X97" s="104" t="s">
        <v>1959</v>
      </c>
      <c r="Y97" s="104" t="s">
        <v>1309</v>
      </c>
      <c r="Z97" s="104" t="s">
        <v>1960</v>
      </c>
      <c r="AA97" s="104" t="s">
        <v>1176</v>
      </c>
      <c r="AB97" s="104" t="s">
        <v>1176</v>
      </c>
      <c r="AC97" s="104" t="s">
        <v>1176</v>
      </c>
      <c r="AD97" s="104" t="s">
        <v>1176</v>
      </c>
      <c r="AE97" s="104" t="s">
        <v>1176</v>
      </c>
      <c r="AF97" s="104" t="s">
        <v>1176</v>
      </c>
      <c r="AG97" s="104" t="s">
        <v>1176</v>
      </c>
      <c r="AH97" s="104" t="s">
        <v>1176</v>
      </c>
      <c r="AI97" s="104" t="s">
        <v>1326</v>
      </c>
      <c r="AJ97" s="104" t="s">
        <v>1961</v>
      </c>
      <c r="AK97" s="104" t="s">
        <v>1706</v>
      </c>
      <c r="AL97" s="104" t="s">
        <v>1962</v>
      </c>
      <c r="AM97" s="104" t="s">
        <v>1176</v>
      </c>
      <c r="AN97" s="104" t="s">
        <v>1176</v>
      </c>
      <c r="AO97" s="104" t="s">
        <v>1176</v>
      </c>
      <c r="AP97" s="104" t="s">
        <v>1176</v>
      </c>
      <c r="AQ97" s="104" t="s">
        <v>1176</v>
      </c>
      <c r="AR97" s="104" t="s">
        <v>1176</v>
      </c>
      <c r="AS97" s="104" t="s">
        <v>1176</v>
      </c>
      <c r="AT97" s="104" t="s">
        <v>1176</v>
      </c>
      <c r="AU97" s="104" t="s">
        <v>1176</v>
      </c>
      <c r="AV97" s="104" t="s">
        <v>1176</v>
      </c>
      <c r="AW97" s="104" t="s">
        <v>1176</v>
      </c>
      <c r="AX97" s="104" t="s">
        <v>1176</v>
      </c>
      <c r="AY97" s="104" t="s">
        <v>1176</v>
      </c>
      <c r="AZ97" s="104" t="s">
        <v>1176</v>
      </c>
      <c r="BA97" s="104" t="s">
        <v>1176</v>
      </c>
      <c r="BB97" s="104" t="s">
        <v>1176</v>
      </c>
      <c r="BC97" s="104" t="s">
        <v>1176</v>
      </c>
      <c r="BD97" s="104" t="s">
        <v>1176</v>
      </c>
      <c r="BE97" s="104" t="s">
        <v>1176</v>
      </c>
      <c r="BF97" s="104" t="s">
        <v>1176</v>
      </c>
      <c r="BG97" s="104" t="s">
        <v>1176</v>
      </c>
      <c r="BH97" s="104" t="s">
        <v>1176</v>
      </c>
      <c r="BI97" s="104" t="s">
        <v>1176</v>
      </c>
      <c r="BJ97" s="104" t="s">
        <v>1176</v>
      </c>
      <c r="BK97" s="104" t="s">
        <v>1176</v>
      </c>
      <c r="BL97" s="104" t="s">
        <v>1176</v>
      </c>
      <c r="BM97" s="104" t="s">
        <v>1176</v>
      </c>
      <c r="BN97" s="104" t="s">
        <v>1176</v>
      </c>
      <c r="BO97" s="104" t="s">
        <v>1176</v>
      </c>
      <c r="BP97" s="104" t="s">
        <v>1176</v>
      </c>
      <c r="BQ97" s="104" t="s">
        <v>1176</v>
      </c>
      <c r="BR97" s="104" t="s">
        <v>1176</v>
      </c>
      <c r="BS97" s="104" t="s">
        <v>1176</v>
      </c>
      <c r="BT97" s="104" t="s">
        <v>1176</v>
      </c>
      <c r="BU97" s="104" t="s">
        <v>1176</v>
      </c>
      <c r="BV97" s="104" t="s">
        <v>1176</v>
      </c>
      <c r="BW97" s="104" t="s">
        <v>1176</v>
      </c>
      <c r="BX97" s="104" t="s">
        <v>1176</v>
      </c>
      <c r="BY97" s="104" t="s">
        <v>1176</v>
      </c>
      <c r="BZ97" s="104" t="s">
        <v>1176</v>
      </c>
      <c r="CA97" s="104" t="s">
        <v>1176</v>
      </c>
      <c r="CB97" s="104" t="s">
        <v>1176</v>
      </c>
      <c r="CC97" s="104" t="s">
        <v>1176</v>
      </c>
      <c r="CD97" s="104" t="s">
        <v>1176</v>
      </c>
      <c r="CE97" s="104" t="s">
        <v>1176</v>
      </c>
      <c r="CF97" s="104" t="s">
        <v>1176</v>
      </c>
      <c r="CG97" s="104" t="s">
        <v>1176</v>
      </c>
      <c r="CH97" s="104" t="s">
        <v>1176</v>
      </c>
      <c r="CI97" s="104" t="s">
        <v>1176</v>
      </c>
      <c r="CJ97" s="104" t="s">
        <v>1176</v>
      </c>
      <c r="CK97" s="104" t="s">
        <v>1176</v>
      </c>
      <c r="CL97" s="104" t="s">
        <v>1176</v>
      </c>
      <c r="CM97" s="104" t="s">
        <v>1176</v>
      </c>
      <c r="CN97" s="104" t="s">
        <v>1176</v>
      </c>
      <c r="CO97" s="104" t="s">
        <v>1176</v>
      </c>
    </row>
    <row r="98" s="102" customFormat="1" ht="15" spans="1:93">
      <c r="A98" s="104" t="s">
        <v>1860</v>
      </c>
      <c r="B98" s="104" t="s">
        <v>1146</v>
      </c>
      <c r="C98" s="104" t="s">
        <v>1147</v>
      </c>
      <c r="D98" s="104" t="s">
        <v>1963</v>
      </c>
      <c r="E98" s="104" t="s">
        <v>1964</v>
      </c>
      <c r="F98" s="104">
        <f t="shared" si="1"/>
        <v>3058</v>
      </c>
      <c r="G98" s="104" t="s">
        <v>1659</v>
      </c>
      <c r="H98" s="104" t="s">
        <v>1176</v>
      </c>
      <c r="I98" s="104" t="s">
        <v>1176</v>
      </c>
      <c r="J98" s="104" t="s">
        <v>1176</v>
      </c>
      <c r="K98" s="104" t="s">
        <v>1176</v>
      </c>
      <c r="L98" s="104" t="s">
        <v>1901</v>
      </c>
      <c r="M98" s="104" t="s">
        <v>1965</v>
      </c>
      <c r="N98" s="104" t="s">
        <v>1176</v>
      </c>
      <c r="O98" s="104" t="s">
        <v>1176</v>
      </c>
      <c r="P98" s="104" t="s">
        <v>1176</v>
      </c>
      <c r="Q98" s="104" t="s">
        <v>1176</v>
      </c>
      <c r="R98" s="104" t="s">
        <v>1176</v>
      </c>
      <c r="S98" s="104" t="s">
        <v>1176</v>
      </c>
      <c r="T98" s="104" t="s">
        <v>1176</v>
      </c>
      <c r="U98" s="104" t="s">
        <v>1187</v>
      </c>
      <c r="V98" s="104" t="s">
        <v>1966</v>
      </c>
      <c r="W98" s="104" t="s">
        <v>1176</v>
      </c>
      <c r="X98" s="104" t="s">
        <v>1395</v>
      </c>
      <c r="Y98" s="104" t="s">
        <v>1249</v>
      </c>
      <c r="Z98" s="104" t="s">
        <v>1967</v>
      </c>
      <c r="AA98" s="104" t="s">
        <v>1176</v>
      </c>
      <c r="AB98" s="104" t="s">
        <v>1176</v>
      </c>
      <c r="AC98" s="104" t="s">
        <v>1176</v>
      </c>
      <c r="AD98" s="104" t="s">
        <v>1176</v>
      </c>
      <c r="AE98" s="104" t="s">
        <v>1176</v>
      </c>
      <c r="AF98" s="104" t="s">
        <v>1176</v>
      </c>
      <c r="AG98" s="104" t="s">
        <v>1176</v>
      </c>
      <c r="AH98" s="104" t="s">
        <v>1176</v>
      </c>
      <c r="AI98" s="104" t="s">
        <v>1212</v>
      </c>
      <c r="AJ98" s="104" t="s">
        <v>1851</v>
      </c>
      <c r="AK98" s="104" t="s">
        <v>1685</v>
      </c>
      <c r="AL98" s="104" t="s">
        <v>1968</v>
      </c>
      <c r="AM98" s="104" t="s">
        <v>1176</v>
      </c>
      <c r="AN98" s="104" t="s">
        <v>1176</v>
      </c>
      <c r="AO98" s="104" t="s">
        <v>1176</v>
      </c>
      <c r="AP98" s="104" t="s">
        <v>1176</v>
      </c>
      <c r="AQ98" s="104" t="s">
        <v>1176</v>
      </c>
      <c r="AR98" s="104" t="s">
        <v>1176</v>
      </c>
      <c r="AS98" s="104" t="s">
        <v>1176</v>
      </c>
      <c r="AT98" s="104" t="s">
        <v>1176</v>
      </c>
      <c r="AU98" s="104" t="s">
        <v>1176</v>
      </c>
      <c r="AV98" s="104" t="s">
        <v>1176</v>
      </c>
      <c r="AW98" s="104" t="s">
        <v>1176</v>
      </c>
      <c r="AX98" s="104" t="s">
        <v>1176</v>
      </c>
      <c r="AY98" s="104" t="s">
        <v>1176</v>
      </c>
      <c r="AZ98" s="104" t="s">
        <v>1176</v>
      </c>
      <c r="BA98" s="104" t="s">
        <v>1176</v>
      </c>
      <c r="BB98" s="104" t="s">
        <v>1176</v>
      </c>
      <c r="BC98" s="104" t="s">
        <v>1176</v>
      </c>
      <c r="BD98" s="104" t="s">
        <v>1176</v>
      </c>
      <c r="BE98" s="104" t="s">
        <v>1176</v>
      </c>
      <c r="BF98" s="104" t="s">
        <v>1176</v>
      </c>
      <c r="BG98" s="104" t="s">
        <v>1176</v>
      </c>
      <c r="BH98" s="104" t="s">
        <v>1176</v>
      </c>
      <c r="BI98" s="104" t="s">
        <v>1176</v>
      </c>
      <c r="BJ98" s="104" t="s">
        <v>1176</v>
      </c>
      <c r="BK98" s="104" t="s">
        <v>1176</v>
      </c>
      <c r="BL98" s="104" t="s">
        <v>1176</v>
      </c>
      <c r="BM98" s="104" t="s">
        <v>1176</v>
      </c>
      <c r="BN98" s="104" t="s">
        <v>1176</v>
      </c>
      <c r="BO98" s="104" t="s">
        <v>1176</v>
      </c>
      <c r="BP98" s="104" t="s">
        <v>1176</v>
      </c>
      <c r="BQ98" s="104" t="s">
        <v>1176</v>
      </c>
      <c r="BR98" s="104" t="s">
        <v>1176</v>
      </c>
      <c r="BS98" s="104" t="s">
        <v>1176</v>
      </c>
      <c r="BT98" s="104" t="s">
        <v>1176</v>
      </c>
      <c r="BU98" s="104" t="s">
        <v>1176</v>
      </c>
      <c r="BV98" s="104" t="s">
        <v>1176</v>
      </c>
      <c r="BW98" s="104" t="s">
        <v>1176</v>
      </c>
      <c r="BX98" s="104" t="s">
        <v>1176</v>
      </c>
      <c r="BY98" s="104" t="s">
        <v>1176</v>
      </c>
      <c r="BZ98" s="104" t="s">
        <v>1176</v>
      </c>
      <c r="CA98" s="104" t="s">
        <v>1176</v>
      </c>
      <c r="CB98" s="104" t="s">
        <v>1176</v>
      </c>
      <c r="CC98" s="104" t="s">
        <v>1176</v>
      </c>
      <c r="CD98" s="104" t="s">
        <v>1176</v>
      </c>
      <c r="CE98" s="104" t="s">
        <v>1176</v>
      </c>
      <c r="CF98" s="104" t="s">
        <v>1176</v>
      </c>
      <c r="CG98" s="104" t="s">
        <v>1176</v>
      </c>
      <c r="CH98" s="104" t="s">
        <v>1176</v>
      </c>
      <c r="CI98" s="104" t="s">
        <v>1176</v>
      </c>
      <c r="CJ98" s="104" t="s">
        <v>1176</v>
      </c>
      <c r="CK98" s="104" t="s">
        <v>1176</v>
      </c>
      <c r="CL98" s="104" t="s">
        <v>1176</v>
      </c>
      <c r="CM98" s="104" t="s">
        <v>1176</v>
      </c>
      <c r="CN98" s="104" t="s">
        <v>1176</v>
      </c>
      <c r="CO98" s="104" t="s">
        <v>1176</v>
      </c>
    </row>
    <row r="99" s="102" customFormat="1" ht="15" spans="1:93">
      <c r="A99" s="104" t="s">
        <v>1839</v>
      </c>
      <c r="B99" s="104" t="s">
        <v>1146</v>
      </c>
      <c r="C99" s="104" t="s">
        <v>1147</v>
      </c>
      <c r="D99" s="104" t="s">
        <v>1969</v>
      </c>
      <c r="E99" s="104" t="s">
        <v>1970</v>
      </c>
      <c r="F99" s="104">
        <f t="shared" si="1"/>
        <v>6711</v>
      </c>
      <c r="G99" s="104" t="s">
        <v>1971</v>
      </c>
      <c r="H99" s="104" t="s">
        <v>1176</v>
      </c>
      <c r="I99" s="104" t="s">
        <v>1176</v>
      </c>
      <c r="J99" s="104" t="s">
        <v>1176</v>
      </c>
      <c r="K99" s="104" t="s">
        <v>1176</v>
      </c>
      <c r="L99" s="104" t="s">
        <v>1708</v>
      </c>
      <c r="M99" s="104" t="s">
        <v>1972</v>
      </c>
      <c r="N99" s="104" t="s">
        <v>1412</v>
      </c>
      <c r="O99" s="104" t="s">
        <v>1176</v>
      </c>
      <c r="P99" s="104" t="s">
        <v>1176</v>
      </c>
      <c r="Q99" s="104" t="s">
        <v>1176</v>
      </c>
      <c r="R99" s="104" t="s">
        <v>1176</v>
      </c>
      <c r="S99" s="104" t="s">
        <v>1176</v>
      </c>
      <c r="T99" s="104" t="s">
        <v>1176</v>
      </c>
      <c r="U99" s="104" t="s">
        <v>1232</v>
      </c>
      <c r="V99" s="104" t="s">
        <v>1973</v>
      </c>
      <c r="W99" s="104" t="s">
        <v>1176</v>
      </c>
      <c r="X99" s="104" t="s">
        <v>1974</v>
      </c>
      <c r="Y99" s="104" t="s">
        <v>1975</v>
      </c>
      <c r="Z99" s="104" t="s">
        <v>1976</v>
      </c>
      <c r="AA99" s="104" t="s">
        <v>1176</v>
      </c>
      <c r="AB99" s="104" t="s">
        <v>1176</v>
      </c>
      <c r="AC99" s="104" t="s">
        <v>1176</v>
      </c>
      <c r="AD99" s="104" t="s">
        <v>1176</v>
      </c>
      <c r="AE99" s="104" t="s">
        <v>1176</v>
      </c>
      <c r="AF99" s="104" t="s">
        <v>1176</v>
      </c>
      <c r="AG99" s="104" t="s">
        <v>1176</v>
      </c>
      <c r="AH99" s="104" t="s">
        <v>1176</v>
      </c>
      <c r="AI99" s="104" t="s">
        <v>1442</v>
      </c>
      <c r="AJ99" s="104" t="s">
        <v>1408</v>
      </c>
      <c r="AK99" s="104" t="s">
        <v>1846</v>
      </c>
      <c r="AL99" s="104" t="s">
        <v>1977</v>
      </c>
      <c r="AM99" s="104" t="s">
        <v>1176</v>
      </c>
      <c r="AN99" s="104" t="s">
        <v>1201</v>
      </c>
      <c r="AO99" s="104" t="s">
        <v>1176</v>
      </c>
      <c r="AP99" s="104" t="s">
        <v>1176</v>
      </c>
      <c r="AQ99" s="104" t="s">
        <v>1176</v>
      </c>
      <c r="AR99" s="104" t="s">
        <v>1176</v>
      </c>
      <c r="AS99" s="104" t="s">
        <v>1176</v>
      </c>
      <c r="AT99" s="104" t="s">
        <v>1176</v>
      </c>
      <c r="AU99" s="104" t="s">
        <v>1187</v>
      </c>
      <c r="AV99" s="104" t="s">
        <v>1187</v>
      </c>
      <c r="AW99" s="104" t="s">
        <v>1176</v>
      </c>
      <c r="AX99" s="104" t="s">
        <v>1176</v>
      </c>
      <c r="AY99" s="104" t="s">
        <v>1176</v>
      </c>
      <c r="AZ99" s="104" t="s">
        <v>1176</v>
      </c>
      <c r="BA99" s="104" t="s">
        <v>1176</v>
      </c>
      <c r="BB99" s="104" t="s">
        <v>1176</v>
      </c>
      <c r="BC99" s="104" t="s">
        <v>1176</v>
      </c>
      <c r="BD99" s="104" t="s">
        <v>1176</v>
      </c>
      <c r="BE99" s="104" t="s">
        <v>1176</v>
      </c>
      <c r="BF99" s="104" t="s">
        <v>1176</v>
      </c>
      <c r="BG99" s="104" t="s">
        <v>1187</v>
      </c>
      <c r="BH99" s="104" t="s">
        <v>1187</v>
      </c>
      <c r="BI99" s="104" t="s">
        <v>1187</v>
      </c>
      <c r="BJ99" s="104" t="s">
        <v>1176</v>
      </c>
      <c r="BK99" s="104" t="s">
        <v>1176</v>
      </c>
      <c r="BL99" s="104" t="s">
        <v>1176</v>
      </c>
      <c r="BM99" s="104" t="s">
        <v>1176</v>
      </c>
      <c r="BN99" s="104" t="s">
        <v>1176</v>
      </c>
      <c r="BO99" s="104" t="s">
        <v>1176</v>
      </c>
      <c r="BP99" s="104" t="s">
        <v>1176</v>
      </c>
      <c r="BQ99" s="104" t="s">
        <v>1176</v>
      </c>
      <c r="BR99" s="104" t="s">
        <v>1176</v>
      </c>
      <c r="BS99" s="104" t="s">
        <v>1176</v>
      </c>
      <c r="BT99" s="104" t="s">
        <v>1172</v>
      </c>
      <c r="BU99" s="104" t="s">
        <v>1172</v>
      </c>
      <c r="BV99" s="104" t="s">
        <v>1176</v>
      </c>
      <c r="BW99" s="104" t="s">
        <v>1176</v>
      </c>
      <c r="BX99" s="104" t="s">
        <v>1176</v>
      </c>
      <c r="BY99" s="104" t="s">
        <v>1176</v>
      </c>
      <c r="BZ99" s="104" t="s">
        <v>1176</v>
      </c>
      <c r="CA99" s="104" t="s">
        <v>1176</v>
      </c>
      <c r="CB99" s="104" t="s">
        <v>1176</v>
      </c>
      <c r="CC99" s="104" t="s">
        <v>1176</v>
      </c>
      <c r="CD99" s="104" t="s">
        <v>1172</v>
      </c>
      <c r="CE99" s="104" t="s">
        <v>1172</v>
      </c>
      <c r="CF99" s="104" t="s">
        <v>1176</v>
      </c>
      <c r="CG99" s="104" t="s">
        <v>1176</v>
      </c>
      <c r="CH99" s="104" t="s">
        <v>1176</v>
      </c>
      <c r="CI99" s="104" t="s">
        <v>1176</v>
      </c>
      <c r="CJ99" s="104" t="s">
        <v>1176</v>
      </c>
      <c r="CK99" s="104" t="s">
        <v>1176</v>
      </c>
      <c r="CL99" s="104" t="s">
        <v>1176</v>
      </c>
      <c r="CM99" s="104" t="s">
        <v>1176</v>
      </c>
      <c r="CN99" s="104" t="s">
        <v>1176</v>
      </c>
      <c r="CO99" s="104" t="s">
        <v>1176</v>
      </c>
    </row>
    <row r="100" s="102" customFormat="1" ht="15" spans="1:93">
      <c r="A100" s="104" t="s">
        <v>1496</v>
      </c>
      <c r="B100" s="104" t="s">
        <v>1146</v>
      </c>
      <c r="C100" s="104" t="s">
        <v>1147</v>
      </c>
      <c r="D100" s="104" t="s">
        <v>1978</v>
      </c>
      <c r="E100" s="104" t="s">
        <v>1979</v>
      </c>
      <c r="F100" s="104">
        <f t="shared" si="1"/>
        <v>5183</v>
      </c>
      <c r="G100" s="104" t="s">
        <v>1980</v>
      </c>
      <c r="H100" s="104" t="s">
        <v>1176</v>
      </c>
      <c r="I100" s="104" t="s">
        <v>1176</v>
      </c>
      <c r="J100" s="104" t="s">
        <v>1176</v>
      </c>
      <c r="K100" s="104" t="s">
        <v>1176</v>
      </c>
      <c r="L100" s="104" t="s">
        <v>1184</v>
      </c>
      <c r="M100" s="104" t="s">
        <v>1981</v>
      </c>
      <c r="N100" s="104" t="s">
        <v>1196</v>
      </c>
      <c r="O100" s="104" t="s">
        <v>1176</v>
      </c>
      <c r="P100" s="104" t="s">
        <v>1176</v>
      </c>
      <c r="Q100" s="104" t="s">
        <v>1176</v>
      </c>
      <c r="R100" s="104" t="s">
        <v>1176</v>
      </c>
      <c r="S100" s="104" t="s">
        <v>1176</v>
      </c>
      <c r="T100" s="104" t="s">
        <v>1176</v>
      </c>
      <c r="U100" s="104" t="s">
        <v>1211</v>
      </c>
      <c r="V100" s="104" t="s">
        <v>1982</v>
      </c>
      <c r="W100" s="104" t="s">
        <v>1176</v>
      </c>
      <c r="X100" s="104" t="s">
        <v>1983</v>
      </c>
      <c r="Y100" s="104" t="s">
        <v>1984</v>
      </c>
      <c r="Z100" s="104" t="s">
        <v>1985</v>
      </c>
      <c r="AA100" s="104" t="s">
        <v>1176</v>
      </c>
      <c r="AB100" s="104" t="s">
        <v>1176</v>
      </c>
      <c r="AC100" s="104" t="s">
        <v>1176</v>
      </c>
      <c r="AD100" s="104" t="s">
        <v>1176</v>
      </c>
      <c r="AE100" s="104" t="s">
        <v>1176</v>
      </c>
      <c r="AF100" s="104" t="s">
        <v>1176</v>
      </c>
      <c r="AG100" s="104" t="s">
        <v>1176</v>
      </c>
      <c r="AH100" s="104" t="s">
        <v>1176</v>
      </c>
      <c r="AI100" s="104" t="s">
        <v>1986</v>
      </c>
      <c r="AJ100" s="104" t="s">
        <v>1987</v>
      </c>
      <c r="AK100" s="104" t="s">
        <v>1988</v>
      </c>
      <c r="AL100" s="104" t="s">
        <v>1989</v>
      </c>
      <c r="AM100" s="104" t="s">
        <v>1176</v>
      </c>
      <c r="AN100" s="104" t="s">
        <v>1179</v>
      </c>
      <c r="AO100" s="104" t="s">
        <v>1176</v>
      </c>
      <c r="AP100" s="104" t="s">
        <v>1176</v>
      </c>
      <c r="AQ100" s="104" t="s">
        <v>1176</v>
      </c>
      <c r="AR100" s="104" t="s">
        <v>1176</v>
      </c>
      <c r="AS100" s="104" t="s">
        <v>1176</v>
      </c>
      <c r="AT100" s="104" t="s">
        <v>1176</v>
      </c>
      <c r="AU100" s="104" t="s">
        <v>1180</v>
      </c>
      <c r="AV100" s="104" t="s">
        <v>1456</v>
      </c>
      <c r="AW100" s="104" t="s">
        <v>1176</v>
      </c>
      <c r="AX100" s="104" t="s">
        <v>1176</v>
      </c>
      <c r="AY100" s="104" t="s">
        <v>1176</v>
      </c>
      <c r="AZ100" s="104" t="s">
        <v>1176</v>
      </c>
      <c r="BA100" s="104" t="s">
        <v>1176</v>
      </c>
      <c r="BB100" s="104" t="s">
        <v>1176</v>
      </c>
      <c r="BC100" s="104" t="s">
        <v>1176</v>
      </c>
      <c r="BD100" s="104" t="s">
        <v>1176</v>
      </c>
      <c r="BE100" s="104" t="s">
        <v>1176</v>
      </c>
      <c r="BF100" s="104" t="s">
        <v>1176</v>
      </c>
      <c r="BG100" s="104" t="s">
        <v>1172</v>
      </c>
      <c r="BH100" s="104" t="s">
        <v>1172</v>
      </c>
      <c r="BI100" s="104" t="s">
        <v>1232</v>
      </c>
      <c r="BJ100" s="104" t="s">
        <v>1176</v>
      </c>
      <c r="BK100" s="104" t="s">
        <v>1176</v>
      </c>
      <c r="BL100" s="104" t="s">
        <v>1176</v>
      </c>
      <c r="BM100" s="104" t="s">
        <v>1176</v>
      </c>
      <c r="BN100" s="104" t="s">
        <v>1176</v>
      </c>
      <c r="BO100" s="104" t="s">
        <v>1176</v>
      </c>
      <c r="BP100" s="104" t="s">
        <v>1176</v>
      </c>
      <c r="BQ100" s="104" t="s">
        <v>1176</v>
      </c>
      <c r="BR100" s="104" t="s">
        <v>1172</v>
      </c>
      <c r="BS100" s="104" t="s">
        <v>1232</v>
      </c>
      <c r="BT100" s="104" t="s">
        <v>1176</v>
      </c>
      <c r="BU100" s="104" t="s">
        <v>1176</v>
      </c>
      <c r="BV100" s="104" t="s">
        <v>1176</v>
      </c>
      <c r="BW100" s="104" t="s">
        <v>1176</v>
      </c>
      <c r="BX100" s="104" t="s">
        <v>1176</v>
      </c>
      <c r="BY100" s="104" t="s">
        <v>1176</v>
      </c>
      <c r="BZ100" s="104" t="s">
        <v>1176</v>
      </c>
      <c r="CA100" s="104" t="s">
        <v>1176</v>
      </c>
      <c r="CB100" s="104" t="s">
        <v>1176</v>
      </c>
      <c r="CC100" s="104" t="s">
        <v>1176</v>
      </c>
      <c r="CD100" s="104" t="s">
        <v>1176</v>
      </c>
      <c r="CE100" s="104" t="s">
        <v>1176</v>
      </c>
      <c r="CF100" s="104" t="s">
        <v>1176</v>
      </c>
      <c r="CG100" s="104" t="s">
        <v>1176</v>
      </c>
      <c r="CH100" s="104" t="s">
        <v>1176</v>
      </c>
      <c r="CI100" s="104" t="s">
        <v>1176</v>
      </c>
      <c r="CJ100" s="104" t="s">
        <v>1176</v>
      </c>
      <c r="CK100" s="104" t="s">
        <v>1176</v>
      </c>
      <c r="CL100" s="104" t="s">
        <v>1176</v>
      </c>
      <c r="CM100" s="104" t="s">
        <v>1176</v>
      </c>
      <c r="CN100" s="104" t="s">
        <v>1176</v>
      </c>
      <c r="CO100" s="104" t="s">
        <v>1176</v>
      </c>
    </row>
    <row r="101" s="102" customFormat="1" ht="15" spans="1:93">
      <c r="A101" s="104" t="s">
        <v>1990</v>
      </c>
      <c r="B101" s="104" t="s">
        <v>1146</v>
      </c>
      <c r="C101" s="104" t="s">
        <v>1147</v>
      </c>
      <c r="D101" s="104" t="s">
        <v>1991</v>
      </c>
      <c r="E101" s="104" t="s">
        <v>1992</v>
      </c>
      <c r="F101" s="104">
        <f t="shared" si="1"/>
        <v>3849</v>
      </c>
      <c r="G101" s="104" t="s">
        <v>1993</v>
      </c>
      <c r="H101" s="104" t="s">
        <v>1176</v>
      </c>
      <c r="I101" s="104" t="s">
        <v>1176</v>
      </c>
      <c r="J101" s="104" t="s">
        <v>1176</v>
      </c>
      <c r="K101" s="104" t="s">
        <v>1176</v>
      </c>
      <c r="L101" s="104" t="s">
        <v>1986</v>
      </c>
      <c r="M101" s="104" t="s">
        <v>1994</v>
      </c>
      <c r="N101" s="104" t="s">
        <v>1326</v>
      </c>
      <c r="O101" s="104" t="s">
        <v>1176</v>
      </c>
      <c r="P101" s="104" t="s">
        <v>1176</v>
      </c>
      <c r="Q101" s="104" t="s">
        <v>1176</v>
      </c>
      <c r="R101" s="104" t="s">
        <v>1176</v>
      </c>
      <c r="S101" s="104" t="s">
        <v>1176</v>
      </c>
      <c r="T101" s="104" t="s">
        <v>1176</v>
      </c>
      <c r="U101" s="104" t="s">
        <v>1212</v>
      </c>
      <c r="V101" s="104" t="s">
        <v>1995</v>
      </c>
      <c r="W101" s="104" t="s">
        <v>1176</v>
      </c>
      <c r="X101" s="104" t="s">
        <v>1996</v>
      </c>
      <c r="Y101" s="104" t="s">
        <v>1997</v>
      </c>
      <c r="Z101" s="104" t="s">
        <v>1998</v>
      </c>
      <c r="AA101" s="104" t="s">
        <v>1176</v>
      </c>
      <c r="AB101" s="104" t="s">
        <v>1176</v>
      </c>
      <c r="AC101" s="104" t="s">
        <v>1176</v>
      </c>
      <c r="AD101" s="104" t="s">
        <v>1176</v>
      </c>
      <c r="AE101" s="104" t="s">
        <v>1176</v>
      </c>
      <c r="AF101" s="104" t="s">
        <v>1176</v>
      </c>
      <c r="AG101" s="104" t="s">
        <v>1176</v>
      </c>
      <c r="AH101" s="104" t="s">
        <v>1176</v>
      </c>
      <c r="AI101" s="104" t="s">
        <v>1243</v>
      </c>
      <c r="AJ101" s="104" t="s">
        <v>1323</v>
      </c>
      <c r="AK101" s="104" t="s">
        <v>1999</v>
      </c>
      <c r="AL101" s="104" t="s">
        <v>2000</v>
      </c>
      <c r="AM101" s="104" t="s">
        <v>1176</v>
      </c>
      <c r="AN101" s="104" t="s">
        <v>1354</v>
      </c>
      <c r="AO101" s="104" t="s">
        <v>1176</v>
      </c>
      <c r="AP101" s="104" t="s">
        <v>1176</v>
      </c>
      <c r="AQ101" s="104" t="s">
        <v>1176</v>
      </c>
      <c r="AR101" s="104" t="s">
        <v>1176</v>
      </c>
      <c r="AS101" s="104" t="s">
        <v>1176</v>
      </c>
      <c r="AT101" s="104" t="s">
        <v>1176</v>
      </c>
      <c r="AU101" s="104" t="s">
        <v>1176</v>
      </c>
      <c r="AV101" s="104" t="s">
        <v>1176</v>
      </c>
      <c r="AW101" s="104" t="s">
        <v>1176</v>
      </c>
      <c r="AX101" s="104" t="s">
        <v>1176</v>
      </c>
      <c r="AY101" s="104" t="s">
        <v>1176</v>
      </c>
      <c r="AZ101" s="104" t="s">
        <v>1176</v>
      </c>
      <c r="BA101" s="104" t="s">
        <v>1176</v>
      </c>
      <c r="BB101" s="104" t="s">
        <v>1176</v>
      </c>
      <c r="BC101" s="104" t="s">
        <v>1176</v>
      </c>
      <c r="BD101" s="104" t="s">
        <v>1176</v>
      </c>
      <c r="BE101" s="104" t="s">
        <v>1176</v>
      </c>
      <c r="BF101" s="104" t="s">
        <v>1176</v>
      </c>
      <c r="BG101" s="104" t="s">
        <v>1556</v>
      </c>
      <c r="BH101" s="104" t="s">
        <v>1556</v>
      </c>
      <c r="BI101" s="104" t="s">
        <v>1746</v>
      </c>
      <c r="BJ101" s="104" t="s">
        <v>1176</v>
      </c>
      <c r="BK101" s="104" t="s">
        <v>1176</v>
      </c>
      <c r="BL101" s="104" t="s">
        <v>1176</v>
      </c>
      <c r="BM101" s="104" t="s">
        <v>1176</v>
      </c>
      <c r="BN101" s="104" t="s">
        <v>1176</v>
      </c>
      <c r="BO101" s="104" t="s">
        <v>1176</v>
      </c>
      <c r="BP101" s="104" t="s">
        <v>1176</v>
      </c>
      <c r="BQ101" s="104" t="s">
        <v>1176</v>
      </c>
      <c r="BR101" s="104" t="s">
        <v>1176</v>
      </c>
      <c r="BS101" s="104" t="s">
        <v>1176</v>
      </c>
      <c r="BT101" s="104" t="s">
        <v>1176</v>
      </c>
      <c r="BU101" s="104" t="s">
        <v>1176</v>
      </c>
      <c r="BV101" s="104" t="s">
        <v>1176</v>
      </c>
      <c r="BW101" s="104" t="s">
        <v>1176</v>
      </c>
      <c r="BX101" s="104" t="s">
        <v>1345</v>
      </c>
      <c r="BY101" s="104" t="s">
        <v>1999</v>
      </c>
      <c r="BZ101" s="104" t="s">
        <v>1176</v>
      </c>
      <c r="CA101" s="104" t="s">
        <v>1176</v>
      </c>
      <c r="CB101" s="104" t="s">
        <v>1176</v>
      </c>
      <c r="CC101" s="104" t="s">
        <v>1176</v>
      </c>
      <c r="CD101" s="104" t="s">
        <v>1187</v>
      </c>
      <c r="CE101" s="104" t="s">
        <v>1238</v>
      </c>
      <c r="CF101" s="104" t="s">
        <v>1176</v>
      </c>
      <c r="CG101" s="104" t="s">
        <v>1176</v>
      </c>
      <c r="CH101" s="104" t="s">
        <v>1176</v>
      </c>
      <c r="CI101" s="104" t="s">
        <v>1176</v>
      </c>
      <c r="CJ101" s="104" t="s">
        <v>1176</v>
      </c>
      <c r="CK101" s="104" t="s">
        <v>1176</v>
      </c>
      <c r="CL101" s="104" t="s">
        <v>1176</v>
      </c>
      <c r="CM101" s="104" t="s">
        <v>1176</v>
      </c>
      <c r="CN101" s="104" t="s">
        <v>1176</v>
      </c>
      <c r="CO101" s="104" t="s">
        <v>1176</v>
      </c>
    </row>
    <row r="102" s="102" customFormat="1" ht="15" spans="1:93">
      <c r="A102" s="104" t="s">
        <v>1620</v>
      </c>
      <c r="B102" s="104" t="s">
        <v>1146</v>
      </c>
      <c r="C102" s="104" t="s">
        <v>1147</v>
      </c>
      <c r="D102" s="104" t="s">
        <v>2001</v>
      </c>
      <c r="E102" s="104" t="s">
        <v>2002</v>
      </c>
      <c r="F102" s="104">
        <f t="shared" si="1"/>
        <v>1056</v>
      </c>
      <c r="G102" s="104" t="s">
        <v>1428</v>
      </c>
      <c r="H102" s="104" t="s">
        <v>1176</v>
      </c>
      <c r="I102" s="104" t="s">
        <v>1176</v>
      </c>
      <c r="J102" s="104" t="s">
        <v>1176</v>
      </c>
      <c r="K102" s="104" t="s">
        <v>1176</v>
      </c>
      <c r="L102" s="104" t="s">
        <v>1748</v>
      </c>
      <c r="M102" s="104" t="s">
        <v>2003</v>
      </c>
      <c r="N102" s="104" t="s">
        <v>1238</v>
      </c>
      <c r="O102" s="104" t="s">
        <v>1176</v>
      </c>
      <c r="P102" s="104" t="s">
        <v>1176</v>
      </c>
      <c r="Q102" s="104" t="s">
        <v>1176</v>
      </c>
      <c r="R102" s="104" t="s">
        <v>1176</v>
      </c>
      <c r="S102" s="104" t="s">
        <v>1176</v>
      </c>
      <c r="T102" s="104" t="s">
        <v>1176</v>
      </c>
      <c r="U102" s="104" t="s">
        <v>1176</v>
      </c>
      <c r="V102" s="104" t="s">
        <v>1537</v>
      </c>
      <c r="W102" s="104" t="s">
        <v>1176</v>
      </c>
      <c r="X102" s="104" t="s">
        <v>2004</v>
      </c>
      <c r="Y102" s="104" t="s">
        <v>1690</v>
      </c>
      <c r="Z102" s="104" t="s">
        <v>2005</v>
      </c>
      <c r="AA102" s="104" t="s">
        <v>1176</v>
      </c>
      <c r="AB102" s="104" t="s">
        <v>1176</v>
      </c>
      <c r="AC102" s="104" t="s">
        <v>1176</v>
      </c>
      <c r="AD102" s="104" t="s">
        <v>1176</v>
      </c>
      <c r="AE102" s="104" t="s">
        <v>1176</v>
      </c>
      <c r="AF102" s="104" t="s">
        <v>1176</v>
      </c>
      <c r="AG102" s="104" t="s">
        <v>1176</v>
      </c>
      <c r="AH102" s="104" t="s">
        <v>1176</v>
      </c>
      <c r="AI102" s="104" t="s">
        <v>1172</v>
      </c>
      <c r="AJ102" s="104" t="s">
        <v>1201</v>
      </c>
      <c r="AK102" s="104" t="s">
        <v>2006</v>
      </c>
      <c r="AL102" s="104" t="s">
        <v>2007</v>
      </c>
      <c r="AM102" s="104" t="s">
        <v>1176</v>
      </c>
      <c r="AN102" s="104" t="s">
        <v>1323</v>
      </c>
      <c r="AO102" s="104" t="s">
        <v>1176</v>
      </c>
      <c r="AP102" s="104" t="s">
        <v>1176</v>
      </c>
      <c r="AQ102" s="104" t="s">
        <v>1176</v>
      </c>
      <c r="AR102" s="104" t="s">
        <v>1176</v>
      </c>
      <c r="AS102" s="104" t="s">
        <v>1176</v>
      </c>
      <c r="AT102" s="104" t="s">
        <v>1176</v>
      </c>
      <c r="AU102" s="104" t="s">
        <v>1176</v>
      </c>
      <c r="AV102" s="104" t="s">
        <v>1176</v>
      </c>
      <c r="AW102" s="104" t="s">
        <v>1176</v>
      </c>
      <c r="AX102" s="104" t="s">
        <v>1176</v>
      </c>
      <c r="AY102" s="104" t="s">
        <v>1176</v>
      </c>
      <c r="AZ102" s="104" t="s">
        <v>1176</v>
      </c>
      <c r="BA102" s="104" t="s">
        <v>1176</v>
      </c>
      <c r="BB102" s="104" t="s">
        <v>1176</v>
      </c>
      <c r="BC102" s="104" t="s">
        <v>1172</v>
      </c>
      <c r="BD102" s="104" t="s">
        <v>1172</v>
      </c>
      <c r="BE102" s="104" t="s">
        <v>1176</v>
      </c>
      <c r="BF102" s="104" t="s">
        <v>1176</v>
      </c>
      <c r="BG102" s="104" t="s">
        <v>1296</v>
      </c>
      <c r="BH102" s="104" t="s">
        <v>1296</v>
      </c>
      <c r="BI102" s="104" t="s">
        <v>1264</v>
      </c>
      <c r="BJ102" s="104" t="s">
        <v>1176</v>
      </c>
      <c r="BK102" s="104" t="s">
        <v>1176</v>
      </c>
      <c r="BL102" s="104" t="s">
        <v>1176</v>
      </c>
      <c r="BM102" s="104" t="s">
        <v>1176</v>
      </c>
      <c r="BN102" s="104" t="s">
        <v>1176</v>
      </c>
      <c r="BO102" s="104" t="s">
        <v>1176</v>
      </c>
      <c r="BP102" s="104" t="s">
        <v>1176</v>
      </c>
      <c r="BQ102" s="104" t="s">
        <v>1176</v>
      </c>
      <c r="BR102" s="104" t="s">
        <v>1176</v>
      </c>
      <c r="BS102" s="104" t="s">
        <v>1176</v>
      </c>
      <c r="BT102" s="104" t="s">
        <v>1296</v>
      </c>
      <c r="BU102" s="104" t="s">
        <v>1264</v>
      </c>
      <c r="BV102" s="104" t="s">
        <v>1176</v>
      </c>
      <c r="BW102" s="104" t="s">
        <v>1176</v>
      </c>
      <c r="BX102" s="104" t="s">
        <v>1176</v>
      </c>
      <c r="BY102" s="104" t="s">
        <v>1176</v>
      </c>
      <c r="BZ102" s="104" t="s">
        <v>1176</v>
      </c>
      <c r="CA102" s="104" t="s">
        <v>1176</v>
      </c>
      <c r="CB102" s="104" t="s">
        <v>1176</v>
      </c>
      <c r="CC102" s="104" t="s">
        <v>1176</v>
      </c>
      <c r="CD102" s="104" t="s">
        <v>1176</v>
      </c>
      <c r="CE102" s="104" t="s">
        <v>1176</v>
      </c>
      <c r="CF102" s="104" t="s">
        <v>1176</v>
      </c>
      <c r="CG102" s="104" t="s">
        <v>1176</v>
      </c>
      <c r="CH102" s="104" t="s">
        <v>1176</v>
      </c>
      <c r="CI102" s="104" t="s">
        <v>1176</v>
      </c>
      <c r="CJ102" s="104" t="s">
        <v>1176</v>
      </c>
      <c r="CK102" s="104" t="s">
        <v>1176</v>
      </c>
      <c r="CL102" s="104" t="s">
        <v>1176</v>
      </c>
      <c r="CM102" s="104" t="s">
        <v>1176</v>
      </c>
      <c r="CN102" s="104" t="s">
        <v>1176</v>
      </c>
      <c r="CO102" s="104" t="s">
        <v>1176</v>
      </c>
    </row>
    <row r="103" s="102" customFormat="1" ht="15" spans="1:93">
      <c r="A103" s="104" t="s">
        <v>1420</v>
      </c>
      <c r="B103" s="104" t="s">
        <v>1146</v>
      </c>
      <c r="C103" s="104" t="s">
        <v>1147</v>
      </c>
      <c r="D103" s="104" t="s">
        <v>2008</v>
      </c>
      <c r="E103" s="104" t="s">
        <v>2009</v>
      </c>
      <c r="F103" s="104">
        <f t="shared" si="1"/>
        <v>5213</v>
      </c>
      <c r="G103" s="104" t="s">
        <v>2010</v>
      </c>
      <c r="H103" s="104" t="s">
        <v>1176</v>
      </c>
      <c r="I103" s="104" t="s">
        <v>1176</v>
      </c>
      <c r="J103" s="104" t="s">
        <v>1176</v>
      </c>
      <c r="K103" s="104" t="s">
        <v>1176</v>
      </c>
      <c r="L103" s="104" t="s">
        <v>2011</v>
      </c>
      <c r="M103" s="104" t="s">
        <v>2012</v>
      </c>
      <c r="N103" s="104" t="s">
        <v>1223</v>
      </c>
      <c r="O103" s="104" t="s">
        <v>1176</v>
      </c>
      <c r="P103" s="104" t="s">
        <v>1172</v>
      </c>
      <c r="Q103" s="104" t="s">
        <v>1176</v>
      </c>
      <c r="R103" s="104" t="s">
        <v>1176</v>
      </c>
      <c r="S103" s="104" t="s">
        <v>1176</v>
      </c>
      <c r="T103" s="104" t="s">
        <v>1176</v>
      </c>
      <c r="U103" s="104" t="s">
        <v>1201</v>
      </c>
      <c r="V103" s="104" t="s">
        <v>2013</v>
      </c>
      <c r="W103" s="104" t="s">
        <v>1176</v>
      </c>
      <c r="X103" s="104" t="s">
        <v>2014</v>
      </c>
      <c r="Y103" s="104" t="s">
        <v>1799</v>
      </c>
      <c r="Z103" s="104" t="s">
        <v>2015</v>
      </c>
      <c r="AA103" s="104" t="s">
        <v>1176</v>
      </c>
      <c r="AB103" s="104" t="s">
        <v>1176</v>
      </c>
      <c r="AC103" s="104" t="s">
        <v>1179</v>
      </c>
      <c r="AD103" s="104" t="s">
        <v>2016</v>
      </c>
      <c r="AE103" s="104" t="s">
        <v>1176</v>
      </c>
      <c r="AF103" s="104" t="s">
        <v>1176</v>
      </c>
      <c r="AG103" s="104" t="s">
        <v>1176</v>
      </c>
      <c r="AH103" s="104" t="s">
        <v>1176</v>
      </c>
      <c r="AI103" s="104" t="s">
        <v>1180</v>
      </c>
      <c r="AJ103" s="104" t="s">
        <v>1742</v>
      </c>
      <c r="AK103" s="104" t="s">
        <v>1622</v>
      </c>
      <c r="AL103" s="104" t="s">
        <v>2017</v>
      </c>
      <c r="AM103" s="104" t="s">
        <v>1176</v>
      </c>
      <c r="AN103" s="104" t="s">
        <v>1187</v>
      </c>
      <c r="AO103" s="104" t="s">
        <v>1176</v>
      </c>
      <c r="AP103" s="104" t="s">
        <v>1176</v>
      </c>
      <c r="AQ103" s="104" t="s">
        <v>1176</v>
      </c>
      <c r="AR103" s="104" t="s">
        <v>1176</v>
      </c>
      <c r="AS103" s="104" t="s">
        <v>1176</v>
      </c>
      <c r="AT103" s="104" t="s">
        <v>1176</v>
      </c>
      <c r="AU103" s="104" t="s">
        <v>1176</v>
      </c>
      <c r="AV103" s="104" t="s">
        <v>1176</v>
      </c>
      <c r="AW103" s="104" t="s">
        <v>1176</v>
      </c>
      <c r="AX103" s="104" t="s">
        <v>1176</v>
      </c>
      <c r="AY103" s="104" t="s">
        <v>1176</v>
      </c>
      <c r="AZ103" s="104" t="s">
        <v>1176</v>
      </c>
      <c r="BA103" s="104" t="s">
        <v>1176</v>
      </c>
      <c r="BB103" s="104" t="s">
        <v>1176</v>
      </c>
      <c r="BC103" s="104" t="s">
        <v>1176</v>
      </c>
      <c r="BD103" s="104" t="s">
        <v>1176</v>
      </c>
      <c r="BE103" s="104" t="s">
        <v>1176</v>
      </c>
      <c r="BF103" s="104" t="s">
        <v>1176</v>
      </c>
      <c r="BG103" s="104" t="s">
        <v>1259</v>
      </c>
      <c r="BH103" s="104" t="s">
        <v>1259</v>
      </c>
      <c r="BI103" s="104" t="s">
        <v>2018</v>
      </c>
      <c r="BJ103" s="104" t="s">
        <v>1187</v>
      </c>
      <c r="BK103" s="104" t="s">
        <v>1176</v>
      </c>
      <c r="BL103" s="104" t="s">
        <v>1176</v>
      </c>
      <c r="BM103" s="104" t="s">
        <v>1176</v>
      </c>
      <c r="BN103" s="104" t="s">
        <v>1212</v>
      </c>
      <c r="BO103" s="104" t="s">
        <v>1212</v>
      </c>
      <c r="BP103" s="104" t="s">
        <v>1176</v>
      </c>
      <c r="BQ103" s="104" t="s">
        <v>1176</v>
      </c>
      <c r="BR103" s="104" t="s">
        <v>1176</v>
      </c>
      <c r="BS103" s="104" t="s">
        <v>1176</v>
      </c>
      <c r="BT103" s="104" t="s">
        <v>2019</v>
      </c>
      <c r="BU103" s="104" t="s">
        <v>2020</v>
      </c>
      <c r="BV103" s="104" t="s">
        <v>1176</v>
      </c>
      <c r="BW103" s="104" t="s">
        <v>1176</v>
      </c>
      <c r="BX103" s="104" t="s">
        <v>1238</v>
      </c>
      <c r="BY103" s="104" t="s">
        <v>1229</v>
      </c>
      <c r="BZ103" s="104" t="s">
        <v>1176</v>
      </c>
      <c r="CA103" s="104" t="s">
        <v>1176</v>
      </c>
      <c r="CB103" s="104" t="s">
        <v>1176</v>
      </c>
      <c r="CC103" s="104" t="s">
        <v>1176</v>
      </c>
      <c r="CD103" s="104" t="s">
        <v>1176</v>
      </c>
      <c r="CE103" s="104" t="s">
        <v>1176</v>
      </c>
      <c r="CF103" s="104" t="s">
        <v>1176</v>
      </c>
      <c r="CG103" s="104" t="s">
        <v>1176</v>
      </c>
      <c r="CH103" s="104" t="s">
        <v>1176</v>
      </c>
      <c r="CI103" s="104" t="s">
        <v>1176</v>
      </c>
      <c r="CJ103" s="104" t="s">
        <v>1176</v>
      </c>
      <c r="CK103" s="104" t="s">
        <v>1176</v>
      </c>
      <c r="CL103" s="104" t="s">
        <v>1176</v>
      </c>
      <c r="CM103" s="104" t="s">
        <v>1176</v>
      </c>
      <c r="CN103" s="104" t="s">
        <v>1176</v>
      </c>
      <c r="CO103" s="104" t="s">
        <v>1176</v>
      </c>
    </row>
    <row r="104" s="102" customFormat="1" ht="15" spans="1:93">
      <c r="A104" s="104" t="s">
        <v>1185</v>
      </c>
      <c r="B104" s="104" t="s">
        <v>1146</v>
      </c>
      <c r="C104" s="104" t="s">
        <v>1147</v>
      </c>
      <c r="D104" s="104" t="s">
        <v>2021</v>
      </c>
      <c r="E104" s="104" t="s">
        <v>2022</v>
      </c>
      <c r="F104" s="104">
        <f t="shared" si="1"/>
        <v>1723</v>
      </c>
      <c r="G104" s="104" t="s">
        <v>2023</v>
      </c>
      <c r="H104" s="104" t="s">
        <v>1176</v>
      </c>
      <c r="I104" s="104" t="s">
        <v>1176</v>
      </c>
      <c r="J104" s="104" t="s">
        <v>1176</v>
      </c>
      <c r="K104" s="104" t="s">
        <v>1176</v>
      </c>
      <c r="L104" s="104" t="s">
        <v>1876</v>
      </c>
      <c r="M104" s="104" t="s">
        <v>2024</v>
      </c>
      <c r="N104" s="104" t="s">
        <v>1172</v>
      </c>
      <c r="O104" s="104" t="s">
        <v>1176</v>
      </c>
      <c r="P104" s="104" t="s">
        <v>1172</v>
      </c>
      <c r="Q104" s="104" t="s">
        <v>1176</v>
      </c>
      <c r="R104" s="104" t="s">
        <v>1176</v>
      </c>
      <c r="S104" s="104" t="s">
        <v>1176</v>
      </c>
      <c r="T104" s="104" t="s">
        <v>1176</v>
      </c>
      <c r="U104" s="104" t="s">
        <v>1172</v>
      </c>
      <c r="V104" s="104" t="s">
        <v>2025</v>
      </c>
      <c r="W104" s="104" t="s">
        <v>1176</v>
      </c>
      <c r="X104" s="104" t="s">
        <v>2026</v>
      </c>
      <c r="Y104" s="104" t="s">
        <v>2027</v>
      </c>
      <c r="Z104" s="104" t="s">
        <v>2028</v>
      </c>
      <c r="AA104" s="104" t="s">
        <v>1176</v>
      </c>
      <c r="AB104" s="104" t="s">
        <v>1176</v>
      </c>
      <c r="AC104" s="104" t="s">
        <v>1176</v>
      </c>
      <c r="AD104" s="104" t="s">
        <v>1176</v>
      </c>
      <c r="AE104" s="104" t="s">
        <v>1176</v>
      </c>
      <c r="AF104" s="104" t="s">
        <v>1176</v>
      </c>
      <c r="AG104" s="104" t="s">
        <v>1176</v>
      </c>
      <c r="AH104" s="104" t="s">
        <v>1176</v>
      </c>
      <c r="AI104" s="104" t="s">
        <v>1188</v>
      </c>
      <c r="AJ104" s="104" t="s">
        <v>1311</v>
      </c>
      <c r="AK104" s="104" t="s">
        <v>1537</v>
      </c>
      <c r="AL104" s="104" t="s">
        <v>2029</v>
      </c>
      <c r="AM104" s="104" t="s">
        <v>1176</v>
      </c>
      <c r="AN104" s="104" t="s">
        <v>1172</v>
      </c>
      <c r="AO104" s="104" t="s">
        <v>1176</v>
      </c>
      <c r="AP104" s="104" t="s">
        <v>1176</v>
      </c>
      <c r="AQ104" s="104" t="s">
        <v>1176</v>
      </c>
      <c r="AR104" s="104" t="s">
        <v>1176</v>
      </c>
      <c r="AS104" s="104" t="s">
        <v>1176</v>
      </c>
      <c r="AT104" s="104" t="s">
        <v>1176</v>
      </c>
      <c r="AU104" s="104" t="s">
        <v>1176</v>
      </c>
      <c r="AV104" s="104" t="s">
        <v>1176</v>
      </c>
      <c r="AW104" s="104" t="s">
        <v>1176</v>
      </c>
      <c r="AX104" s="104" t="s">
        <v>1176</v>
      </c>
      <c r="AY104" s="104" t="s">
        <v>1176</v>
      </c>
      <c r="AZ104" s="104" t="s">
        <v>1176</v>
      </c>
      <c r="BA104" s="104" t="s">
        <v>1176</v>
      </c>
      <c r="BB104" s="104" t="s">
        <v>1176</v>
      </c>
      <c r="BC104" s="104" t="s">
        <v>1176</v>
      </c>
      <c r="BD104" s="104" t="s">
        <v>1176</v>
      </c>
      <c r="BE104" s="104" t="s">
        <v>1176</v>
      </c>
      <c r="BF104" s="104" t="s">
        <v>1176</v>
      </c>
      <c r="BG104" s="104" t="s">
        <v>1456</v>
      </c>
      <c r="BH104" s="104" t="s">
        <v>1456</v>
      </c>
      <c r="BI104" s="104" t="s">
        <v>2030</v>
      </c>
      <c r="BJ104" s="104" t="s">
        <v>1176</v>
      </c>
      <c r="BK104" s="104" t="s">
        <v>1176</v>
      </c>
      <c r="BL104" s="104" t="s">
        <v>1176</v>
      </c>
      <c r="BM104" s="104" t="s">
        <v>1176</v>
      </c>
      <c r="BN104" s="104" t="s">
        <v>1172</v>
      </c>
      <c r="BO104" s="104" t="s">
        <v>1172</v>
      </c>
      <c r="BP104" s="104" t="s">
        <v>1176</v>
      </c>
      <c r="BQ104" s="104" t="s">
        <v>1176</v>
      </c>
      <c r="BR104" s="104" t="s">
        <v>1176</v>
      </c>
      <c r="BS104" s="104" t="s">
        <v>1176</v>
      </c>
      <c r="BT104" s="104" t="s">
        <v>1296</v>
      </c>
      <c r="BU104" s="104" t="s">
        <v>2031</v>
      </c>
      <c r="BV104" s="104" t="s">
        <v>1176</v>
      </c>
      <c r="BW104" s="104" t="s">
        <v>1176</v>
      </c>
      <c r="BX104" s="104" t="s">
        <v>1172</v>
      </c>
      <c r="BY104" s="104" t="s">
        <v>1356</v>
      </c>
      <c r="BZ104" s="104" t="s">
        <v>1176</v>
      </c>
      <c r="CA104" s="104" t="s">
        <v>1176</v>
      </c>
      <c r="CB104" s="104" t="s">
        <v>1176</v>
      </c>
      <c r="CC104" s="104" t="s">
        <v>1176</v>
      </c>
      <c r="CD104" s="104" t="s">
        <v>1176</v>
      </c>
      <c r="CE104" s="104" t="s">
        <v>1176</v>
      </c>
      <c r="CF104" s="104" t="s">
        <v>1176</v>
      </c>
      <c r="CG104" s="104" t="s">
        <v>1176</v>
      </c>
      <c r="CH104" s="104" t="s">
        <v>1176</v>
      </c>
      <c r="CI104" s="104" t="s">
        <v>1176</v>
      </c>
      <c r="CJ104" s="104" t="s">
        <v>1176</v>
      </c>
      <c r="CK104" s="104" t="s">
        <v>1176</v>
      </c>
      <c r="CL104" s="104" t="s">
        <v>1176</v>
      </c>
      <c r="CM104" s="104" t="s">
        <v>1176</v>
      </c>
      <c r="CN104" s="104" t="s">
        <v>1176</v>
      </c>
      <c r="CO104" s="104" t="s">
        <v>1176</v>
      </c>
    </row>
    <row r="105" s="102" customFormat="1" ht="15" spans="1:93">
      <c r="A105" s="104" t="s">
        <v>1807</v>
      </c>
      <c r="B105" s="104" t="s">
        <v>1146</v>
      </c>
      <c r="C105" s="104" t="s">
        <v>1147</v>
      </c>
      <c r="D105" s="104" t="s">
        <v>2032</v>
      </c>
      <c r="E105" s="104" t="s">
        <v>2033</v>
      </c>
      <c r="F105" s="104">
        <f t="shared" si="1"/>
        <v>4004</v>
      </c>
      <c r="G105" s="104" t="s">
        <v>2034</v>
      </c>
      <c r="H105" s="104" t="s">
        <v>1176</v>
      </c>
      <c r="I105" s="104" t="s">
        <v>1176</v>
      </c>
      <c r="J105" s="104" t="s">
        <v>1176</v>
      </c>
      <c r="K105" s="104" t="s">
        <v>1176</v>
      </c>
      <c r="L105" s="104" t="s">
        <v>2035</v>
      </c>
      <c r="M105" s="104" t="s">
        <v>2036</v>
      </c>
      <c r="N105" s="104" t="s">
        <v>1201</v>
      </c>
      <c r="O105" s="104" t="s">
        <v>1176</v>
      </c>
      <c r="P105" s="104" t="s">
        <v>1180</v>
      </c>
      <c r="Q105" s="104" t="s">
        <v>1176</v>
      </c>
      <c r="R105" s="104" t="s">
        <v>1176</v>
      </c>
      <c r="S105" s="104" t="s">
        <v>1176</v>
      </c>
      <c r="T105" s="104" t="s">
        <v>1176</v>
      </c>
      <c r="U105" s="104" t="s">
        <v>1218</v>
      </c>
      <c r="V105" s="104" t="s">
        <v>2037</v>
      </c>
      <c r="W105" s="104" t="s">
        <v>1176</v>
      </c>
      <c r="X105" s="104" t="s">
        <v>2038</v>
      </c>
      <c r="Y105" s="104" t="s">
        <v>2039</v>
      </c>
      <c r="Z105" s="104" t="s">
        <v>2040</v>
      </c>
      <c r="AA105" s="104" t="s">
        <v>1176</v>
      </c>
      <c r="AB105" s="104" t="s">
        <v>1176</v>
      </c>
      <c r="AC105" s="104" t="s">
        <v>1176</v>
      </c>
      <c r="AD105" s="104" t="s">
        <v>1176</v>
      </c>
      <c r="AE105" s="104" t="s">
        <v>1176</v>
      </c>
      <c r="AF105" s="104" t="s">
        <v>1176</v>
      </c>
      <c r="AG105" s="104" t="s">
        <v>1176</v>
      </c>
      <c r="AH105" s="104" t="s">
        <v>1176</v>
      </c>
      <c r="AI105" s="104" t="s">
        <v>1218</v>
      </c>
      <c r="AJ105" s="104" t="s">
        <v>1892</v>
      </c>
      <c r="AK105" s="104" t="s">
        <v>1533</v>
      </c>
      <c r="AL105" s="104" t="s">
        <v>2041</v>
      </c>
      <c r="AM105" s="104" t="s">
        <v>1176</v>
      </c>
      <c r="AN105" s="104" t="s">
        <v>1172</v>
      </c>
      <c r="AO105" s="104" t="s">
        <v>1176</v>
      </c>
      <c r="AP105" s="104" t="s">
        <v>1176</v>
      </c>
      <c r="AQ105" s="104" t="s">
        <v>1176</v>
      </c>
      <c r="AR105" s="104" t="s">
        <v>1176</v>
      </c>
      <c r="AS105" s="104" t="s">
        <v>1176</v>
      </c>
      <c r="AT105" s="104" t="s">
        <v>1176</v>
      </c>
      <c r="AU105" s="104" t="s">
        <v>1176</v>
      </c>
      <c r="AV105" s="104" t="s">
        <v>1176</v>
      </c>
      <c r="AW105" s="104" t="s">
        <v>1176</v>
      </c>
      <c r="AX105" s="104" t="s">
        <v>1176</v>
      </c>
      <c r="AY105" s="104" t="s">
        <v>1176</v>
      </c>
      <c r="AZ105" s="104" t="s">
        <v>1176</v>
      </c>
      <c r="BA105" s="104" t="s">
        <v>1176</v>
      </c>
      <c r="BB105" s="104" t="s">
        <v>1176</v>
      </c>
      <c r="BC105" s="104" t="s">
        <v>1176</v>
      </c>
      <c r="BD105" s="104" t="s">
        <v>1176</v>
      </c>
      <c r="BE105" s="104" t="s">
        <v>1176</v>
      </c>
      <c r="BF105" s="104" t="s">
        <v>1176</v>
      </c>
      <c r="BG105" s="104" t="s">
        <v>2042</v>
      </c>
      <c r="BH105" s="104" t="s">
        <v>2042</v>
      </c>
      <c r="BI105" s="104" t="s">
        <v>2043</v>
      </c>
      <c r="BJ105" s="104" t="s">
        <v>1176</v>
      </c>
      <c r="BK105" s="104" t="s">
        <v>1176</v>
      </c>
      <c r="BL105" s="104" t="s">
        <v>1176</v>
      </c>
      <c r="BM105" s="104" t="s">
        <v>1176</v>
      </c>
      <c r="BN105" s="104" t="s">
        <v>1176</v>
      </c>
      <c r="BO105" s="104" t="s">
        <v>1176</v>
      </c>
      <c r="BP105" s="104" t="s">
        <v>1176</v>
      </c>
      <c r="BQ105" s="104" t="s">
        <v>1176</v>
      </c>
      <c r="BR105" s="104" t="s">
        <v>1176</v>
      </c>
      <c r="BS105" s="104" t="s">
        <v>1176</v>
      </c>
      <c r="BT105" s="104" t="s">
        <v>1508</v>
      </c>
      <c r="BU105" s="104" t="s">
        <v>2044</v>
      </c>
      <c r="BV105" s="104" t="s">
        <v>1176</v>
      </c>
      <c r="BW105" s="104" t="s">
        <v>1176</v>
      </c>
      <c r="BX105" s="104" t="s">
        <v>1172</v>
      </c>
      <c r="BY105" s="104" t="s">
        <v>1180</v>
      </c>
      <c r="BZ105" s="104" t="s">
        <v>1176</v>
      </c>
      <c r="CA105" s="104" t="s">
        <v>1176</v>
      </c>
      <c r="CB105" s="104" t="s">
        <v>1176</v>
      </c>
      <c r="CC105" s="104" t="s">
        <v>1176</v>
      </c>
      <c r="CD105" s="104" t="s">
        <v>1176</v>
      </c>
      <c r="CE105" s="104" t="s">
        <v>1176</v>
      </c>
      <c r="CF105" s="104" t="s">
        <v>1176</v>
      </c>
      <c r="CG105" s="104" t="s">
        <v>1176</v>
      </c>
      <c r="CH105" s="104" t="s">
        <v>1176</v>
      </c>
      <c r="CI105" s="104" t="s">
        <v>1176</v>
      </c>
      <c r="CJ105" s="104" t="s">
        <v>1176</v>
      </c>
      <c r="CK105" s="104" t="s">
        <v>1176</v>
      </c>
      <c r="CL105" s="104" t="s">
        <v>1176</v>
      </c>
      <c r="CM105" s="104" t="s">
        <v>1176</v>
      </c>
      <c r="CN105" s="104" t="s">
        <v>1176</v>
      </c>
      <c r="CO105" s="104" t="s">
        <v>1176</v>
      </c>
    </row>
    <row r="106" s="102" customFormat="1" ht="15" spans="1:93">
      <c r="A106" s="104" t="s">
        <v>1876</v>
      </c>
      <c r="B106" s="104" t="s">
        <v>1146</v>
      </c>
      <c r="C106" s="104" t="s">
        <v>1147</v>
      </c>
      <c r="D106" s="104" t="s">
        <v>2045</v>
      </c>
      <c r="E106" s="104" t="s">
        <v>2046</v>
      </c>
      <c r="F106" s="104">
        <f t="shared" si="1"/>
        <v>1770</v>
      </c>
      <c r="G106" s="104" t="s">
        <v>2047</v>
      </c>
      <c r="H106" s="104" t="s">
        <v>1176</v>
      </c>
      <c r="I106" s="104" t="s">
        <v>1176</v>
      </c>
      <c r="J106" s="104" t="s">
        <v>1176</v>
      </c>
      <c r="K106" s="104" t="s">
        <v>1176</v>
      </c>
      <c r="L106" s="104" t="s">
        <v>1617</v>
      </c>
      <c r="M106" s="104" t="s">
        <v>2048</v>
      </c>
      <c r="N106" s="104" t="s">
        <v>1187</v>
      </c>
      <c r="O106" s="104" t="s">
        <v>1176</v>
      </c>
      <c r="P106" s="104" t="s">
        <v>1187</v>
      </c>
      <c r="Q106" s="104" t="s">
        <v>1176</v>
      </c>
      <c r="R106" s="104" t="s">
        <v>1176</v>
      </c>
      <c r="S106" s="104" t="s">
        <v>1176</v>
      </c>
      <c r="T106" s="104" t="s">
        <v>1176</v>
      </c>
      <c r="U106" s="104" t="s">
        <v>1187</v>
      </c>
      <c r="V106" s="104" t="s">
        <v>1507</v>
      </c>
      <c r="W106" s="104" t="s">
        <v>1176</v>
      </c>
      <c r="X106" s="104" t="s">
        <v>2049</v>
      </c>
      <c r="Y106" s="104" t="s">
        <v>1309</v>
      </c>
      <c r="Z106" s="104" t="s">
        <v>2050</v>
      </c>
      <c r="AA106" s="104" t="s">
        <v>1176</v>
      </c>
      <c r="AB106" s="104" t="s">
        <v>1176</v>
      </c>
      <c r="AC106" s="104" t="s">
        <v>1187</v>
      </c>
      <c r="AD106" s="104" t="s">
        <v>1276</v>
      </c>
      <c r="AE106" s="104" t="s">
        <v>1176</v>
      </c>
      <c r="AF106" s="104" t="s">
        <v>1176</v>
      </c>
      <c r="AG106" s="104" t="s">
        <v>1176</v>
      </c>
      <c r="AH106" s="104" t="s">
        <v>1176</v>
      </c>
      <c r="AI106" s="104" t="s">
        <v>1243</v>
      </c>
      <c r="AJ106" s="104" t="s">
        <v>1279</v>
      </c>
      <c r="AK106" s="104" t="s">
        <v>1400</v>
      </c>
      <c r="AL106" s="104" t="s">
        <v>2051</v>
      </c>
      <c r="AM106" s="104" t="s">
        <v>1176</v>
      </c>
      <c r="AN106" s="104" t="s">
        <v>1172</v>
      </c>
      <c r="AO106" s="104" t="s">
        <v>1176</v>
      </c>
      <c r="AP106" s="104" t="s">
        <v>1176</v>
      </c>
      <c r="AQ106" s="104" t="s">
        <v>1176</v>
      </c>
      <c r="AR106" s="104" t="s">
        <v>1176</v>
      </c>
      <c r="AS106" s="104" t="s">
        <v>1176</v>
      </c>
      <c r="AT106" s="104" t="s">
        <v>1176</v>
      </c>
      <c r="AU106" s="104" t="s">
        <v>1176</v>
      </c>
      <c r="AV106" s="104" t="s">
        <v>1176</v>
      </c>
      <c r="AW106" s="104" t="s">
        <v>1176</v>
      </c>
      <c r="AX106" s="104" t="s">
        <v>1176</v>
      </c>
      <c r="AY106" s="104" t="s">
        <v>1176</v>
      </c>
      <c r="AZ106" s="104" t="s">
        <v>1176</v>
      </c>
      <c r="BA106" s="104" t="s">
        <v>1176</v>
      </c>
      <c r="BB106" s="104" t="s">
        <v>1176</v>
      </c>
      <c r="BC106" s="104" t="s">
        <v>1176</v>
      </c>
      <c r="BD106" s="104" t="s">
        <v>1176</v>
      </c>
      <c r="BE106" s="104" t="s">
        <v>1176</v>
      </c>
      <c r="BF106" s="104" t="s">
        <v>1176</v>
      </c>
      <c r="BG106" s="104" t="s">
        <v>1476</v>
      </c>
      <c r="BH106" s="104" t="s">
        <v>1476</v>
      </c>
      <c r="BI106" s="104" t="s">
        <v>2052</v>
      </c>
      <c r="BJ106" s="104" t="s">
        <v>1176</v>
      </c>
      <c r="BK106" s="104" t="s">
        <v>1176</v>
      </c>
      <c r="BL106" s="104" t="s">
        <v>1176</v>
      </c>
      <c r="BM106" s="104" t="s">
        <v>1176</v>
      </c>
      <c r="BN106" s="104" t="s">
        <v>1172</v>
      </c>
      <c r="BO106" s="104" t="s">
        <v>1172</v>
      </c>
      <c r="BP106" s="104" t="s">
        <v>1176</v>
      </c>
      <c r="BQ106" s="104" t="s">
        <v>1176</v>
      </c>
      <c r="BR106" s="104" t="s">
        <v>1176</v>
      </c>
      <c r="BS106" s="104" t="s">
        <v>1176</v>
      </c>
      <c r="BT106" s="104" t="s">
        <v>1472</v>
      </c>
      <c r="BU106" s="104" t="s">
        <v>1436</v>
      </c>
      <c r="BV106" s="104" t="s">
        <v>1176</v>
      </c>
      <c r="BW106" s="104" t="s">
        <v>1176</v>
      </c>
      <c r="BX106" s="104" t="s">
        <v>1172</v>
      </c>
      <c r="BY106" s="104" t="s">
        <v>1172</v>
      </c>
      <c r="BZ106" s="104" t="s">
        <v>1176</v>
      </c>
      <c r="CA106" s="104" t="s">
        <v>1176</v>
      </c>
      <c r="CB106" s="104" t="s">
        <v>1176</v>
      </c>
      <c r="CC106" s="104" t="s">
        <v>1176</v>
      </c>
      <c r="CD106" s="104" t="s">
        <v>1176</v>
      </c>
      <c r="CE106" s="104" t="s">
        <v>1176</v>
      </c>
      <c r="CF106" s="104" t="s">
        <v>1176</v>
      </c>
      <c r="CG106" s="104" t="s">
        <v>1176</v>
      </c>
      <c r="CH106" s="104" t="s">
        <v>1176</v>
      </c>
      <c r="CI106" s="104" t="s">
        <v>1176</v>
      </c>
      <c r="CJ106" s="104" t="s">
        <v>1176</v>
      </c>
      <c r="CK106" s="104" t="s">
        <v>1176</v>
      </c>
      <c r="CL106" s="104" t="s">
        <v>1176</v>
      </c>
      <c r="CM106" s="104" t="s">
        <v>1176</v>
      </c>
      <c r="CN106" s="104" t="s">
        <v>1176</v>
      </c>
      <c r="CO106" s="104" t="s">
        <v>1176</v>
      </c>
    </row>
    <row r="107" s="102" customFormat="1" ht="15" spans="1:93">
      <c r="A107" s="104" t="s">
        <v>2053</v>
      </c>
      <c r="B107" s="104" t="s">
        <v>1146</v>
      </c>
      <c r="C107" s="104" t="s">
        <v>1147</v>
      </c>
      <c r="D107" s="104" t="s">
        <v>2054</v>
      </c>
      <c r="E107" s="104" t="s">
        <v>2055</v>
      </c>
      <c r="F107" s="104">
        <f t="shared" si="1"/>
        <v>3000</v>
      </c>
      <c r="G107" s="104" t="s">
        <v>2056</v>
      </c>
      <c r="H107" s="104" t="s">
        <v>1176</v>
      </c>
      <c r="I107" s="104" t="s">
        <v>1176</v>
      </c>
      <c r="J107" s="104" t="s">
        <v>1176</v>
      </c>
      <c r="K107" s="104" t="s">
        <v>1176</v>
      </c>
      <c r="L107" s="104" t="s">
        <v>1719</v>
      </c>
      <c r="M107" s="104" t="s">
        <v>2057</v>
      </c>
      <c r="N107" s="104" t="s">
        <v>1172</v>
      </c>
      <c r="O107" s="104" t="s">
        <v>1176</v>
      </c>
      <c r="P107" s="104" t="s">
        <v>1172</v>
      </c>
      <c r="Q107" s="104" t="s">
        <v>1176</v>
      </c>
      <c r="R107" s="104" t="s">
        <v>1176</v>
      </c>
      <c r="S107" s="104" t="s">
        <v>1176</v>
      </c>
      <c r="T107" s="104" t="s">
        <v>1176</v>
      </c>
      <c r="U107" s="104" t="s">
        <v>1176</v>
      </c>
      <c r="V107" s="104" t="s">
        <v>2058</v>
      </c>
      <c r="W107" s="104" t="s">
        <v>1176</v>
      </c>
      <c r="X107" s="104" t="s">
        <v>2059</v>
      </c>
      <c r="Y107" s="104" t="s">
        <v>1189</v>
      </c>
      <c r="Z107" s="104" t="s">
        <v>2060</v>
      </c>
      <c r="AA107" s="104" t="s">
        <v>1176</v>
      </c>
      <c r="AB107" s="104" t="s">
        <v>1176</v>
      </c>
      <c r="AC107" s="104" t="s">
        <v>1176</v>
      </c>
      <c r="AD107" s="104" t="s">
        <v>1176</v>
      </c>
      <c r="AE107" s="104" t="s">
        <v>1176</v>
      </c>
      <c r="AF107" s="104" t="s">
        <v>1176</v>
      </c>
      <c r="AG107" s="104" t="s">
        <v>1176</v>
      </c>
      <c r="AH107" s="104" t="s">
        <v>1176</v>
      </c>
      <c r="AI107" s="104" t="s">
        <v>1612</v>
      </c>
      <c r="AJ107" s="104" t="s">
        <v>2061</v>
      </c>
      <c r="AK107" s="104" t="s">
        <v>2062</v>
      </c>
      <c r="AL107" s="104" t="s">
        <v>2063</v>
      </c>
      <c r="AM107" s="104" t="s">
        <v>1176</v>
      </c>
      <c r="AN107" s="104" t="s">
        <v>1172</v>
      </c>
      <c r="AO107" s="104" t="s">
        <v>1176</v>
      </c>
      <c r="AP107" s="104" t="s">
        <v>1176</v>
      </c>
      <c r="AQ107" s="104" t="s">
        <v>1176</v>
      </c>
      <c r="AR107" s="104" t="s">
        <v>1176</v>
      </c>
      <c r="AS107" s="104" t="s">
        <v>1176</v>
      </c>
      <c r="AT107" s="104" t="s">
        <v>1176</v>
      </c>
      <c r="AU107" s="104" t="s">
        <v>1176</v>
      </c>
      <c r="AV107" s="104" t="s">
        <v>1176</v>
      </c>
      <c r="AW107" s="104" t="s">
        <v>1176</v>
      </c>
      <c r="AX107" s="104" t="s">
        <v>1176</v>
      </c>
      <c r="AY107" s="104" t="s">
        <v>1176</v>
      </c>
      <c r="AZ107" s="104" t="s">
        <v>1176</v>
      </c>
      <c r="BA107" s="104" t="s">
        <v>1176</v>
      </c>
      <c r="BB107" s="104" t="s">
        <v>1176</v>
      </c>
      <c r="BC107" s="104" t="s">
        <v>1176</v>
      </c>
      <c r="BD107" s="104" t="s">
        <v>1176</v>
      </c>
      <c r="BE107" s="104" t="s">
        <v>1176</v>
      </c>
      <c r="BF107" s="104" t="s">
        <v>1176</v>
      </c>
      <c r="BG107" s="104" t="s">
        <v>1187</v>
      </c>
      <c r="BH107" s="104" t="s">
        <v>1187</v>
      </c>
      <c r="BI107" s="104" t="s">
        <v>1187</v>
      </c>
      <c r="BJ107" s="104" t="s">
        <v>1176</v>
      </c>
      <c r="BK107" s="104" t="s">
        <v>1176</v>
      </c>
      <c r="BL107" s="104" t="s">
        <v>1176</v>
      </c>
      <c r="BM107" s="104" t="s">
        <v>1176</v>
      </c>
      <c r="BN107" s="104" t="s">
        <v>1187</v>
      </c>
      <c r="BO107" s="104" t="s">
        <v>1187</v>
      </c>
      <c r="BP107" s="104" t="s">
        <v>1176</v>
      </c>
      <c r="BQ107" s="104" t="s">
        <v>1176</v>
      </c>
      <c r="BR107" s="104" t="s">
        <v>1176</v>
      </c>
      <c r="BS107" s="104" t="s">
        <v>1176</v>
      </c>
      <c r="BT107" s="104" t="s">
        <v>1176</v>
      </c>
      <c r="BU107" s="104" t="s">
        <v>1176</v>
      </c>
      <c r="BV107" s="104" t="s">
        <v>1176</v>
      </c>
      <c r="BW107" s="104" t="s">
        <v>1176</v>
      </c>
      <c r="BX107" s="104" t="s">
        <v>1176</v>
      </c>
      <c r="BY107" s="104" t="s">
        <v>1176</v>
      </c>
      <c r="BZ107" s="104" t="s">
        <v>1176</v>
      </c>
      <c r="CA107" s="104" t="s">
        <v>1176</v>
      </c>
      <c r="CB107" s="104" t="s">
        <v>1176</v>
      </c>
      <c r="CC107" s="104" t="s">
        <v>1176</v>
      </c>
      <c r="CD107" s="104" t="s">
        <v>1176</v>
      </c>
      <c r="CE107" s="104" t="s">
        <v>1176</v>
      </c>
      <c r="CF107" s="104" t="s">
        <v>1176</v>
      </c>
      <c r="CG107" s="104" t="s">
        <v>1176</v>
      </c>
      <c r="CH107" s="104" t="s">
        <v>1176</v>
      </c>
      <c r="CI107" s="104" t="s">
        <v>1176</v>
      </c>
      <c r="CJ107" s="104" t="s">
        <v>1176</v>
      </c>
      <c r="CK107" s="104" t="s">
        <v>1176</v>
      </c>
      <c r="CL107" s="104" t="s">
        <v>1176</v>
      </c>
      <c r="CM107" s="104" t="s">
        <v>1176</v>
      </c>
      <c r="CN107" s="104" t="s">
        <v>1176</v>
      </c>
      <c r="CO107" s="104" t="s">
        <v>1176</v>
      </c>
    </row>
    <row r="108" s="102" customFormat="1" ht="15" spans="1:93">
      <c r="A108" s="104" t="s">
        <v>1508</v>
      </c>
      <c r="B108" s="104" t="s">
        <v>1146</v>
      </c>
      <c r="C108" s="104" t="s">
        <v>1147</v>
      </c>
      <c r="D108" s="104" t="s">
        <v>2064</v>
      </c>
      <c r="E108" s="104" t="s">
        <v>2065</v>
      </c>
      <c r="F108" s="104">
        <f t="shared" si="1"/>
        <v>2691</v>
      </c>
      <c r="G108" s="104" t="s">
        <v>2066</v>
      </c>
      <c r="H108" s="104" t="s">
        <v>1176</v>
      </c>
      <c r="I108" s="104" t="s">
        <v>1176</v>
      </c>
      <c r="J108" s="104" t="s">
        <v>1176</v>
      </c>
      <c r="K108" s="104" t="s">
        <v>1176</v>
      </c>
      <c r="L108" s="104" t="s">
        <v>2067</v>
      </c>
      <c r="M108" s="104" t="s">
        <v>2068</v>
      </c>
      <c r="N108" s="104" t="s">
        <v>1172</v>
      </c>
      <c r="O108" s="104" t="s">
        <v>1176</v>
      </c>
      <c r="P108" s="104" t="s">
        <v>1211</v>
      </c>
      <c r="Q108" s="104" t="s">
        <v>1176</v>
      </c>
      <c r="R108" s="104" t="s">
        <v>1176</v>
      </c>
      <c r="S108" s="104" t="s">
        <v>1176</v>
      </c>
      <c r="T108" s="104" t="s">
        <v>1176</v>
      </c>
      <c r="U108" s="104" t="s">
        <v>1172</v>
      </c>
      <c r="V108" s="104" t="s">
        <v>1492</v>
      </c>
      <c r="W108" s="104" t="s">
        <v>1176</v>
      </c>
      <c r="X108" s="104" t="s">
        <v>2069</v>
      </c>
      <c r="Y108" s="104" t="s">
        <v>1537</v>
      </c>
      <c r="Z108" s="104" t="s">
        <v>2070</v>
      </c>
      <c r="AA108" s="104" t="s">
        <v>1176</v>
      </c>
      <c r="AB108" s="104" t="s">
        <v>1176</v>
      </c>
      <c r="AC108" s="104" t="s">
        <v>1176</v>
      </c>
      <c r="AD108" s="104" t="s">
        <v>1176</v>
      </c>
      <c r="AE108" s="104" t="s">
        <v>1176</v>
      </c>
      <c r="AF108" s="104" t="s">
        <v>1176</v>
      </c>
      <c r="AG108" s="104" t="s">
        <v>1176</v>
      </c>
      <c r="AH108" s="104" t="s">
        <v>1176</v>
      </c>
      <c r="AI108" s="104" t="s">
        <v>1537</v>
      </c>
      <c r="AJ108" s="104" t="s">
        <v>2071</v>
      </c>
      <c r="AK108" s="104" t="s">
        <v>1176</v>
      </c>
      <c r="AL108" s="104" t="s">
        <v>1243</v>
      </c>
      <c r="AM108" s="104" t="s">
        <v>1176</v>
      </c>
      <c r="AN108" s="104" t="s">
        <v>1176</v>
      </c>
      <c r="AO108" s="104" t="s">
        <v>1176</v>
      </c>
      <c r="AP108" s="104" t="s">
        <v>1176</v>
      </c>
      <c r="AQ108" s="104" t="s">
        <v>1176</v>
      </c>
      <c r="AR108" s="104" t="s">
        <v>1176</v>
      </c>
      <c r="AS108" s="104" t="s">
        <v>1176</v>
      </c>
      <c r="AT108" s="104" t="s">
        <v>1176</v>
      </c>
      <c r="AU108" s="104" t="s">
        <v>1176</v>
      </c>
      <c r="AV108" s="104" t="s">
        <v>1176</v>
      </c>
      <c r="AW108" s="104" t="s">
        <v>1176</v>
      </c>
      <c r="AX108" s="104" t="s">
        <v>1176</v>
      </c>
      <c r="AY108" s="104" t="s">
        <v>1176</v>
      </c>
      <c r="AZ108" s="104" t="s">
        <v>1176</v>
      </c>
      <c r="BA108" s="104" t="s">
        <v>1176</v>
      </c>
      <c r="BB108" s="104" t="s">
        <v>1176</v>
      </c>
      <c r="BC108" s="104" t="s">
        <v>1176</v>
      </c>
      <c r="BD108" s="104" t="s">
        <v>1176</v>
      </c>
      <c r="BE108" s="104" t="s">
        <v>1176</v>
      </c>
      <c r="BF108" s="104" t="s">
        <v>1176</v>
      </c>
      <c r="BG108" s="104" t="s">
        <v>1306</v>
      </c>
      <c r="BH108" s="104" t="s">
        <v>1306</v>
      </c>
      <c r="BI108" s="104" t="s">
        <v>1309</v>
      </c>
      <c r="BJ108" s="104" t="s">
        <v>1176</v>
      </c>
      <c r="BK108" s="104" t="s">
        <v>1176</v>
      </c>
      <c r="BL108" s="104" t="s">
        <v>1176</v>
      </c>
      <c r="BM108" s="104" t="s">
        <v>1176</v>
      </c>
      <c r="BN108" s="104" t="s">
        <v>1187</v>
      </c>
      <c r="BO108" s="104" t="s">
        <v>1187</v>
      </c>
      <c r="BP108" s="104" t="s">
        <v>1176</v>
      </c>
      <c r="BQ108" s="104" t="s">
        <v>1176</v>
      </c>
      <c r="BR108" s="104" t="s">
        <v>1172</v>
      </c>
      <c r="BS108" s="104" t="s">
        <v>1626</v>
      </c>
      <c r="BT108" s="104" t="s">
        <v>1188</v>
      </c>
      <c r="BU108" s="104" t="s">
        <v>1188</v>
      </c>
      <c r="BV108" s="104" t="s">
        <v>1176</v>
      </c>
      <c r="BW108" s="104" t="s">
        <v>1176</v>
      </c>
      <c r="BX108" s="104" t="s">
        <v>1201</v>
      </c>
      <c r="BY108" s="104" t="s">
        <v>1468</v>
      </c>
      <c r="BZ108" s="104" t="s">
        <v>1176</v>
      </c>
      <c r="CA108" s="104" t="s">
        <v>1176</v>
      </c>
      <c r="CB108" s="104" t="s">
        <v>1176</v>
      </c>
      <c r="CC108" s="104" t="s">
        <v>1176</v>
      </c>
      <c r="CD108" s="104" t="s">
        <v>1176</v>
      </c>
      <c r="CE108" s="104" t="s">
        <v>1176</v>
      </c>
      <c r="CF108" s="104" t="s">
        <v>1176</v>
      </c>
      <c r="CG108" s="104" t="s">
        <v>1176</v>
      </c>
      <c r="CH108" s="104" t="s">
        <v>1176</v>
      </c>
      <c r="CI108" s="104" t="s">
        <v>1176</v>
      </c>
      <c r="CJ108" s="104" t="s">
        <v>1176</v>
      </c>
      <c r="CK108" s="104" t="s">
        <v>1176</v>
      </c>
      <c r="CL108" s="104" t="s">
        <v>1176</v>
      </c>
      <c r="CM108" s="104" t="s">
        <v>1176</v>
      </c>
      <c r="CN108" s="104" t="s">
        <v>1176</v>
      </c>
      <c r="CO108" s="104" t="s">
        <v>1176</v>
      </c>
    </row>
    <row r="109" s="102" customFormat="1" ht="15" spans="1:93">
      <c r="A109" s="104" t="s">
        <v>2042</v>
      </c>
      <c r="B109" s="104" t="s">
        <v>1146</v>
      </c>
      <c r="C109" s="104" t="s">
        <v>1147</v>
      </c>
      <c r="D109" s="104" t="s">
        <v>2072</v>
      </c>
      <c r="E109" s="104" t="s">
        <v>2073</v>
      </c>
      <c r="F109" s="104">
        <f t="shared" si="1"/>
        <v>2996</v>
      </c>
      <c r="G109" s="104" t="s">
        <v>2074</v>
      </c>
      <c r="H109" s="104" t="s">
        <v>1176</v>
      </c>
      <c r="I109" s="104" t="s">
        <v>1176</v>
      </c>
      <c r="J109" s="104" t="s">
        <v>1176</v>
      </c>
      <c r="K109" s="104" t="s">
        <v>1176</v>
      </c>
      <c r="L109" s="104" t="s">
        <v>2075</v>
      </c>
      <c r="M109" s="104" t="s">
        <v>2076</v>
      </c>
      <c r="N109" s="104" t="s">
        <v>1180</v>
      </c>
      <c r="O109" s="104" t="s">
        <v>1176</v>
      </c>
      <c r="P109" s="104" t="s">
        <v>1187</v>
      </c>
      <c r="Q109" s="104" t="s">
        <v>1176</v>
      </c>
      <c r="R109" s="104" t="s">
        <v>1176</v>
      </c>
      <c r="S109" s="104" t="s">
        <v>1176</v>
      </c>
      <c r="T109" s="104" t="s">
        <v>1176</v>
      </c>
      <c r="U109" s="104" t="s">
        <v>1232</v>
      </c>
      <c r="V109" s="104" t="s">
        <v>1377</v>
      </c>
      <c r="W109" s="104" t="s">
        <v>1176</v>
      </c>
      <c r="X109" s="104" t="s">
        <v>2077</v>
      </c>
      <c r="Y109" s="104" t="s">
        <v>1266</v>
      </c>
      <c r="Z109" s="104" t="s">
        <v>2078</v>
      </c>
      <c r="AA109" s="104" t="s">
        <v>1176</v>
      </c>
      <c r="AB109" s="104" t="s">
        <v>1176</v>
      </c>
      <c r="AC109" s="104" t="s">
        <v>1176</v>
      </c>
      <c r="AD109" s="104" t="s">
        <v>1176</v>
      </c>
      <c r="AE109" s="104" t="s">
        <v>1176</v>
      </c>
      <c r="AF109" s="104" t="s">
        <v>1176</v>
      </c>
      <c r="AG109" s="104" t="s">
        <v>1176</v>
      </c>
      <c r="AH109" s="104" t="s">
        <v>1176</v>
      </c>
      <c r="AI109" s="104" t="s">
        <v>1839</v>
      </c>
      <c r="AJ109" s="104" t="s">
        <v>1682</v>
      </c>
      <c r="AK109" s="104" t="s">
        <v>1697</v>
      </c>
      <c r="AL109" s="104" t="s">
        <v>2079</v>
      </c>
      <c r="AM109" s="104" t="s">
        <v>1176</v>
      </c>
      <c r="AN109" s="104" t="s">
        <v>1232</v>
      </c>
      <c r="AO109" s="104" t="s">
        <v>1176</v>
      </c>
      <c r="AP109" s="104" t="s">
        <v>1176</v>
      </c>
      <c r="AQ109" s="104" t="s">
        <v>1176</v>
      </c>
      <c r="AR109" s="104" t="s">
        <v>1176</v>
      </c>
      <c r="AS109" s="104" t="s">
        <v>1176</v>
      </c>
      <c r="AT109" s="104" t="s">
        <v>1176</v>
      </c>
      <c r="AU109" s="104" t="s">
        <v>1176</v>
      </c>
      <c r="AV109" s="104" t="s">
        <v>1176</v>
      </c>
      <c r="AW109" s="104" t="s">
        <v>1176</v>
      </c>
      <c r="AX109" s="104" t="s">
        <v>1176</v>
      </c>
      <c r="AY109" s="104" t="s">
        <v>1176</v>
      </c>
      <c r="AZ109" s="104" t="s">
        <v>1176</v>
      </c>
      <c r="BA109" s="104" t="s">
        <v>1176</v>
      </c>
      <c r="BB109" s="104" t="s">
        <v>1176</v>
      </c>
      <c r="BC109" s="104" t="s">
        <v>1176</v>
      </c>
      <c r="BD109" s="104" t="s">
        <v>1176</v>
      </c>
      <c r="BE109" s="104" t="s">
        <v>1176</v>
      </c>
      <c r="BF109" s="104" t="s">
        <v>1176</v>
      </c>
      <c r="BG109" s="104" t="s">
        <v>1508</v>
      </c>
      <c r="BH109" s="104" t="s">
        <v>1508</v>
      </c>
      <c r="BI109" s="104" t="s">
        <v>2080</v>
      </c>
      <c r="BJ109" s="104" t="s">
        <v>1176</v>
      </c>
      <c r="BK109" s="104" t="s">
        <v>1176</v>
      </c>
      <c r="BL109" s="104" t="s">
        <v>1176</v>
      </c>
      <c r="BM109" s="104" t="s">
        <v>1176</v>
      </c>
      <c r="BN109" s="104" t="s">
        <v>1314</v>
      </c>
      <c r="BO109" s="104" t="s">
        <v>1314</v>
      </c>
      <c r="BP109" s="104" t="s">
        <v>1176</v>
      </c>
      <c r="BQ109" s="104" t="s">
        <v>1176</v>
      </c>
      <c r="BR109" s="104" t="s">
        <v>1176</v>
      </c>
      <c r="BS109" s="104" t="s">
        <v>1176</v>
      </c>
      <c r="BT109" s="104" t="s">
        <v>1264</v>
      </c>
      <c r="BU109" s="104" t="s">
        <v>2081</v>
      </c>
      <c r="BV109" s="104" t="s">
        <v>1176</v>
      </c>
      <c r="BW109" s="104" t="s">
        <v>1176</v>
      </c>
      <c r="BX109" s="104" t="s">
        <v>1176</v>
      </c>
      <c r="BY109" s="104" t="s">
        <v>1176</v>
      </c>
      <c r="BZ109" s="104" t="s">
        <v>1176</v>
      </c>
      <c r="CA109" s="104" t="s">
        <v>1176</v>
      </c>
      <c r="CB109" s="104" t="s">
        <v>1176</v>
      </c>
      <c r="CC109" s="104" t="s">
        <v>1176</v>
      </c>
      <c r="CD109" s="104" t="s">
        <v>1176</v>
      </c>
      <c r="CE109" s="104" t="s">
        <v>1176</v>
      </c>
      <c r="CF109" s="104" t="s">
        <v>1176</v>
      </c>
      <c r="CG109" s="104" t="s">
        <v>1176</v>
      </c>
      <c r="CH109" s="104" t="s">
        <v>1176</v>
      </c>
      <c r="CI109" s="104" t="s">
        <v>1176</v>
      </c>
      <c r="CJ109" s="104" t="s">
        <v>1176</v>
      </c>
      <c r="CK109" s="104" t="s">
        <v>1176</v>
      </c>
      <c r="CL109" s="104" t="s">
        <v>1176</v>
      </c>
      <c r="CM109" s="104" t="s">
        <v>1176</v>
      </c>
      <c r="CN109" s="104" t="s">
        <v>1176</v>
      </c>
      <c r="CO109" s="104" t="s">
        <v>1176</v>
      </c>
    </row>
    <row r="110" s="102" customFormat="1" ht="15" spans="1:93">
      <c r="A110" s="104" t="s">
        <v>1182</v>
      </c>
      <c r="B110" s="104" t="s">
        <v>1146</v>
      </c>
      <c r="C110" s="104" t="s">
        <v>1147</v>
      </c>
      <c r="D110" s="104" t="s">
        <v>2082</v>
      </c>
      <c r="E110" s="104" t="s">
        <v>2083</v>
      </c>
      <c r="F110" s="104">
        <f t="shared" si="1"/>
        <v>1665</v>
      </c>
      <c r="G110" s="104" t="s">
        <v>2084</v>
      </c>
      <c r="H110" s="104" t="s">
        <v>1176</v>
      </c>
      <c r="I110" s="104" t="s">
        <v>1176</v>
      </c>
      <c r="J110" s="104" t="s">
        <v>1176</v>
      </c>
      <c r="K110" s="104" t="s">
        <v>1176</v>
      </c>
      <c r="L110" s="104" t="s">
        <v>1629</v>
      </c>
      <c r="M110" s="104" t="s">
        <v>2085</v>
      </c>
      <c r="N110" s="104" t="s">
        <v>1176</v>
      </c>
      <c r="O110" s="104" t="s">
        <v>1176</v>
      </c>
      <c r="P110" s="104" t="s">
        <v>1187</v>
      </c>
      <c r="Q110" s="104" t="s">
        <v>1176</v>
      </c>
      <c r="R110" s="104" t="s">
        <v>1176</v>
      </c>
      <c r="S110" s="104" t="s">
        <v>1176</v>
      </c>
      <c r="T110" s="104" t="s">
        <v>1176</v>
      </c>
      <c r="U110" s="104" t="s">
        <v>1187</v>
      </c>
      <c r="V110" s="104" t="s">
        <v>1486</v>
      </c>
      <c r="W110" s="104" t="s">
        <v>1176</v>
      </c>
      <c r="X110" s="104" t="s">
        <v>2086</v>
      </c>
      <c r="Y110" s="104" t="s">
        <v>1645</v>
      </c>
      <c r="Z110" s="104" t="s">
        <v>2087</v>
      </c>
      <c r="AA110" s="104" t="s">
        <v>1176</v>
      </c>
      <c r="AB110" s="104" t="s">
        <v>1176</v>
      </c>
      <c r="AC110" s="104" t="s">
        <v>1176</v>
      </c>
      <c r="AD110" s="104" t="s">
        <v>1176</v>
      </c>
      <c r="AE110" s="104" t="s">
        <v>1176</v>
      </c>
      <c r="AF110" s="104" t="s">
        <v>1176</v>
      </c>
      <c r="AG110" s="104" t="s">
        <v>1176</v>
      </c>
      <c r="AH110" s="104" t="s">
        <v>1176</v>
      </c>
      <c r="AI110" s="104" t="s">
        <v>1323</v>
      </c>
      <c r="AJ110" s="104" t="s">
        <v>2088</v>
      </c>
      <c r="AK110" s="104" t="s">
        <v>2089</v>
      </c>
      <c r="AL110" s="104" t="s">
        <v>2090</v>
      </c>
      <c r="AM110" s="104" t="s">
        <v>1176</v>
      </c>
      <c r="AN110" s="104" t="s">
        <v>1187</v>
      </c>
      <c r="AO110" s="104" t="s">
        <v>1176</v>
      </c>
      <c r="AP110" s="104" t="s">
        <v>1176</v>
      </c>
      <c r="AQ110" s="104" t="s">
        <v>1176</v>
      </c>
      <c r="AR110" s="104" t="s">
        <v>1176</v>
      </c>
      <c r="AS110" s="104" t="s">
        <v>1176</v>
      </c>
      <c r="AT110" s="104" t="s">
        <v>1176</v>
      </c>
      <c r="AU110" s="104" t="s">
        <v>1176</v>
      </c>
      <c r="AV110" s="104" t="s">
        <v>1176</v>
      </c>
      <c r="AW110" s="104" t="s">
        <v>1176</v>
      </c>
      <c r="AX110" s="104" t="s">
        <v>1176</v>
      </c>
      <c r="AY110" s="104" t="s">
        <v>1176</v>
      </c>
      <c r="AZ110" s="104" t="s">
        <v>1176</v>
      </c>
      <c r="BA110" s="104" t="s">
        <v>1176</v>
      </c>
      <c r="BB110" s="104" t="s">
        <v>1176</v>
      </c>
      <c r="BC110" s="104" t="s">
        <v>1176</v>
      </c>
      <c r="BD110" s="104" t="s">
        <v>1176</v>
      </c>
      <c r="BE110" s="104" t="s">
        <v>1176</v>
      </c>
      <c r="BF110" s="104" t="s">
        <v>1176</v>
      </c>
      <c r="BG110" s="104" t="s">
        <v>1180</v>
      </c>
      <c r="BH110" s="104" t="s">
        <v>1180</v>
      </c>
      <c r="BI110" s="104" t="s">
        <v>1546</v>
      </c>
      <c r="BJ110" s="104" t="s">
        <v>1176</v>
      </c>
      <c r="BK110" s="104" t="s">
        <v>1176</v>
      </c>
      <c r="BL110" s="104" t="s">
        <v>1176</v>
      </c>
      <c r="BM110" s="104" t="s">
        <v>1176</v>
      </c>
      <c r="BN110" s="104" t="s">
        <v>1176</v>
      </c>
      <c r="BO110" s="104" t="s">
        <v>1176</v>
      </c>
      <c r="BP110" s="104" t="s">
        <v>1176</v>
      </c>
      <c r="BQ110" s="104" t="s">
        <v>1176</v>
      </c>
      <c r="BR110" s="104" t="s">
        <v>1176</v>
      </c>
      <c r="BS110" s="104" t="s">
        <v>1176</v>
      </c>
      <c r="BT110" s="104" t="s">
        <v>1180</v>
      </c>
      <c r="BU110" s="104" t="s">
        <v>1546</v>
      </c>
      <c r="BV110" s="104" t="s">
        <v>1176</v>
      </c>
      <c r="BW110" s="104" t="s">
        <v>1176</v>
      </c>
      <c r="BX110" s="104" t="s">
        <v>1176</v>
      </c>
      <c r="BY110" s="104" t="s">
        <v>1176</v>
      </c>
      <c r="BZ110" s="104" t="s">
        <v>1176</v>
      </c>
      <c r="CA110" s="104" t="s">
        <v>1176</v>
      </c>
      <c r="CB110" s="104" t="s">
        <v>1176</v>
      </c>
      <c r="CC110" s="104" t="s">
        <v>1176</v>
      </c>
      <c r="CD110" s="104" t="s">
        <v>1176</v>
      </c>
      <c r="CE110" s="104" t="s">
        <v>1176</v>
      </c>
      <c r="CF110" s="104" t="s">
        <v>1176</v>
      </c>
      <c r="CG110" s="104" t="s">
        <v>1176</v>
      </c>
      <c r="CH110" s="104" t="s">
        <v>1176</v>
      </c>
      <c r="CI110" s="104" t="s">
        <v>1176</v>
      </c>
      <c r="CJ110" s="104" t="s">
        <v>1176</v>
      </c>
      <c r="CK110" s="104" t="s">
        <v>1176</v>
      </c>
      <c r="CL110" s="104" t="s">
        <v>1176</v>
      </c>
      <c r="CM110" s="104" t="s">
        <v>1176</v>
      </c>
      <c r="CN110" s="104" t="s">
        <v>1176</v>
      </c>
      <c r="CO110" s="104" t="s">
        <v>1176</v>
      </c>
    </row>
    <row r="111" s="102" customFormat="1" ht="15" spans="1:93">
      <c r="A111" s="104" t="s">
        <v>1402</v>
      </c>
      <c r="B111" s="104" t="s">
        <v>1146</v>
      </c>
      <c r="C111" s="104" t="s">
        <v>1147</v>
      </c>
      <c r="D111" s="104" t="s">
        <v>2091</v>
      </c>
      <c r="E111" s="104" t="s">
        <v>2092</v>
      </c>
      <c r="F111" s="104">
        <f t="shared" si="1"/>
        <v>2669</v>
      </c>
      <c r="G111" s="104" t="s">
        <v>2093</v>
      </c>
      <c r="H111" s="104" t="s">
        <v>1176</v>
      </c>
      <c r="I111" s="104" t="s">
        <v>1176</v>
      </c>
      <c r="J111" s="104" t="s">
        <v>1176</v>
      </c>
      <c r="K111" s="104" t="s">
        <v>1176</v>
      </c>
      <c r="L111" s="104" t="s">
        <v>2094</v>
      </c>
      <c r="M111" s="104" t="s">
        <v>2095</v>
      </c>
      <c r="N111" s="104" t="s">
        <v>1232</v>
      </c>
      <c r="O111" s="104" t="s">
        <v>1176</v>
      </c>
      <c r="P111" s="104" t="s">
        <v>1176</v>
      </c>
      <c r="Q111" s="104" t="s">
        <v>1176</v>
      </c>
      <c r="R111" s="104" t="s">
        <v>1176</v>
      </c>
      <c r="S111" s="104" t="s">
        <v>1176</v>
      </c>
      <c r="T111" s="104" t="s">
        <v>1176</v>
      </c>
      <c r="U111" s="104" t="s">
        <v>1172</v>
      </c>
      <c r="V111" s="104" t="s">
        <v>2096</v>
      </c>
      <c r="W111" s="104" t="s">
        <v>1176</v>
      </c>
      <c r="X111" s="104" t="s">
        <v>1533</v>
      </c>
      <c r="Y111" s="104" t="s">
        <v>1180</v>
      </c>
      <c r="Z111" s="104" t="s">
        <v>1820</v>
      </c>
      <c r="AA111" s="104" t="s">
        <v>1176</v>
      </c>
      <c r="AB111" s="104" t="s">
        <v>1176</v>
      </c>
      <c r="AC111" s="104" t="s">
        <v>1176</v>
      </c>
      <c r="AD111" s="104" t="s">
        <v>1176</v>
      </c>
      <c r="AE111" s="104" t="s">
        <v>1176</v>
      </c>
      <c r="AF111" s="104" t="s">
        <v>1176</v>
      </c>
      <c r="AG111" s="104" t="s">
        <v>1176</v>
      </c>
      <c r="AH111" s="104" t="s">
        <v>1176</v>
      </c>
      <c r="AI111" s="104" t="s">
        <v>1176</v>
      </c>
      <c r="AJ111" s="104" t="s">
        <v>1176</v>
      </c>
      <c r="AK111" s="104" t="s">
        <v>1180</v>
      </c>
      <c r="AL111" s="104" t="s">
        <v>1820</v>
      </c>
      <c r="AM111" s="104" t="s">
        <v>1176</v>
      </c>
      <c r="AN111" s="104" t="s">
        <v>1176</v>
      </c>
      <c r="AO111" s="104" t="s">
        <v>1176</v>
      </c>
      <c r="AP111" s="104" t="s">
        <v>1176</v>
      </c>
      <c r="AQ111" s="104" t="s">
        <v>1176</v>
      </c>
      <c r="AR111" s="104" t="s">
        <v>1176</v>
      </c>
      <c r="AS111" s="104" t="s">
        <v>1176</v>
      </c>
      <c r="AT111" s="104" t="s">
        <v>1176</v>
      </c>
      <c r="AU111" s="104" t="s">
        <v>1176</v>
      </c>
      <c r="AV111" s="104" t="s">
        <v>1176</v>
      </c>
      <c r="AW111" s="104" t="s">
        <v>1176</v>
      </c>
      <c r="AX111" s="104" t="s">
        <v>1176</v>
      </c>
      <c r="AY111" s="104" t="s">
        <v>1176</v>
      </c>
      <c r="AZ111" s="104" t="s">
        <v>1176</v>
      </c>
      <c r="BA111" s="104" t="s">
        <v>1176</v>
      </c>
      <c r="BB111" s="104" t="s">
        <v>1176</v>
      </c>
      <c r="BC111" s="104" t="s">
        <v>1176</v>
      </c>
      <c r="BD111" s="104" t="s">
        <v>1176</v>
      </c>
      <c r="BE111" s="104" t="s">
        <v>1176</v>
      </c>
      <c r="BF111" s="104" t="s">
        <v>1176</v>
      </c>
      <c r="BG111" s="104" t="s">
        <v>1429</v>
      </c>
      <c r="BH111" s="104" t="s">
        <v>1429</v>
      </c>
      <c r="BI111" s="104" t="s">
        <v>2097</v>
      </c>
      <c r="BJ111" s="104" t="s">
        <v>1176</v>
      </c>
      <c r="BK111" s="104" t="s">
        <v>1176</v>
      </c>
      <c r="BL111" s="104" t="s">
        <v>1176</v>
      </c>
      <c r="BM111" s="104" t="s">
        <v>1176</v>
      </c>
      <c r="BN111" s="104" t="s">
        <v>1176</v>
      </c>
      <c r="BO111" s="104" t="s">
        <v>1176</v>
      </c>
      <c r="BP111" s="104" t="s">
        <v>1176</v>
      </c>
      <c r="BQ111" s="104" t="s">
        <v>1176</v>
      </c>
      <c r="BR111" s="104" t="s">
        <v>1176</v>
      </c>
      <c r="BS111" s="104" t="s">
        <v>1176</v>
      </c>
      <c r="BT111" s="104" t="s">
        <v>1429</v>
      </c>
      <c r="BU111" s="104" t="s">
        <v>2097</v>
      </c>
      <c r="BV111" s="104" t="s">
        <v>1176</v>
      </c>
      <c r="BW111" s="104" t="s">
        <v>1176</v>
      </c>
      <c r="BX111" s="104" t="s">
        <v>1176</v>
      </c>
      <c r="BY111" s="104" t="s">
        <v>1176</v>
      </c>
      <c r="BZ111" s="104" t="s">
        <v>1176</v>
      </c>
      <c r="CA111" s="104" t="s">
        <v>1176</v>
      </c>
      <c r="CB111" s="104" t="s">
        <v>1176</v>
      </c>
      <c r="CC111" s="104" t="s">
        <v>1176</v>
      </c>
      <c r="CD111" s="104" t="s">
        <v>1176</v>
      </c>
      <c r="CE111" s="104" t="s">
        <v>1176</v>
      </c>
      <c r="CF111" s="104" t="s">
        <v>1176</v>
      </c>
      <c r="CG111" s="104" t="s">
        <v>1176</v>
      </c>
      <c r="CH111" s="104" t="s">
        <v>1176</v>
      </c>
      <c r="CI111" s="104" t="s">
        <v>1176</v>
      </c>
      <c r="CJ111" s="104" t="s">
        <v>1176</v>
      </c>
      <c r="CK111" s="104" t="s">
        <v>1176</v>
      </c>
      <c r="CL111" s="104" t="s">
        <v>1176</v>
      </c>
      <c r="CM111" s="104" t="s">
        <v>1176</v>
      </c>
      <c r="CN111" s="104" t="s">
        <v>1176</v>
      </c>
      <c r="CO111" s="104" t="s">
        <v>1176</v>
      </c>
    </row>
    <row r="112" s="102" customFormat="1" ht="15" spans="1:93">
      <c r="A112" s="104" t="s">
        <v>2098</v>
      </c>
      <c r="B112" s="104" t="s">
        <v>1146</v>
      </c>
      <c r="C112" s="104" t="s">
        <v>1147</v>
      </c>
      <c r="D112" s="104" t="s">
        <v>2099</v>
      </c>
      <c r="E112" s="104" t="s">
        <v>2100</v>
      </c>
      <c r="F112" s="104">
        <f t="shared" si="1"/>
        <v>343</v>
      </c>
      <c r="G112" s="104" t="s">
        <v>2101</v>
      </c>
      <c r="H112" s="104" t="s">
        <v>1176</v>
      </c>
      <c r="I112" s="104" t="s">
        <v>1176</v>
      </c>
      <c r="J112" s="104" t="s">
        <v>1176</v>
      </c>
      <c r="K112" s="104" t="s">
        <v>1176</v>
      </c>
      <c r="L112" s="104" t="s">
        <v>1196</v>
      </c>
      <c r="M112" s="104" t="s">
        <v>1352</v>
      </c>
      <c r="N112" s="104" t="s">
        <v>1176</v>
      </c>
      <c r="O112" s="104" t="s">
        <v>1176</v>
      </c>
      <c r="P112" s="104" t="s">
        <v>1176</v>
      </c>
      <c r="Q112" s="104" t="s">
        <v>1176</v>
      </c>
      <c r="R112" s="104" t="s">
        <v>1176</v>
      </c>
      <c r="S112" s="104" t="s">
        <v>1176</v>
      </c>
      <c r="T112" s="104" t="s">
        <v>1176</v>
      </c>
      <c r="U112" s="104" t="s">
        <v>1176</v>
      </c>
      <c r="V112" s="104" t="s">
        <v>1598</v>
      </c>
      <c r="W112" s="104" t="s">
        <v>1176</v>
      </c>
      <c r="X112" s="104" t="s">
        <v>2102</v>
      </c>
      <c r="Y112" s="104" t="s">
        <v>1182</v>
      </c>
      <c r="Z112" s="104" t="s">
        <v>2103</v>
      </c>
      <c r="AA112" s="104" t="s">
        <v>1176</v>
      </c>
      <c r="AB112" s="104" t="s">
        <v>1176</v>
      </c>
      <c r="AC112" s="104" t="s">
        <v>1176</v>
      </c>
      <c r="AD112" s="104" t="s">
        <v>1176</v>
      </c>
      <c r="AE112" s="104" t="s">
        <v>1176</v>
      </c>
      <c r="AF112" s="104" t="s">
        <v>1176</v>
      </c>
      <c r="AG112" s="104" t="s">
        <v>1176</v>
      </c>
      <c r="AH112" s="104" t="s">
        <v>1176</v>
      </c>
      <c r="AI112" s="104" t="s">
        <v>1172</v>
      </c>
      <c r="AJ112" s="104" t="s">
        <v>1223</v>
      </c>
      <c r="AK112" s="104" t="s">
        <v>2042</v>
      </c>
      <c r="AL112" s="104" t="s">
        <v>2104</v>
      </c>
      <c r="AM112" s="104" t="s">
        <v>1176</v>
      </c>
      <c r="AN112" s="104" t="s">
        <v>1176</v>
      </c>
      <c r="AO112" s="104" t="s">
        <v>1176</v>
      </c>
      <c r="AP112" s="104" t="s">
        <v>1176</v>
      </c>
      <c r="AQ112" s="104" t="s">
        <v>1176</v>
      </c>
      <c r="AR112" s="104" t="s">
        <v>1176</v>
      </c>
      <c r="AS112" s="104" t="s">
        <v>1176</v>
      </c>
      <c r="AT112" s="104" t="s">
        <v>1176</v>
      </c>
      <c r="AU112" s="104" t="s">
        <v>1176</v>
      </c>
      <c r="AV112" s="104" t="s">
        <v>1176</v>
      </c>
      <c r="AW112" s="104" t="s">
        <v>1176</v>
      </c>
      <c r="AX112" s="104" t="s">
        <v>1176</v>
      </c>
      <c r="AY112" s="104" t="s">
        <v>1176</v>
      </c>
      <c r="AZ112" s="104" t="s">
        <v>1176</v>
      </c>
      <c r="BA112" s="104" t="s">
        <v>1176</v>
      </c>
      <c r="BB112" s="104" t="s">
        <v>1176</v>
      </c>
      <c r="BC112" s="104" t="s">
        <v>1176</v>
      </c>
      <c r="BD112" s="104" t="s">
        <v>1176</v>
      </c>
      <c r="BE112" s="104" t="s">
        <v>1176</v>
      </c>
      <c r="BF112" s="104" t="s">
        <v>1176</v>
      </c>
      <c r="BG112" s="104" t="s">
        <v>1176</v>
      </c>
      <c r="BH112" s="104" t="s">
        <v>1176</v>
      </c>
      <c r="BI112" s="104" t="s">
        <v>1176</v>
      </c>
      <c r="BJ112" s="104" t="s">
        <v>1176</v>
      </c>
      <c r="BK112" s="104" t="s">
        <v>1176</v>
      </c>
      <c r="BL112" s="104" t="s">
        <v>1176</v>
      </c>
      <c r="BM112" s="104" t="s">
        <v>1176</v>
      </c>
      <c r="BN112" s="104" t="s">
        <v>1176</v>
      </c>
      <c r="BO112" s="104" t="s">
        <v>1176</v>
      </c>
      <c r="BP112" s="104" t="s">
        <v>1176</v>
      </c>
      <c r="BQ112" s="104" t="s">
        <v>1176</v>
      </c>
      <c r="BR112" s="104" t="s">
        <v>1176</v>
      </c>
      <c r="BS112" s="104" t="s">
        <v>1176</v>
      </c>
      <c r="BT112" s="104" t="s">
        <v>1176</v>
      </c>
      <c r="BU112" s="104" t="s">
        <v>1176</v>
      </c>
      <c r="BV112" s="104" t="s">
        <v>1176</v>
      </c>
      <c r="BW112" s="104" t="s">
        <v>1176</v>
      </c>
      <c r="BX112" s="104" t="s">
        <v>1176</v>
      </c>
      <c r="BY112" s="104" t="s">
        <v>1176</v>
      </c>
      <c r="BZ112" s="104" t="s">
        <v>1176</v>
      </c>
      <c r="CA112" s="104" t="s">
        <v>1176</v>
      </c>
      <c r="CB112" s="104" t="s">
        <v>1176</v>
      </c>
      <c r="CC112" s="104" t="s">
        <v>1176</v>
      </c>
      <c r="CD112" s="104" t="s">
        <v>1176</v>
      </c>
      <c r="CE112" s="104" t="s">
        <v>1176</v>
      </c>
      <c r="CF112" s="104" t="s">
        <v>1176</v>
      </c>
      <c r="CG112" s="104" t="s">
        <v>1176</v>
      </c>
      <c r="CH112" s="104" t="s">
        <v>1176</v>
      </c>
      <c r="CI112" s="104" t="s">
        <v>1176</v>
      </c>
      <c r="CJ112" s="104" t="s">
        <v>1176</v>
      </c>
      <c r="CK112" s="104" t="s">
        <v>1176</v>
      </c>
      <c r="CL112" s="104" t="s">
        <v>1176</v>
      </c>
      <c r="CM112" s="104" t="s">
        <v>1176</v>
      </c>
      <c r="CN112" s="104" t="s">
        <v>1176</v>
      </c>
      <c r="CO112" s="104" t="s">
        <v>1176</v>
      </c>
    </row>
    <row r="113" s="102" customFormat="1" ht="15" spans="1:93">
      <c r="A113" s="104" t="s">
        <v>2105</v>
      </c>
      <c r="B113" s="104" t="s">
        <v>1146</v>
      </c>
      <c r="C113" s="104" t="s">
        <v>1147</v>
      </c>
      <c r="D113" s="104" t="s">
        <v>2106</v>
      </c>
      <c r="E113" s="104" t="s">
        <v>2107</v>
      </c>
      <c r="F113" s="104">
        <f t="shared" si="1"/>
        <v>631</v>
      </c>
      <c r="G113" s="104" t="s">
        <v>1931</v>
      </c>
      <c r="H113" s="104" t="s">
        <v>1176</v>
      </c>
      <c r="I113" s="104" t="s">
        <v>1176</v>
      </c>
      <c r="J113" s="104" t="s">
        <v>1176</v>
      </c>
      <c r="K113" s="104" t="s">
        <v>1176</v>
      </c>
      <c r="L113" s="104" t="s">
        <v>1328</v>
      </c>
      <c r="M113" s="104" t="s">
        <v>2108</v>
      </c>
      <c r="N113" s="104" t="s">
        <v>1172</v>
      </c>
      <c r="O113" s="104" t="s">
        <v>1176</v>
      </c>
      <c r="P113" s="104" t="s">
        <v>1176</v>
      </c>
      <c r="Q113" s="104" t="s">
        <v>1176</v>
      </c>
      <c r="R113" s="104" t="s">
        <v>1176</v>
      </c>
      <c r="S113" s="104" t="s">
        <v>1176</v>
      </c>
      <c r="T113" s="104" t="s">
        <v>1176</v>
      </c>
      <c r="U113" s="104" t="s">
        <v>1176</v>
      </c>
      <c r="V113" s="104" t="s">
        <v>2019</v>
      </c>
      <c r="W113" s="104" t="s">
        <v>1176</v>
      </c>
      <c r="X113" s="104" t="s">
        <v>1176</v>
      </c>
      <c r="Y113" s="104" t="s">
        <v>1176</v>
      </c>
      <c r="Z113" s="104" t="s">
        <v>1176</v>
      </c>
      <c r="AA113" s="104" t="s">
        <v>1176</v>
      </c>
      <c r="AB113" s="104" t="s">
        <v>1176</v>
      </c>
      <c r="AC113" s="104" t="s">
        <v>1176</v>
      </c>
      <c r="AD113" s="104" t="s">
        <v>1176</v>
      </c>
      <c r="AE113" s="104" t="s">
        <v>1176</v>
      </c>
      <c r="AF113" s="104" t="s">
        <v>1176</v>
      </c>
      <c r="AG113" s="104" t="s">
        <v>1176</v>
      </c>
      <c r="AH113" s="104" t="s">
        <v>1176</v>
      </c>
      <c r="AI113" s="104" t="s">
        <v>1176</v>
      </c>
      <c r="AJ113" s="104" t="s">
        <v>1176</v>
      </c>
      <c r="AK113" s="104" t="s">
        <v>1176</v>
      </c>
      <c r="AL113" s="104" t="s">
        <v>1176</v>
      </c>
      <c r="AM113" s="104" t="s">
        <v>1176</v>
      </c>
      <c r="AN113" s="104" t="s">
        <v>1176</v>
      </c>
      <c r="AO113" s="104" t="s">
        <v>1176</v>
      </c>
      <c r="AP113" s="104" t="s">
        <v>1176</v>
      </c>
      <c r="AQ113" s="104" t="s">
        <v>1176</v>
      </c>
      <c r="AR113" s="104" t="s">
        <v>1176</v>
      </c>
      <c r="AS113" s="104" t="s">
        <v>1176</v>
      </c>
      <c r="AT113" s="104" t="s">
        <v>1176</v>
      </c>
      <c r="AU113" s="104" t="s">
        <v>1176</v>
      </c>
      <c r="AV113" s="104" t="s">
        <v>1176</v>
      </c>
      <c r="AW113" s="104" t="s">
        <v>1176</v>
      </c>
      <c r="AX113" s="104" t="s">
        <v>1176</v>
      </c>
      <c r="AY113" s="104" t="s">
        <v>1176</v>
      </c>
      <c r="AZ113" s="104" t="s">
        <v>1176</v>
      </c>
      <c r="BA113" s="104" t="s">
        <v>1176</v>
      </c>
      <c r="BB113" s="104" t="s">
        <v>1176</v>
      </c>
      <c r="BC113" s="104" t="s">
        <v>1176</v>
      </c>
      <c r="BD113" s="104" t="s">
        <v>1176</v>
      </c>
      <c r="BE113" s="104" t="s">
        <v>1176</v>
      </c>
      <c r="BF113" s="104" t="s">
        <v>1176</v>
      </c>
      <c r="BG113" s="104" t="s">
        <v>1626</v>
      </c>
      <c r="BH113" s="104" t="s">
        <v>1626</v>
      </c>
      <c r="BI113" s="104" t="s">
        <v>2109</v>
      </c>
      <c r="BJ113" s="104" t="s">
        <v>1188</v>
      </c>
      <c r="BK113" s="104" t="s">
        <v>1176</v>
      </c>
      <c r="BL113" s="104" t="s">
        <v>1176</v>
      </c>
      <c r="BM113" s="104" t="s">
        <v>1176</v>
      </c>
      <c r="BN113" s="104" t="s">
        <v>1537</v>
      </c>
      <c r="BO113" s="104" t="s">
        <v>1537</v>
      </c>
      <c r="BP113" s="104" t="s">
        <v>1176</v>
      </c>
      <c r="BQ113" s="104" t="s">
        <v>1176</v>
      </c>
      <c r="BR113" s="104" t="s">
        <v>1176</v>
      </c>
      <c r="BS113" s="104" t="s">
        <v>1176</v>
      </c>
      <c r="BT113" s="104" t="s">
        <v>1211</v>
      </c>
      <c r="BU113" s="104" t="s">
        <v>1870</v>
      </c>
      <c r="BV113" s="104" t="s">
        <v>1176</v>
      </c>
      <c r="BW113" s="104" t="s">
        <v>1176</v>
      </c>
      <c r="BX113" s="104" t="s">
        <v>1218</v>
      </c>
      <c r="BY113" s="104" t="s">
        <v>1221</v>
      </c>
      <c r="BZ113" s="104" t="s">
        <v>1176</v>
      </c>
      <c r="CA113" s="104" t="s">
        <v>1176</v>
      </c>
      <c r="CB113" s="104" t="s">
        <v>1176</v>
      </c>
      <c r="CC113" s="104" t="s">
        <v>1176</v>
      </c>
      <c r="CD113" s="104" t="s">
        <v>1176</v>
      </c>
      <c r="CE113" s="104" t="s">
        <v>1176</v>
      </c>
      <c r="CF113" s="104" t="s">
        <v>1176</v>
      </c>
      <c r="CG113" s="104" t="s">
        <v>1176</v>
      </c>
      <c r="CH113" s="104" t="s">
        <v>1176</v>
      </c>
      <c r="CI113" s="104" t="s">
        <v>1176</v>
      </c>
      <c r="CJ113" s="104" t="s">
        <v>1176</v>
      </c>
      <c r="CK113" s="104" t="s">
        <v>1176</v>
      </c>
      <c r="CL113" s="104" t="s">
        <v>1176</v>
      </c>
      <c r="CM113" s="104" t="s">
        <v>1176</v>
      </c>
      <c r="CN113" s="104" t="s">
        <v>1176</v>
      </c>
      <c r="CO113" s="104" t="s">
        <v>1176</v>
      </c>
    </row>
    <row r="114" s="102" customFormat="1" ht="15" spans="1:93">
      <c r="A114" s="104" t="s">
        <v>1894</v>
      </c>
      <c r="B114" s="104" t="s">
        <v>1146</v>
      </c>
      <c r="C114" s="104" t="s">
        <v>1147</v>
      </c>
      <c r="D114" s="104" t="s">
        <v>2110</v>
      </c>
      <c r="E114" s="104" t="s">
        <v>2111</v>
      </c>
      <c r="F114" s="104">
        <f t="shared" si="1"/>
        <v>2915</v>
      </c>
      <c r="G114" s="104" t="s">
        <v>2112</v>
      </c>
      <c r="H114" s="104" t="s">
        <v>1176</v>
      </c>
      <c r="I114" s="104" t="s">
        <v>1176</v>
      </c>
      <c r="J114" s="104" t="s">
        <v>1176</v>
      </c>
      <c r="K114" s="104" t="s">
        <v>1176</v>
      </c>
      <c r="L114" s="104" t="s">
        <v>2113</v>
      </c>
      <c r="M114" s="104" t="s">
        <v>2114</v>
      </c>
      <c r="N114" s="104" t="s">
        <v>1218</v>
      </c>
      <c r="O114" s="104" t="s">
        <v>1176</v>
      </c>
      <c r="P114" s="104" t="s">
        <v>1176</v>
      </c>
      <c r="Q114" s="104" t="s">
        <v>1176</v>
      </c>
      <c r="R114" s="104" t="s">
        <v>1176</v>
      </c>
      <c r="S114" s="104" t="s">
        <v>1176</v>
      </c>
      <c r="T114" s="104" t="s">
        <v>1176</v>
      </c>
      <c r="U114" s="104" t="s">
        <v>1180</v>
      </c>
      <c r="V114" s="104" t="s">
        <v>2115</v>
      </c>
      <c r="W114" s="104" t="s">
        <v>1176</v>
      </c>
      <c r="X114" s="104" t="s">
        <v>2116</v>
      </c>
      <c r="Y114" s="104" t="s">
        <v>2117</v>
      </c>
      <c r="Z114" s="104" t="s">
        <v>2118</v>
      </c>
      <c r="AA114" s="104" t="s">
        <v>1176</v>
      </c>
      <c r="AB114" s="104" t="s">
        <v>1176</v>
      </c>
      <c r="AC114" s="104" t="s">
        <v>1354</v>
      </c>
      <c r="AD114" s="104" t="s">
        <v>1355</v>
      </c>
      <c r="AE114" s="104" t="s">
        <v>1176</v>
      </c>
      <c r="AF114" s="104" t="s">
        <v>1176</v>
      </c>
      <c r="AG114" s="104" t="s">
        <v>1176</v>
      </c>
      <c r="AH114" s="104" t="s">
        <v>1176</v>
      </c>
      <c r="AI114" s="104" t="s">
        <v>1180</v>
      </c>
      <c r="AJ114" s="104" t="s">
        <v>2119</v>
      </c>
      <c r="AK114" s="104" t="s">
        <v>2120</v>
      </c>
      <c r="AL114" s="104" t="s">
        <v>2121</v>
      </c>
      <c r="AM114" s="104" t="s">
        <v>1176</v>
      </c>
      <c r="AN114" s="104" t="s">
        <v>1187</v>
      </c>
      <c r="AO114" s="104" t="s">
        <v>1176</v>
      </c>
      <c r="AP114" s="104" t="s">
        <v>1176</v>
      </c>
      <c r="AQ114" s="104" t="s">
        <v>1176</v>
      </c>
      <c r="AR114" s="104" t="s">
        <v>1176</v>
      </c>
      <c r="AS114" s="104" t="s">
        <v>1176</v>
      </c>
      <c r="AT114" s="104" t="s">
        <v>1176</v>
      </c>
      <c r="AU114" s="104" t="s">
        <v>1176</v>
      </c>
      <c r="AV114" s="104" t="s">
        <v>1176</v>
      </c>
      <c r="AW114" s="104" t="s">
        <v>1176</v>
      </c>
      <c r="AX114" s="104" t="s">
        <v>1176</v>
      </c>
      <c r="AY114" s="104" t="s">
        <v>1176</v>
      </c>
      <c r="AZ114" s="104" t="s">
        <v>1176</v>
      </c>
      <c r="BA114" s="104" t="s">
        <v>1176</v>
      </c>
      <c r="BB114" s="104" t="s">
        <v>1176</v>
      </c>
      <c r="BC114" s="104" t="s">
        <v>1176</v>
      </c>
      <c r="BD114" s="104" t="s">
        <v>1176</v>
      </c>
      <c r="BE114" s="104" t="s">
        <v>1176</v>
      </c>
      <c r="BF114" s="104" t="s">
        <v>1176</v>
      </c>
      <c r="BG114" s="104" t="s">
        <v>1364</v>
      </c>
      <c r="BH114" s="104" t="s">
        <v>1364</v>
      </c>
      <c r="BI114" s="104" t="s">
        <v>2122</v>
      </c>
      <c r="BJ114" s="104" t="s">
        <v>1172</v>
      </c>
      <c r="BK114" s="104" t="s">
        <v>1176</v>
      </c>
      <c r="BL114" s="104" t="s">
        <v>1176</v>
      </c>
      <c r="BM114" s="104" t="s">
        <v>1176</v>
      </c>
      <c r="BN114" s="104" t="s">
        <v>1176</v>
      </c>
      <c r="BO114" s="104" t="s">
        <v>1176</v>
      </c>
      <c r="BP114" s="104" t="s">
        <v>1176</v>
      </c>
      <c r="BQ114" s="104" t="s">
        <v>1176</v>
      </c>
      <c r="BR114" s="104" t="s">
        <v>1176</v>
      </c>
      <c r="BS114" s="104" t="s">
        <v>1176</v>
      </c>
      <c r="BT114" s="104" t="s">
        <v>1314</v>
      </c>
      <c r="BU114" s="104" t="s">
        <v>2123</v>
      </c>
      <c r="BV114" s="104" t="s">
        <v>1176</v>
      </c>
      <c r="BW114" s="104" t="s">
        <v>1176</v>
      </c>
      <c r="BX114" s="104" t="s">
        <v>1176</v>
      </c>
      <c r="BY114" s="104" t="s">
        <v>1176</v>
      </c>
      <c r="BZ114" s="104" t="s">
        <v>1176</v>
      </c>
      <c r="CA114" s="104" t="s">
        <v>1176</v>
      </c>
      <c r="CB114" s="104" t="s">
        <v>1176</v>
      </c>
      <c r="CC114" s="104" t="s">
        <v>1176</v>
      </c>
      <c r="CD114" s="104" t="s">
        <v>1176</v>
      </c>
      <c r="CE114" s="104" t="s">
        <v>1176</v>
      </c>
      <c r="CF114" s="104" t="s">
        <v>1176</v>
      </c>
      <c r="CG114" s="104" t="s">
        <v>1176</v>
      </c>
      <c r="CH114" s="104" t="s">
        <v>1176</v>
      </c>
      <c r="CI114" s="104" t="s">
        <v>1176</v>
      </c>
      <c r="CJ114" s="104" t="s">
        <v>1172</v>
      </c>
      <c r="CK114" s="104" t="s">
        <v>1172</v>
      </c>
      <c r="CL114" s="104" t="s">
        <v>1176</v>
      </c>
      <c r="CM114" s="104" t="s">
        <v>1176</v>
      </c>
      <c r="CN114" s="104" t="s">
        <v>1176</v>
      </c>
      <c r="CO114" s="104" t="s">
        <v>1176</v>
      </c>
    </row>
    <row r="115" s="102" customFormat="1" ht="15" spans="1:93">
      <c r="A115" s="104" t="s">
        <v>1498</v>
      </c>
      <c r="B115" s="104" t="s">
        <v>1146</v>
      </c>
      <c r="C115" s="104" t="s">
        <v>1147</v>
      </c>
      <c r="D115" s="104" t="s">
        <v>2124</v>
      </c>
      <c r="E115" s="104" t="s">
        <v>2125</v>
      </c>
      <c r="F115" s="104">
        <f t="shared" si="1"/>
        <v>1774</v>
      </c>
      <c r="G115" s="104" t="s">
        <v>2126</v>
      </c>
      <c r="H115" s="104" t="s">
        <v>1176</v>
      </c>
      <c r="I115" s="104" t="s">
        <v>1176</v>
      </c>
      <c r="J115" s="104" t="s">
        <v>1176</v>
      </c>
      <c r="K115" s="104" t="s">
        <v>1176</v>
      </c>
      <c r="L115" s="104" t="s">
        <v>1876</v>
      </c>
      <c r="M115" s="104" t="s">
        <v>2127</v>
      </c>
      <c r="N115" s="104" t="s">
        <v>1172</v>
      </c>
      <c r="O115" s="104" t="s">
        <v>1176</v>
      </c>
      <c r="P115" s="104" t="s">
        <v>1176</v>
      </c>
      <c r="Q115" s="104" t="s">
        <v>1176</v>
      </c>
      <c r="R115" s="104" t="s">
        <v>1176</v>
      </c>
      <c r="S115" s="104" t="s">
        <v>1176</v>
      </c>
      <c r="T115" s="104" t="s">
        <v>1176</v>
      </c>
      <c r="U115" s="104" t="s">
        <v>1187</v>
      </c>
      <c r="V115" s="104" t="s">
        <v>2128</v>
      </c>
      <c r="W115" s="104" t="s">
        <v>1176</v>
      </c>
      <c r="X115" s="104" t="s">
        <v>2129</v>
      </c>
      <c r="Y115" s="104" t="s">
        <v>2130</v>
      </c>
      <c r="Z115" s="104" t="s">
        <v>2131</v>
      </c>
      <c r="AA115" s="104" t="s">
        <v>1176</v>
      </c>
      <c r="AB115" s="104" t="s">
        <v>1176</v>
      </c>
      <c r="AC115" s="104" t="s">
        <v>1176</v>
      </c>
      <c r="AD115" s="104" t="s">
        <v>1176</v>
      </c>
      <c r="AE115" s="104" t="s">
        <v>1176</v>
      </c>
      <c r="AF115" s="104" t="s">
        <v>1176</v>
      </c>
      <c r="AG115" s="104" t="s">
        <v>1176</v>
      </c>
      <c r="AH115" s="104" t="s">
        <v>1176</v>
      </c>
      <c r="AI115" s="104" t="s">
        <v>1412</v>
      </c>
      <c r="AJ115" s="104" t="s">
        <v>2035</v>
      </c>
      <c r="AK115" s="104" t="s">
        <v>1309</v>
      </c>
      <c r="AL115" s="104" t="s">
        <v>2132</v>
      </c>
      <c r="AM115" s="104" t="s">
        <v>1176</v>
      </c>
      <c r="AN115" s="104" t="s">
        <v>1212</v>
      </c>
      <c r="AO115" s="104" t="s">
        <v>1176</v>
      </c>
      <c r="AP115" s="104" t="s">
        <v>1176</v>
      </c>
      <c r="AQ115" s="104" t="s">
        <v>1176</v>
      </c>
      <c r="AR115" s="104" t="s">
        <v>1176</v>
      </c>
      <c r="AS115" s="104" t="s">
        <v>1176</v>
      </c>
      <c r="AT115" s="104" t="s">
        <v>1176</v>
      </c>
      <c r="AU115" s="104" t="s">
        <v>1176</v>
      </c>
      <c r="AV115" s="104" t="s">
        <v>1176</v>
      </c>
      <c r="AW115" s="104" t="s">
        <v>1176</v>
      </c>
      <c r="AX115" s="104" t="s">
        <v>1176</v>
      </c>
      <c r="AY115" s="104" t="s">
        <v>1176</v>
      </c>
      <c r="AZ115" s="104" t="s">
        <v>1176</v>
      </c>
      <c r="BA115" s="104" t="s">
        <v>1176</v>
      </c>
      <c r="BB115" s="104" t="s">
        <v>1176</v>
      </c>
      <c r="BC115" s="104" t="s">
        <v>1176</v>
      </c>
      <c r="BD115" s="104" t="s">
        <v>1176</v>
      </c>
      <c r="BE115" s="104" t="s">
        <v>1176</v>
      </c>
      <c r="BF115" s="104" t="s">
        <v>1176</v>
      </c>
      <c r="BG115" s="104" t="s">
        <v>1203</v>
      </c>
      <c r="BH115" s="104" t="s">
        <v>1203</v>
      </c>
      <c r="BI115" s="104" t="s">
        <v>1203</v>
      </c>
      <c r="BJ115" s="104" t="s">
        <v>1176</v>
      </c>
      <c r="BK115" s="104" t="s">
        <v>1176</v>
      </c>
      <c r="BL115" s="104" t="s">
        <v>1176</v>
      </c>
      <c r="BM115" s="104" t="s">
        <v>1176</v>
      </c>
      <c r="BN115" s="104" t="s">
        <v>1176</v>
      </c>
      <c r="BO115" s="104" t="s">
        <v>1176</v>
      </c>
      <c r="BP115" s="104" t="s">
        <v>1176</v>
      </c>
      <c r="BQ115" s="104" t="s">
        <v>1176</v>
      </c>
      <c r="BR115" s="104" t="s">
        <v>1176</v>
      </c>
      <c r="BS115" s="104" t="s">
        <v>1176</v>
      </c>
      <c r="BT115" s="104" t="s">
        <v>1203</v>
      </c>
      <c r="BU115" s="104" t="s">
        <v>1203</v>
      </c>
      <c r="BV115" s="104" t="s">
        <v>1176</v>
      </c>
      <c r="BW115" s="104" t="s">
        <v>1176</v>
      </c>
      <c r="BX115" s="104" t="s">
        <v>1176</v>
      </c>
      <c r="BY115" s="104" t="s">
        <v>1176</v>
      </c>
      <c r="BZ115" s="104" t="s">
        <v>1176</v>
      </c>
      <c r="CA115" s="104" t="s">
        <v>1176</v>
      </c>
      <c r="CB115" s="104" t="s">
        <v>1176</v>
      </c>
      <c r="CC115" s="104" t="s">
        <v>1176</v>
      </c>
      <c r="CD115" s="104" t="s">
        <v>1176</v>
      </c>
      <c r="CE115" s="104" t="s">
        <v>1176</v>
      </c>
      <c r="CF115" s="104" t="s">
        <v>1176</v>
      </c>
      <c r="CG115" s="104" t="s">
        <v>1176</v>
      </c>
      <c r="CH115" s="104" t="s">
        <v>1176</v>
      </c>
      <c r="CI115" s="104" t="s">
        <v>1176</v>
      </c>
      <c r="CJ115" s="104" t="s">
        <v>1176</v>
      </c>
      <c r="CK115" s="104" t="s">
        <v>1176</v>
      </c>
      <c r="CL115" s="104" t="s">
        <v>1176</v>
      </c>
      <c r="CM115" s="104" t="s">
        <v>1176</v>
      </c>
      <c r="CN115" s="104" t="s">
        <v>1176</v>
      </c>
      <c r="CO115" s="104" t="s">
        <v>1176</v>
      </c>
    </row>
    <row r="116" s="102" customFormat="1" ht="15" spans="1:93">
      <c r="A116" s="104" t="s">
        <v>1617</v>
      </c>
      <c r="B116" s="104" t="s">
        <v>1146</v>
      </c>
      <c r="C116" s="104" t="s">
        <v>1147</v>
      </c>
      <c r="D116" s="104" t="s">
        <v>2133</v>
      </c>
      <c r="E116" s="104" t="s">
        <v>2134</v>
      </c>
      <c r="F116" s="104">
        <f t="shared" si="1"/>
        <v>6756</v>
      </c>
      <c r="G116" s="104" t="s">
        <v>2135</v>
      </c>
      <c r="H116" s="104" t="s">
        <v>1176</v>
      </c>
      <c r="I116" s="104" t="s">
        <v>1176</v>
      </c>
      <c r="J116" s="104" t="s">
        <v>1176</v>
      </c>
      <c r="K116" s="104" t="s">
        <v>1176</v>
      </c>
      <c r="L116" s="104" t="s">
        <v>2136</v>
      </c>
      <c r="M116" s="104" t="s">
        <v>2137</v>
      </c>
      <c r="N116" s="104" t="s">
        <v>1187</v>
      </c>
      <c r="O116" s="104" t="s">
        <v>1176</v>
      </c>
      <c r="P116" s="104" t="s">
        <v>1176</v>
      </c>
      <c r="Q116" s="104" t="s">
        <v>1176</v>
      </c>
      <c r="R116" s="104" t="s">
        <v>1176</v>
      </c>
      <c r="S116" s="104" t="s">
        <v>1176</v>
      </c>
      <c r="T116" s="104" t="s">
        <v>1176</v>
      </c>
      <c r="U116" s="104" t="s">
        <v>1172</v>
      </c>
      <c r="V116" s="104" t="s">
        <v>2138</v>
      </c>
      <c r="W116" s="104" t="s">
        <v>1176</v>
      </c>
      <c r="X116" s="104" t="s">
        <v>2139</v>
      </c>
      <c r="Y116" s="104" t="s">
        <v>1323</v>
      </c>
      <c r="Z116" s="104" t="s">
        <v>1845</v>
      </c>
      <c r="AA116" s="104" t="s">
        <v>1176</v>
      </c>
      <c r="AB116" s="104" t="s">
        <v>1176</v>
      </c>
      <c r="AC116" s="104" t="s">
        <v>1176</v>
      </c>
      <c r="AD116" s="104" t="s">
        <v>1176</v>
      </c>
      <c r="AE116" s="104" t="s">
        <v>1176</v>
      </c>
      <c r="AF116" s="104" t="s">
        <v>1176</v>
      </c>
      <c r="AG116" s="104" t="s">
        <v>1176</v>
      </c>
      <c r="AH116" s="104" t="s">
        <v>1176</v>
      </c>
      <c r="AI116" s="104" t="s">
        <v>1323</v>
      </c>
      <c r="AJ116" s="104" t="s">
        <v>1845</v>
      </c>
      <c r="AK116" s="104" t="s">
        <v>1176</v>
      </c>
      <c r="AL116" s="104" t="s">
        <v>1176</v>
      </c>
      <c r="AM116" s="104" t="s">
        <v>1176</v>
      </c>
      <c r="AN116" s="104" t="s">
        <v>1176</v>
      </c>
      <c r="AO116" s="104" t="s">
        <v>1176</v>
      </c>
      <c r="AP116" s="104" t="s">
        <v>1176</v>
      </c>
      <c r="AQ116" s="104" t="s">
        <v>1176</v>
      </c>
      <c r="AR116" s="104" t="s">
        <v>1176</v>
      </c>
      <c r="AS116" s="104" t="s">
        <v>1176</v>
      </c>
      <c r="AT116" s="104" t="s">
        <v>1176</v>
      </c>
      <c r="AU116" s="104" t="s">
        <v>1176</v>
      </c>
      <c r="AV116" s="104" t="s">
        <v>1176</v>
      </c>
      <c r="AW116" s="104" t="s">
        <v>1176</v>
      </c>
      <c r="AX116" s="104" t="s">
        <v>1176</v>
      </c>
      <c r="AY116" s="104" t="s">
        <v>1176</v>
      </c>
      <c r="AZ116" s="104" t="s">
        <v>1176</v>
      </c>
      <c r="BA116" s="104" t="s">
        <v>1176</v>
      </c>
      <c r="BB116" s="104" t="s">
        <v>1176</v>
      </c>
      <c r="BC116" s="104" t="s">
        <v>1176</v>
      </c>
      <c r="BD116" s="104" t="s">
        <v>1176</v>
      </c>
      <c r="BE116" s="104" t="s">
        <v>1176</v>
      </c>
      <c r="BF116" s="104" t="s">
        <v>1176</v>
      </c>
      <c r="BG116" s="104" t="s">
        <v>1218</v>
      </c>
      <c r="BH116" s="104" t="s">
        <v>1218</v>
      </c>
      <c r="BI116" s="104" t="s">
        <v>1456</v>
      </c>
      <c r="BJ116" s="104" t="s">
        <v>1176</v>
      </c>
      <c r="BK116" s="104" t="s">
        <v>1176</v>
      </c>
      <c r="BL116" s="104" t="s">
        <v>1176</v>
      </c>
      <c r="BM116" s="104" t="s">
        <v>1176</v>
      </c>
      <c r="BN116" s="104" t="s">
        <v>1176</v>
      </c>
      <c r="BO116" s="104" t="s">
        <v>1176</v>
      </c>
      <c r="BP116" s="104" t="s">
        <v>1176</v>
      </c>
      <c r="BQ116" s="104" t="s">
        <v>1176</v>
      </c>
      <c r="BR116" s="104" t="s">
        <v>1176</v>
      </c>
      <c r="BS116" s="104" t="s">
        <v>1176</v>
      </c>
      <c r="BT116" s="104" t="s">
        <v>1218</v>
      </c>
      <c r="BU116" s="104" t="s">
        <v>1456</v>
      </c>
      <c r="BV116" s="104" t="s">
        <v>1176</v>
      </c>
      <c r="BW116" s="104" t="s">
        <v>1176</v>
      </c>
      <c r="BX116" s="104" t="s">
        <v>1176</v>
      </c>
      <c r="BY116" s="104" t="s">
        <v>1176</v>
      </c>
      <c r="BZ116" s="104" t="s">
        <v>1176</v>
      </c>
      <c r="CA116" s="104" t="s">
        <v>1176</v>
      </c>
      <c r="CB116" s="104" t="s">
        <v>1176</v>
      </c>
      <c r="CC116" s="104" t="s">
        <v>1176</v>
      </c>
      <c r="CD116" s="104" t="s">
        <v>1176</v>
      </c>
      <c r="CE116" s="104" t="s">
        <v>1176</v>
      </c>
      <c r="CF116" s="104" t="s">
        <v>1176</v>
      </c>
      <c r="CG116" s="104" t="s">
        <v>1176</v>
      </c>
      <c r="CH116" s="104" t="s">
        <v>1176</v>
      </c>
      <c r="CI116" s="104" t="s">
        <v>1176</v>
      </c>
      <c r="CJ116" s="104" t="s">
        <v>1176</v>
      </c>
      <c r="CK116" s="104" t="s">
        <v>1176</v>
      </c>
      <c r="CL116" s="104" t="s">
        <v>1176</v>
      </c>
      <c r="CM116" s="104" t="s">
        <v>1176</v>
      </c>
      <c r="CN116" s="104" t="s">
        <v>1176</v>
      </c>
      <c r="CO116" s="104" t="s">
        <v>1176</v>
      </c>
    </row>
    <row r="117" s="102" customFormat="1" ht="15" spans="1:93">
      <c r="A117" s="104" t="s">
        <v>2140</v>
      </c>
      <c r="B117" s="104" t="s">
        <v>1146</v>
      </c>
      <c r="C117" s="104" t="s">
        <v>1147</v>
      </c>
      <c r="D117" s="104" t="s">
        <v>2141</v>
      </c>
      <c r="E117" s="104" t="s">
        <v>2142</v>
      </c>
      <c r="F117" s="104">
        <f t="shared" si="1"/>
        <v>3640</v>
      </c>
      <c r="G117" s="104" t="s">
        <v>2143</v>
      </c>
      <c r="H117" s="104" t="s">
        <v>1176</v>
      </c>
      <c r="I117" s="104" t="s">
        <v>1176</v>
      </c>
      <c r="J117" s="104" t="s">
        <v>1176</v>
      </c>
      <c r="K117" s="104" t="s">
        <v>1176</v>
      </c>
      <c r="L117" s="104" t="s">
        <v>1296</v>
      </c>
      <c r="M117" s="104" t="s">
        <v>2144</v>
      </c>
      <c r="N117" s="104" t="s">
        <v>1176</v>
      </c>
      <c r="O117" s="104" t="s">
        <v>1176</v>
      </c>
      <c r="P117" s="104" t="s">
        <v>1176</v>
      </c>
      <c r="Q117" s="104" t="s">
        <v>1176</v>
      </c>
      <c r="R117" s="104" t="s">
        <v>1176</v>
      </c>
      <c r="S117" s="104" t="s">
        <v>1176</v>
      </c>
      <c r="T117" s="104" t="s">
        <v>1176</v>
      </c>
      <c r="U117" s="104" t="s">
        <v>1187</v>
      </c>
      <c r="V117" s="104" t="s">
        <v>2145</v>
      </c>
      <c r="W117" s="104" t="s">
        <v>1176</v>
      </c>
      <c r="X117" s="104" t="s">
        <v>2146</v>
      </c>
      <c r="Y117" s="104" t="s">
        <v>1787</v>
      </c>
      <c r="Z117" s="104" t="s">
        <v>2147</v>
      </c>
      <c r="AA117" s="104" t="s">
        <v>1176</v>
      </c>
      <c r="AB117" s="104" t="s">
        <v>1176</v>
      </c>
      <c r="AC117" s="104" t="s">
        <v>1176</v>
      </c>
      <c r="AD117" s="104" t="s">
        <v>1176</v>
      </c>
      <c r="AE117" s="104" t="s">
        <v>1176</v>
      </c>
      <c r="AF117" s="104" t="s">
        <v>1176</v>
      </c>
      <c r="AG117" s="104" t="s">
        <v>1176</v>
      </c>
      <c r="AH117" s="104" t="s">
        <v>1176</v>
      </c>
      <c r="AI117" s="104" t="s">
        <v>1176</v>
      </c>
      <c r="AJ117" s="104" t="s">
        <v>1172</v>
      </c>
      <c r="AK117" s="104" t="s">
        <v>1787</v>
      </c>
      <c r="AL117" s="104" t="s">
        <v>2148</v>
      </c>
      <c r="AM117" s="104" t="s">
        <v>1176</v>
      </c>
      <c r="AN117" s="104" t="s">
        <v>1176</v>
      </c>
      <c r="AO117" s="104" t="s">
        <v>1176</v>
      </c>
      <c r="AP117" s="104" t="s">
        <v>1176</v>
      </c>
      <c r="AQ117" s="104" t="s">
        <v>1176</v>
      </c>
      <c r="AR117" s="104" t="s">
        <v>1176</v>
      </c>
      <c r="AS117" s="104" t="s">
        <v>1176</v>
      </c>
      <c r="AT117" s="104" t="s">
        <v>1176</v>
      </c>
      <c r="AU117" s="104" t="s">
        <v>1176</v>
      </c>
      <c r="AV117" s="104" t="s">
        <v>1176</v>
      </c>
      <c r="AW117" s="104" t="s">
        <v>1176</v>
      </c>
      <c r="AX117" s="104" t="s">
        <v>1176</v>
      </c>
      <c r="AY117" s="104" t="s">
        <v>1176</v>
      </c>
      <c r="AZ117" s="104" t="s">
        <v>1176</v>
      </c>
      <c r="BA117" s="104" t="s">
        <v>1176</v>
      </c>
      <c r="BB117" s="104" t="s">
        <v>1176</v>
      </c>
      <c r="BC117" s="104" t="s">
        <v>1176</v>
      </c>
      <c r="BD117" s="104" t="s">
        <v>1176</v>
      </c>
      <c r="BE117" s="104" t="s">
        <v>1176</v>
      </c>
      <c r="BF117" s="104" t="s">
        <v>1176</v>
      </c>
      <c r="BG117" s="104" t="s">
        <v>1176</v>
      </c>
      <c r="BH117" s="104" t="s">
        <v>1176</v>
      </c>
      <c r="BI117" s="104" t="s">
        <v>1176</v>
      </c>
      <c r="BJ117" s="104" t="s">
        <v>1176</v>
      </c>
      <c r="BK117" s="104" t="s">
        <v>1176</v>
      </c>
      <c r="BL117" s="104" t="s">
        <v>1176</v>
      </c>
      <c r="BM117" s="104" t="s">
        <v>1176</v>
      </c>
      <c r="BN117" s="104" t="s">
        <v>1176</v>
      </c>
      <c r="BO117" s="104" t="s">
        <v>1176</v>
      </c>
      <c r="BP117" s="104" t="s">
        <v>1176</v>
      </c>
      <c r="BQ117" s="104" t="s">
        <v>1176</v>
      </c>
      <c r="BR117" s="104" t="s">
        <v>1176</v>
      </c>
      <c r="BS117" s="104" t="s">
        <v>1176</v>
      </c>
      <c r="BT117" s="104" t="s">
        <v>1176</v>
      </c>
      <c r="BU117" s="104" t="s">
        <v>1176</v>
      </c>
      <c r="BV117" s="104" t="s">
        <v>1176</v>
      </c>
      <c r="BW117" s="104" t="s">
        <v>1176</v>
      </c>
      <c r="BX117" s="104" t="s">
        <v>1176</v>
      </c>
      <c r="BY117" s="104" t="s">
        <v>1176</v>
      </c>
      <c r="BZ117" s="104" t="s">
        <v>1176</v>
      </c>
      <c r="CA117" s="104" t="s">
        <v>1176</v>
      </c>
      <c r="CB117" s="104" t="s">
        <v>1176</v>
      </c>
      <c r="CC117" s="104" t="s">
        <v>1176</v>
      </c>
      <c r="CD117" s="104" t="s">
        <v>1176</v>
      </c>
      <c r="CE117" s="104" t="s">
        <v>1176</v>
      </c>
      <c r="CF117" s="104" t="s">
        <v>1176</v>
      </c>
      <c r="CG117" s="104" t="s">
        <v>1176</v>
      </c>
      <c r="CH117" s="104" t="s">
        <v>1176</v>
      </c>
      <c r="CI117" s="104" t="s">
        <v>1176</v>
      </c>
      <c r="CJ117" s="104" t="s">
        <v>1176</v>
      </c>
      <c r="CK117" s="104" t="s">
        <v>1176</v>
      </c>
      <c r="CL117" s="104" t="s">
        <v>1176</v>
      </c>
      <c r="CM117" s="104" t="s">
        <v>1176</v>
      </c>
      <c r="CN117" s="104" t="s">
        <v>1176</v>
      </c>
      <c r="CO117" s="104" t="s">
        <v>1176</v>
      </c>
    </row>
    <row r="118" s="102" customFormat="1" ht="15" spans="1:93">
      <c r="A118" s="104" t="s">
        <v>2019</v>
      </c>
      <c r="B118" s="104" t="s">
        <v>1146</v>
      </c>
      <c r="C118" s="104" t="s">
        <v>1147</v>
      </c>
      <c r="D118" s="104" t="s">
        <v>2149</v>
      </c>
      <c r="E118" s="104" t="s">
        <v>2150</v>
      </c>
      <c r="F118" s="104">
        <f t="shared" si="1"/>
        <v>1787</v>
      </c>
      <c r="G118" s="104" t="s">
        <v>1258</v>
      </c>
      <c r="H118" s="104" t="s">
        <v>1176</v>
      </c>
      <c r="I118" s="104" t="s">
        <v>1176</v>
      </c>
      <c r="J118" s="104" t="s">
        <v>1176</v>
      </c>
      <c r="K118" s="104" t="s">
        <v>1176</v>
      </c>
      <c r="L118" s="104" t="s">
        <v>1894</v>
      </c>
      <c r="M118" s="104" t="s">
        <v>2151</v>
      </c>
      <c r="N118" s="104" t="s">
        <v>1243</v>
      </c>
      <c r="O118" s="104" t="s">
        <v>1176</v>
      </c>
      <c r="P118" s="104" t="s">
        <v>1176</v>
      </c>
      <c r="Q118" s="104" t="s">
        <v>1176</v>
      </c>
      <c r="R118" s="104" t="s">
        <v>1176</v>
      </c>
      <c r="S118" s="104" t="s">
        <v>1176</v>
      </c>
      <c r="T118" s="104" t="s">
        <v>1176</v>
      </c>
      <c r="U118" s="104" t="s">
        <v>1187</v>
      </c>
      <c r="V118" s="104" t="s">
        <v>2152</v>
      </c>
      <c r="W118" s="104" t="s">
        <v>1176</v>
      </c>
      <c r="X118" s="104" t="s">
        <v>2153</v>
      </c>
      <c r="Y118" s="104" t="s">
        <v>2154</v>
      </c>
      <c r="Z118" s="104" t="s">
        <v>2155</v>
      </c>
      <c r="AA118" s="104" t="s">
        <v>1176</v>
      </c>
      <c r="AB118" s="104" t="s">
        <v>1176</v>
      </c>
      <c r="AC118" s="104" t="s">
        <v>1176</v>
      </c>
      <c r="AD118" s="104" t="s">
        <v>1176</v>
      </c>
      <c r="AE118" s="104" t="s">
        <v>1176</v>
      </c>
      <c r="AF118" s="104" t="s">
        <v>1176</v>
      </c>
      <c r="AG118" s="104" t="s">
        <v>1176</v>
      </c>
      <c r="AH118" s="104" t="s">
        <v>1176</v>
      </c>
      <c r="AI118" s="104" t="s">
        <v>1176</v>
      </c>
      <c r="AJ118" s="104" t="s">
        <v>1172</v>
      </c>
      <c r="AK118" s="104" t="s">
        <v>2154</v>
      </c>
      <c r="AL118" s="104" t="s">
        <v>2156</v>
      </c>
      <c r="AM118" s="104" t="s">
        <v>1176</v>
      </c>
      <c r="AN118" s="104" t="s">
        <v>1176</v>
      </c>
      <c r="AO118" s="104" t="s">
        <v>1176</v>
      </c>
      <c r="AP118" s="104" t="s">
        <v>1176</v>
      </c>
      <c r="AQ118" s="104" t="s">
        <v>1176</v>
      </c>
      <c r="AR118" s="104" t="s">
        <v>1176</v>
      </c>
      <c r="AS118" s="104" t="s">
        <v>1176</v>
      </c>
      <c r="AT118" s="104" t="s">
        <v>1176</v>
      </c>
      <c r="AU118" s="104" t="s">
        <v>1176</v>
      </c>
      <c r="AV118" s="104" t="s">
        <v>1176</v>
      </c>
      <c r="AW118" s="104" t="s">
        <v>1176</v>
      </c>
      <c r="AX118" s="104" t="s">
        <v>1176</v>
      </c>
      <c r="AY118" s="104" t="s">
        <v>1176</v>
      </c>
      <c r="AZ118" s="104" t="s">
        <v>1176</v>
      </c>
      <c r="BA118" s="104" t="s">
        <v>1176</v>
      </c>
      <c r="BB118" s="104" t="s">
        <v>1176</v>
      </c>
      <c r="BC118" s="104" t="s">
        <v>1176</v>
      </c>
      <c r="BD118" s="104" t="s">
        <v>1176</v>
      </c>
      <c r="BE118" s="104" t="s">
        <v>1176</v>
      </c>
      <c r="BF118" s="104" t="s">
        <v>1176</v>
      </c>
      <c r="BG118" s="104" t="s">
        <v>1412</v>
      </c>
      <c r="BH118" s="104" t="s">
        <v>1412</v>
      </c>
      <c r="BI118" s="104" t="s">
        <v>2157</v>
      </c>
      <c r="BJ118" s="104" t="s">
        <v>1176</v>
      </c>
      <c r="BK118" s="104" t="s">
        <v>1176</v>
      </c>
      <c r="BL118" s="104" t="s">
        <v>1176</v>
      </c>
      <c r="BM118" s="104" t="s">
        <v>1176</v>
      </c>
      <c r="BN118" s="104" t="s">
        <v>1172</v>
      </c>
      <c r="BO118" s="104" t="s">
        <v>1172</v>
      </c>
      <c r="BP118" s="104" t="s">
        <v>1176</v>
      </c>
      <c r="BQ118" s="104" t="s">
        <v>1176</v>
      </c>
      <c r="BR118" s="104" t="s">
        <v>1176</v>
      </c>
      <c r="BS118" s="104" t="s">
        <v>1176</v>
      </c>
      <c r="BT118" s="104" t="s">
        <v>1455</v>
      </c>
      <c r="BU118" s="104" t="s">
        <v>2158</v>
      </c>
      <c r="BV118" s="104" t="s">
        <v>1176</v>
      </c>
      <c r="BW118" s="104" t="s">
        <v>1176</v>
      </c>
      <c r="BX118" s="104" t="s">
        <v>1176</v>
      </c>
      <c r="BY118" s="104" t="s">
        <v>1176</v>
      </c>
      <c r="BZ118" s="104" t="s">
        <v>1176</v>
      </c>
      <c r="CA118" s="104" t="s">
        <v>1176</v>
      </c>
      <c r="CB118" s="104" t="s">
        <v>1176</v>
      </c>
      <c r="CC118" s="104" t="s">
        <v>1176</v>
      </c>
      <c r="CD118" s="104" t="s">
        <v>1176</v>
      </c>
      <c r="CE118" s="104" t="s">
        <v>1176</v>
      </c>
      <c r="CF118" s="104" t="s">
        <v>1176</v>
      </c>
      <c r="CG118" s="104" t="s">
        <v>1176</v>
      </c>
      <c r="CH118" s="104" t="s">
        <v>1176</v>
      </c>
      <c r="CI118" s="104" t="s">
        <v>1176</v>
      </c>
      <c r="CJ118" s="104" t="s">
        <v>1176</v>
      </c>
      <c r="CK118" s="104" t="s">
        <v>1176</v>
      </c>
      <c r="CL118" s="104" t="s">
        <v>1176</v>
      </c>
      <c r="CM118" s="104" t="s">
        <v>1176</v>
      </c>
      <c r="CN118" s="104" t="s">
        <v>1176</v>
      </c>
      <c r="CO118" s="104" t="s">
        <v>1176</v>
      </c>
    </row>
    <row r="119" s="102" customFormat="1" ht="15" spans="1:93">
      <c r="A119" s="104" t="s">
        <v>1925</v>
      </c>
      <c r="B119" s="104" t="s">
        <v>1146</v>
      </c>
      <c r="C119" s="104" t="s">
        <v>1147</v>
      </c>
      <c r="D119" s="104" t="s">
        <v>2159</v>
      </c>
      <c r="E119" s="104" t="s">
        <v>2160</v>
      </c>
      <c r="F119" s="104">
        <f t="shared" si="1"/>
        <v>4106</v>
      </c>
      <c r="G119" s="104" t="s">
        <v>2161</v>
      </c>
      <c r="H119" s="104" t="s">
        <v>1176</v>
      </c>
      <c r="I119" s="104" t="s">
        <v>1176</v>
      </c>
      <c r="J119" s="104" t="s">
        <v>1176</v>
      </c>
      <c r="K119" s="104" t="s">
        <v>1176</v>
      </c>
      <c r="L119" s="104" t="s">
        <v>2162</v>
      </c>
      <c r="M119" s="104" t="s">
        <v>2163</v>
      </c>
      <c r="N119" s="104" t="s">
        <v>1179</v>
      </c>
      <c r="O119" s="104" t="s">
        <v>1176</v>
      </c>
      <c r="P119" s="104" t="s">
        <v>1172</v>
      </c>
      <c r="Q119" s="104" t="s">
        <v>1176</v>
      </c>
      <c r="R119" s="104" t="s">
        <v>1176</v>
      </c>
      <c r="S119" s="104" t="s">
        <v>1176</v>
      </c>
      <c r="T119" s="104" t="s">
        <v>1176</v>
      </c>
      <c r="U119" s="104" t="s">
        <v>1179</v>
      </c>
      <c r="V119" s="104" t="s">
        <v>2164</v>
      </c>
      <c r="W119" s="104" t="s">
        <v>1176</v>
      </c>
      <c r="X119" s="104" t="s">
        <v>2165</v>
      </c>
      <c r="Y119" s="104" t="s">
        <v>2166</v>
      </c>
      <c r="Z119" s="104" t="s">
        <v>2167</v>
      </c>
      <c r="AA119" s="104" t="s">
        <v>1176</v>
      </c>
      <c r="AB119" s="104" t="s">
        <v>1176</v>
      </c>
      <c r="AC119" s="104" t="s">
        <v>1176</v>
      </c>
      <c r="AD119" s="104" t="s">
        <v>1176</v>
      </c>
      <c r="AE119" s="104" t="s">
        <v>1176</v>
      </c>
      <c r="AF119" s="104" t="s">
        <v>1176</v>
      </c>
      <c r="AG119" s="104" t="s">
        <v>1176</v>
      </c>
      <c r="AH119" s="104" t="s">
        <v>1176</v>
      </c>
      <c r="AI119" s="104" t="s">
        <v>1232</v>
      </c>
      <c r="AJ119" s="104" t="s">
        <v>1894</v>
      </c>
      <c r="AK119" s="104" t="s">
        <v>2168</v>
      </c>
      <c r="AL119" s="104" t="s">
        <v>2169</v>
      </c>
      <c r="AM119" s="104" t="s">
        <v>1176</v>
      </c>
      <c r="AN119" s="104" t="s">
        <v>1172</v>
      </c>
      <c r="AO119" s="104" t="s">
        <v>1176</v>
      </c>
      <c r="AP119" s="104" t="s">
        <v>1176</v>
      </c>
      <c r="AQ119" s="104" t="s">
        <v>1176</v>
      </c>
      <c r="AR119" s="104" t="s">
        <v>1176</v>
      </c>
      <c r="AS119" s="104" t="s">
        <v>1176</v>
      </c>
      <c r="AT119" s="104" t="s">
        <v>1176</v>
      </c>
      <c r="AU119" s="104" t="s">
        <v>1176</v>
      </c>
      <c r="AV119" s="104" t="s">
        <v>1176</v>
      </c>
      <c r="AW119" s="104" t="s">
        <v>1176</v>
      </c>
      <c r="AX119" s="104" t="s">
        <v>1176</v>
      </c>
      <c r="AY119" s="104" t="s">
        <v>1176</v>
      </c>
      <c r="AZ119" s="104" t="s">
        <v>1176</v>
      </c>
      <c r="BA119" s="104" t="s">
        <v>1176</v>
      </c>
      <c r="BB119" s="104" t="s">
        <v>1176</v>
      </c>
      <c r="BC119" s="104" t="s">
        <v>1176</v>
      </c>
      <c r="BD119" s="104" t="s">
        <v>1176</v>
      </c>
      <c r="BE119" s="104" t="s">
        <v>1176</v>
      </c>
      <c r="BF119" s="104" t="s">
        <v>1176</v>
      </c>
      <c r="BG119" s="104" t="s">
        <v>1299</v>
      </c>
      <c r="BH119" s="104" t="s">
        <v>1299</v>
      </c>
      <c r="BI119" s="104" t="s">
        <v>2170</v>
      </c>
      <c r="BJ119" s="104" t="s">
        <v>1176</v>
      </c>
      <c r="BK119" s="104" t="s">
        <v>1176</v>
      </c>
      <c r="BL119" s="104" t="s">
        <v>1176</v>
      </c>
      <c r="BM119" s="104" t="s">
        <v>1176</v>
      </c>
      <c r="BN119" s="104" t="s">
        <v>1176</v>
      </c>
      <c r="BO119" s="104" t="s">
        <v>1176</v>
      </c>
      <c r="BP119" s="104" t="s">
        <v>1176</v>
      </c>
      <c r="BQ119" s="104" t="s">
        <v>1176</v>
      </c>
      <c r="BR119" s="104" t="s">
        <v>1176</v>
      </c>
      <c r="BS119" s="104" t="s">
        <v>1176</v>
      </c>
      <c r="BT119" s="104" t="s">
        <v>1299</v>
      </c>
      <c r="BU119" s="104" t="s">
        <v>2170</v>
      </c>
      <c r="BV119" s="104" t="s">
        <v>1176</v>
      </c>
      <c r="BW119" s="104" t="s">
        <v>1176</v>
      </c>
      <c r="BX119" s="104" t="s">
        <v>1176</v>
      </c>
      <c r="BY119" s="104" t="s">
        <v>1176</v>
      </c>
      <c r="BZ119" s="104" t="s">
        <v>1176</v>
      </c>
      <c r="CA119" s="104" t="s">
        <v>1176</v>
      </c>
      <c r="CB119" s="104" t="s">
        <v>1176</v>
      </c>
      <c r="CC119" s="104" t="s">
        <v>1176</v>
      </c>
      <c r="CD119" s="104" t="s">
        <v>1176</v>
      </c>
      <c r="CE119" s="104" t="s">
        <v>1176</v>
      </c>
      <c r="CF119" s="104" t="s">
        <v>1176</v>
      </c>
      <c r="CG119" s="104" t="s">
        <v>1176</v>
      </c>
      <c r="CH119" s="104" t="s">
        <v>1176</v>
      </c>
      <c r="CI119" s="104" t="s">
        <v>1176</v>
      </c>
      <c r="CJ119" s="104" t="s">
        <v>1176</v>
      </c>
      <c r="CK119" s="104" t="s">
        <v>1176</v>
      </c>
      <c r="CL119" s="104" t="s">
        <v>1176</v>
      </c>
      <c r="CM119" s="104" t="s">
        <v>1176</v>
      </c>
      <c r="CN119" s="104" t="s">
        <v>1176</v>
      </c>
      <c r="CO119" s="104" t="s">
        <v>1176</v>
      </c>
    </row>
    <row r="120" s="102" customFormat="1" ht="15" spans="1:93">
      <c r="A120" s="104" t="s">
        <v>1370</v>
      </c>
      <c r="B120" s="104" t="s">
        <v>1146</v>
      </c>
      <c r="C120" s="104" t="s">
        <v>1147</v>
      </c>
      <c r="D120" s="104" t="s">
        <v>2171</v>
      </c>
      <c r="E120" s="104" t="s">
        <v>2172</v>
      </c>
      <c r="F120" s="104">
        <f t="shared" si="1"/>
        <v>910</v>
      </c>
      <c r="G120" s="104" t="s">
        <v>2173</v>
      </c>
      <c r="H120" s="104" t="s">
        <v>1176</v>
      </c>
      <c r="I120" s="104" t="s">
        <v>1176</v>
      </c>
      <c r="J120" s="104" t="s">
        <v>1176</v>
      </c>
      <c r="K120" s="104" t="s">
        <v>1176</v>
      </c>
      <c r="L120" s="104" t="s">
        <v>1476</v>
      </c>
      <c r="M120" s="104" t="s">
        <v>2174</v>
      </c>
      <c r="N120" s="104" t="s">
        <v>1172</v>
      </c>
      <c r="O120" s="104" t="s">
        <v>1176</v>
      </c>
      <c r="P120" s="104" t="s">
        <v>1176</v>
      </c>
      <c r="Q120" s="104" t="s">
        <v>1176</v>
      </c>
      <c r="R120" s="104" t="s">
        <v>1176</v>
      </c>
      <c r="S120" s="104" t="s">
        <v>1176</v>
      </c>
      <c r="T120" s="104" t="s">
        <v>1176</v>
      </c>
      <c r="U120" s="104" t="s">
        <v>1176</v>
      </c>
      <c r="V120" s="104" t="s">
        <v>1370</v>
      </c>
      <c r="W120" s="104" t="s">
        <v>1176</v>
      </c>
      <c r="X120" s="104" t="s">
        <v>2175</v>
      </c>
      <c r="Y120" s="104" t="s">
        <v>1216</v>
      </c>
      <c r="Z120" s="104" t="s">
        <v>2176</v>
      </c>
      <c r="AA120" s="104" t="s">
        <v>1176</v>
      </c>
      <c r="AB120" s="104" t="s">
        <v>1176</v>
      </c>
      <c r="AC120" s="104" t="s">
        <v>1176</v>
      </c>
      <c r="AD120" s="104" t="s">
        <v>1176</v>
      </c>
      <c r="AE120" s="104" t="s">
        <v>1176</v>
      </c>
      <c r="AF120" s="104" t="s">
        <v>1176</v>
      </c>
      <c r="AG120" s="104" t="s">
        <v>1176</v>
      </c>
      <c r="AH120" s="104" t="s">
        <v>1176</v>
      </c>
      <c r="AI120" s="104" t="s">
        <v>1412</v>
      </c>
      <c r="AJ120" s="104" t="s">
        <v>2177</v>
      </c>
      <c r="AK120" s="104" t="s">
        <v>2178</v>
      </c>
      <c r="AL120" s="104" t="s">
        <v>2179</v>
      </c>
      <c r="AM120" s="104" t="s">
        <v>1176</v>
      </c>
      <c r="AN120" s="104" t="s">
        <v>1232</v>
      </c>
      <c r="AO120" s="104" t="s">
        <v>1176</v>
      </c>
      <c r="AP120" s="104" t="s">
        <v>1176</v>
      </c>
      <c r="AQ120" s="104" t="s">
        <v>1176</v>
      </c>
      <c r="AR120" s="104" t="s">
        <v>1176</v>
      </c>
      <c r="AS120" s="104" t="s">
        <v>1176</v>
      </c>
      <c r="AT120" s="104" t="s">
        <v>1176</v>
      </c>
      <c r="AU120" s="104" t="s">
        <v>1176</v>
      </c>
      <c r="AV120" s="104" t="s">
        <v>1176</v>
      </c>
      <c r="AW120" s="104" t="s">
        <v>1176</v>
      </c>
      <c r="AX120" s="104" t="s">
        <v>1176</v>
      </c>
      <c r="AY120" s="104" t="s">
        <v>1176</v>
      </c>
      <c r="AZ120" s="104" t="s">
        <v>1176</v>
      </c>
      <c r="BA120" s="104" t="s">
        <v>1176</v>
      </c>
      <c r="BB120" s="104" t="s">
        <v>1176</v>
      </c>
      <c r="BC120" s="104" t="s">
        <v>1176</v>
      </c>
      <c r="BD120" s="104" t="s">
        <v>1176</v>
      </c>
      <c r="BE120" s="104" t="s">
        <v>1176</v>
      </c>
      <c r="BF120" s="104" t="s">
        <v>1176</v>
      </c>
      <c r="BG120" s="104" t="s">
        <v>1179</v>
      </c>
      <c r="BH120" s="104" t="s">
        <v>1179</v>
      </c>
      <c r="BI120" s="104" t="s">
        <v>1899</v>
      </c>
      <c r="BJ120" s="104" t="s">
        <v>1176</v>
      </c>
      <c r="BK120" s="104" t="s">
        <v>1176</v>
      </c>
      <c r="BL120" s="104" t="s">
        <v>1176</v>
      </c>
      <c r="BM120" s="104" t="s">
        <v>1176</v>
      </c>
      <c r="BN120" s="104" t="s">
        <v>1176</v>
      </c>
      <c r="BO120" s="104" t="s">
        <v>1176</v>
      </c>
      <c r="BP120" s="104" t="s">
        <v>1176</v>
      </c>
      <c r="BQ120" s="104" t="s">
        <v>1176</v>
      </c>
      <c r="BR120" s="104" t="s">
        <v>1176</v>
      </c>
      <c r="BS120" s="104" t="s">
        <v>1176</v>
      </c>
      <c r="BT120" s="104" t="s">
        <v>1179</v>
      </c>
      <c r="BU120" s="104" t="s">
        <v>1899</v>
      </c>
      <c r="BV120" s="104" t="s">
        <v>1176</v>
      </c>
      <c r="BW120" s="104" t="s">
        <v>1176</v>
      </c>
      <c r="BX120" s="104" t="s">
        <v>1176</v>
      </c>
      <c r="BY120" s="104" t="s">
        <v>1176</v>
      </c>
      <c r="BZ120" s="104" t="s">
        <v>1176</v>
      </c>
      <c r="CA120" s="104" t="s">
        <v>1176</v>
      </c>
      <c r="CB120" s="104" t="s">
        <v>1176</v>
      </c>
      <c r="CC120" s="104" t="s">
        <v>1176</v>
      </c>
      <c r="CD120" s="104" t="s">
        <v>1176</v>
      </c>
      <c r="CE120" s="104" t="s">
        <v>1176</v>
      </c>
      <c r="CF120" s="104" t="s">
        <v>1176</v>
      </c>
      <c r="CG120" s="104" t="s">
        <v>1176</v>
      </c>
      <c r="CH120" s="104" t="s">
        <v>1176</v>
      </c>
      <c r="CI120" s="104" t="s">
        <v>1176</v>
      </c>
      <c r="CJ120" s="104" t="s">
        <v>1176</v>
      </c>
      <c r="CK120" s="104" t="s">
        <v>1176</v>
      </c>
      <c r="CL120" s="104" t="s">
        <v>1176</v>
      </c>
      <c r="CM120" s="104" t="s">
        <v>1176</v>
      </c>
      <c r="CN120" s="104" t="s">
        <v>1176</v>
      </c>
      <c r="CO120" s="104" t="s">
        <v>1176</v>
      </c>
    </row>
    <row r="121" s="102" customFormat="1" ht="15" spans="1:93">
      <c r="A121" s="104" t="s">
        <v>1767</v>
      </c>
      <c r="B121" s="104" t="s">
        <v>1146</v>
      </c>
      <c r="C121" s="104" t="s">
        <v>1147</v>
      </c>
      <c r="D121" s="104" t="s">
        <v>2180</v>
      </c>
      <c r="E121" s="104" t="s">
        <v>2181</v>
      </c>
      <c r="F121" s="104">
        <f t="shared" si="1"/>
        <v>2528</v>
      </c>
      <c r="G121" s="104" t="s">
        <v>2181</v>
      </c>
      <c r="H121" s="104" t="s">
        <v>1176</v>
      </c>
      <c r="I121" s="104" t="s">
        <v>1176</v>
      </c>
      <c r="J121" s="104" t="s">
        <v>1176</v>
      </c>
      <c r="K121" s="104" t="s">
        <v>1176</v>
      </c>
      <c r="L121" s="104" t="s">
        <v>1299</v>
      </c>
      <c r="M121" s="104" t="s">
        <v>1600</v>
      </c>
      <c r="N121" s="104" t="s">
        <v>1176</v>
      </c>
      <c r="O121" s="104" t="s">
        <v>1176</v>
      </c>
      <c r="P121" s="104" t="s">
        <v>1176</v>
      </c>
      <c r="Q121" s="104" t="s">
        <v>1176</v>
      </c>
      <c r="R121" s="104" t="s">
        <v>1176</v>
      </c>
      <c r="S121" s="104" t="s">
        <v>1176</v>
      </c>
      <c r="T121" s="104" t="s">
        <v>1176</v>
      </c>
      <c r="U121" s="104" t="s">
        <v>1176</v>
      </c>
      <c r="V121" s="104" t="s">
        <v>2182</v>
      </c>
      <c r="W121" s="104" t="s">
        <v>1176</v>
      </c>
      <c r="X121" s="104" t="s">
        <v>1176</v>
      </c>
      <c r="Y121" s="104" t="s">
        <v>1176</v>
      </c>
      <c r="Z121" s="104" t="s">
        <v>1176</v>
      </c>
      <c r="AA121" s="104" t="s">
        <v>1176</v>
      </c>
      <c r="AB121" s="104" t="s">
        <v>1176</v>
      </c>
      <c r="AC121" s="104" t="s">
        <v>1176</v>
      </c>
      <c r="AD121" s="104" t="s">
        <v>1176</v>
      </c>
      <c r="AE121" s="104" t="s">
        <v>1176</v>
      </c>
      <c r="AF121" s="104" t="s">
        <v>1176</v>
      </c>
      <c r="AG121" s="104" t="s">
        <v>1176</v>
      </c>
      <c r="AH121" s="104" t="s">
        <v>1176</v>
      </c>
      <c r="AI121" s="104" t="s">
        <v>1176</v>
      </c>
      <c r="AJ121" s="104" t="s">
        <v>1176</v>
      </c>
      <c r="AK121" s="104" t="s">
        <v>1176</v>
      </c>
      <c r="AL121" s="104" t="s">
        <v>1176</v>
      </c>
      <c r="AM121" s="104" t="s">
        <v>1176</v>
      </c>
      <c r="AN121" s="104" t="s">
        <v>1176</v>
      </c>
      <c r="AO121" s="104" t="s">
        <v>1176</v>
      </c>
      <c r="AP121" s="104" t="s">
        <v>1176</v>
      </c>
      <c r="AQ121" s="104" t="s">
        <v>1176</v>
      </c>
      <c r="AR121" s="104" t="s">
        <v>1176</v>
      </c>
      <c r="AS121" s="104" t="s">
        <v>1176</v>
      </c>
      <c r="AT121" s="104" t="s">
        <v>1176</v>
      </c>
      <c r="AU121" s="104" t="s">
        <v>1176</v>
      </c>
      <c r="AV121" s="104" t="s">
        <v>1176</v>
      </c>
      <c r="AW121" s="104" t="s">
        <v>1176</v>
      </c>
      <c r="AX121" s="104" t="s">
        <v>1176</v>
      </c>
      <c r="AY121" s="104" t="s">
        <v>1176</v>
      </c>
      <c r="AZ121" s="104" t="s">
        <v>1176</v>
      </c>
      <c r="BA121" s="104" t="s">
        <v>1176</v>
      </c>
      <c r="BB121" s="104" t="s">
        <v>1176</v>
      </c>
      <c r="BC121" s="104" t="s">
        <v>1176</v>
      </c>
      <c r="BD121" s="104" t="s">
        <v>1176</v>
      </c>
      <c r="BE121" s="104" t="s">
        <v>1176</v>
      </c>
      <c r="BF121" s="104" t="s">
        <v>1176</v>
      </c>
      <c r="BG121" s="104" t="s">
        <v>1176</v>
      </c>
      <c r="BH121" s="104" t="s">
        <v>1176</v>
      </c>
      <c r="BI121" s="104" t="s">
        <v>1176</v>
      </c>
      <c r="BJ121" s="104" t="s">
        <v>1176</v>
      </c>
      <c r="BK121" s="104" t="s">
        <v>1176</v>
      </c>
      <c r="BL121" s="104" t="s">
        <v>1176</v>
      </c>
      <c r="BM121" s="104" t="s">
        <v>1176</v>
      </c>
      <c r="BN121" s="104" t="s">
        <v>1176</v>
      </c>
      <c r="BO121" s="104" t="s">
        <v>1176</v>
      </c>
      <c r="BP121" s="104" t="s">
        <v>1176</v>
      </c>
      <c r="BQ121" s="104" t="s">
        <v>1176</v>
      </c>
      <c r="BR121" s="104" t="s">
        <v>1176</v>
      </c>
      <c r="BS121" s="104" t="s">
        <v>1176</v>
      </c>
      <c r="BT121" s="104" t="s">
        <v>1176</v>
      </c>
      <c r="BU121" s="104" t="s">
        <v>1176</v>
      </c>
      <c r="BV121" s="104" t="s">
        <v>1176</v>
      </c>
      <c r="BW121" s="104" t="s">
        <v>1176</v>
      </c>
      <c r="BX121" s="104" t="s">
        <v>1176</v>
      </c>
      <c r="BY121" s="104" t="s">
        <v>1176</v>
      </c>
      <c r="BZ121" s="104" t="s">
        <v>1176</v>
      </c>
      <c r="CA121" s="104" t="s">
        <v>1176</v>
      </c>
      <c r="CB121" s="104" t="s">
        <v>1176</v>
      </c>
      <c r="CC121" s="104" t="s">
        <v>1176</v>
      </c>
      <c r="CD121" s="104" t="s">
        <v>1176</v>
      </c>
      <c r="CE121" s="104" t="s">
        <v>1176</v>
      </c>
      <c r="CF121" s="104" t="s">
        <v>1176</v>
      </c>
      <c r="CG121" s="104" t="s">
        <v>1176</v>
      </c>
      <c r="CH121" s="104" t="s">
        <v>1176</v>
      </c>
      <c r="CI121" s="104" t="s">
        <v>1176</v>
      </c>
      <c r="CJ121" s="104" t="s">
        <v>1176</v>
      </c>
      <c r="CK121" s="104" t="s">
        <v>1176</v>
      </c>
      <c r="CL121" s="104" t="s">
        <v>1176</v>
      </c>
      <c r="CM121" s="104" t="s">
        <v>1176</v>
      </c>
      <c r="CN121" s="104" t="s">
        <v>1176</v>
      </c>
      <c r="CO121" s="104" t="s">
        <v>1176</v>
      </c>
    </row>
    <row r="122" s="102" customFormat="1" ht="15" spans="1:93">
      <c r="A122" s="104" t="s">
        <v>1369</v>
      </c>
      <c r="B122" s="104" t="s">
        <v>1146</v>
      </c>
      <c r="C122" s="104" t="s">
        <v>1147</v>
      </c>
      <c r="D122" s="104" t="s">
        <v>2183</v>
      </c>
      <c r="E122" s="104" t="s">
        <v>2184</v>
      </c>
      <c r="F122" s="104">
        <f t="shared" si="1"/>
        <v>2365</v>
      </c>
      <c r="G122" s="104" t="s">
        <v>2185</v>
      </c>
      <c r="H122" s="104" t="s">
        <v>1176</v>
      </c>
      <c r="I122" s="104" t="s">
        <v>1176</v>
      </c>
      <c r="J122" s="104" t="s">
        <v>1176</v>
      </c>
      <c r="K122" s="104" t="s">
        <v>1176</v>
      </c>
      <c r="L122" s="104" t="s">
        <v>1284</v>
      </c>
      <c r="M122" s="104" t="s">
        <v>2186</v>
      </c>
      <c r="N122" s="104" t="s">
        <v>1172</v>
      </c>
      <c r="O122" s="104" t="s">
        <v>1176</v>
      </c>
      <c r="P122" s="104" t="s">
        <v>1176</v>
      </c>
      <c r="Q122" s="104" t="s">
        <v>1176</v>
      </c>
      <c r="R122" s="104" t="s">
        <v>1176</v>
      </c>
      <c r="S122" s="104" t="s">
        <v>1176</v>
      </c>
      <c r="T122" s="104" t="s">
        <v>1176</v>
      </c>
      <c r="U122" s="104" t="s">
        <v>1212</v>
      </c>
      <c r="V122" s="104" t="s">
        <v>2187</v>
      </c>
      <c r="W122" s="104" t="s">
        <v>1176</v>
      </c>
      <c r="X122" s="104" t="s">
        <v>2188</v>
      </c>
      <c r="Y122" s="104" t="s">
        <v>1549</v>
      </c>
      <c r="Z122" s="104" t="s">
        <v>2189</v>
      </c>
      <c r="AA122" s="104" t="s">
        <v>1176</v>
      </c>
      <c r="AB122" s="104" t="s">
        <v>1176</v>
      </c>
      <c r="AC122" s="104" t="s">
        <v>1176</v>
      </c>
      <c r="AD122" s="104" t="s">
        <v>1176</v>
      </c>
      <c r="AE122" s="104" t="s">
        <v>1176</v>
      </c>
      <c r="AF122" s="104" t="s">
        <v>1176</v>
      </c>
      <c r="AG122" s="104" t="s">
        <v>1176</v>
      </c>
      <c r="AH122" s="104" t="s">
        <v>1176</v>
      </c>
      <c r="AI122" s="104" t="s">
        <v>1187</v>
      </c>
      <c r="AJ122" s="104" t="s">
        <v>1442</v>
      </c>
      <c r="AK122" s="104" t="s">
        <v>1598</v>
      </c>
      <c r="AL122" s="104" t="s">
        <v>2190</v>
      </c>
      <c r="AM122" s="104" t="s">
        <v>1176</v>
      </c>
      <c r="AN122" s="104" t="s">
        <v>1176</v>
      </c>
      <c r="AO122" s="104" t="s">
        <v>1176</v>
      </c>
      <c r="AP122" s="104" t="s">
        <v>1176</v>
      </c>
      <c r="AQ122" s="104" t="s">
        <v>1176</v>
      </c>
      <c r="AR122" s="104" t="s">
        <v>1176</v>
      </c>
      <c r="AS122" s="104" t="s">
        <v>1176</v>
      </c>
      <c r="AT122" s="104" t="s">
        <v>1176</v>
      </c>
      <c r="AU122" s="104" t="s">
        <v>1172</v>
      </c>
      <c r="AV122" s="104" t="s">
        <v>1367</v>
      </c>
      <c r="AW122" s="104" t="s">
        <v>1176</v>
      </c>
      <c r="AX122" s="104" t="s">
        <v>1176</v>
      </c>
      <c r="AY122" s="104" t="s">
        <v>1176</v>
      </c>
      <c r="AZ122" s="104" t="s">
        <v>1176</v>
      </c>
      <c r="BA122" s="104" t="s">
        <v>1176</v>
      </c>
      <c r="BB122" s="104" t="s">
        <v>1176</v>
      </c>
      <c r="BC122" s="104" t="s">
        <v>1176</v>
      </c>
      <c r="BD122" s="104" t="s">
        <v>1176</v>
      </c>
      <c r="BE122" s="104" t="s">
        <v>1176</v>
      </c>
      <c r="BF122" s="104" t="s">
        <v>1176</v>
      </c>
      <c r="BG122" s="104" t="s">
        <v>1176</v>
      </c>
      <c r="BH122" s="104" t="s">
        <v>1176</v>
      </c>
      <c r="BI122" s="104" t="s">
        <v>1176</v>
      </c>
      <c r="BJ122" s="104" t="s">
        <v>1176</v>
      </c>
      <c r="BK122" s="104" t="s">
        <v>1176</v>
      </c>
      <c r="BL122" s="104" t="s">
        <v>1176</v>
      </c>
      <c r="BM122" s="104" t="s">
        <v>1176</v>
      </c>
      <c r="BN122" s="104" t="s">
        <v>1176</v>
      </c>
      <c r="BO122" s="104" t="s">
        <v>1176</v>
      </c>
      <c r="BP122" s="104" t="s">
        <v>1176</v>
      </c>
      <c r="BQ122" s="104" t="s">
        <v>1176</v>
      </c>
      <c r="BR122" s="104" t="s">
        <v>1176</v>
      </c>
      <c r="BS122" s="104" t="s">
        <v>1176</v>
      </c>
      <c r="BT122" s="104" t="s">
        <v>1176</v>
      </c>
      <c r="BU122" s="104" t="s">
        <v>1176</v>
      </c>
      <c r="BV122" s="104" t="s">
        <v>1176</v>
      </c>
      <c r="BW122" s="104" t="s">
        <v>1176</v>
      </c>
      <c r="BX122" s="104" t="s">
        <v>1176</v>
      </c>
      <c r="BY122" s="104" t="s">
        <v>1176</v>
      </c>
      <c r="BZ122" s="104" t="s">
        <v>1176</v>
      </c>
      <c r="CA122" s="104" t="s">
        <v>1176</v>
      </c>
      <c r="CB122" s="104" t="s">
        <v>1176</v>
      </c>
      <c r="CC122" s="104" t="s">
        <v>1176</v>
      </c>
      <c r="CD122" s="104" t="s">
        <v>1176</v>
      </c>
      <c r="CE122" s="104" t="s">
        <v>1176</v>
      </c>
      <c r="CF122" s="104" t="s">
        <v>1176</v>
      </c>
      <c r="CG122" s="104" t="s">
        <v>1176</v>
      </c>
      <c r="CH122" s="104" t="s">
        <v>1176</v>
      </c>
      <c r="CI122" s="104" t="s">
        <v>1176</v>
      </c>
      <c r="CJ122" s="104" t="s">
        <v>1176</v>
      </c>
      <c r="CK122" s="104" t="s">
        <v>1176</v>
      </c>
      <c r="CL122" s="104" t="s">
        <v>1176</v>
      </c>
      <c r="CM122" s="104" t="s">
        <v>1176</v>
      </c>
      <c r="CN122" s="104" t="s">
        <v>1176</v>
      </c>
      <c r="CO122" s="104" t="s">
        <v>1176</v>
      </c>
    </row>
    <row r="123" s="102" customFormat="1" ht="15" spans="1:93">
      <c r="A123" s="104" t="s">
        <v>1320</v>
      </c>
      <c r="B123" s="104" t="s">
        <v>1146</v>
      </c>
      <c r="C123" s="104" t="s">
        <v>1147</v>
      </c>
      <c r="D123" s="104" t="s">
        <v>2191</v>
      </c>
      <c r="E123" s="104" t="s">
        <v>2192</v>
      </c>
      <c r="F123" s="104">
        <f t="shared" si="1"/>
        <v>6480</v>
      </c>
      <c r="G123" s="104" t="s">
        <v>2193</v>
      </c>
      <c r="H123" s="104" t="s">
        <v>1176</v>
      </c>
      <c r="I123" s="104" t="s">
        <v>1176</v>
      </c>
      <c r="J123" s="104" t="s">
        <v>1176</v>
      </c>
      <c r="K123" s="104" t="s">
        <v>1176</v>
      </c>
      <c r="L123" s="104" t="s">
        <v>2194</v>
      </c>
      <c r="M123" s="104" t="s">
        <v>2195</v>
      </c>
      <c r="N123" s="104" t="s">
        <v>1179</v>
      </c>
      <c r="O123" s="104" t="s">
        <v>1176</v>
      </c>
      <c r="P123" s="104" t="s">
        <v>1176</v>
      </c>
      <c r="Q123" s="104" t="s">
        <v>1176</v>
      </c>
      <c r="R123" s="104" t="s">
        <v>1176</v>
      </c>
      <c r="S123" s="104" t="s">
        <v>1176</v>
      </c>
      <c r="T123" s="104" t="s">
        <v>1176</v>
      </c>
      <c r="U123" s="104" t="s">
        <v>1201</v>
      </c>
      <c r="V123" s="104" t="s">
        <v>2196</v>
      </c>
      <c r="W123" s="104" t="s">
        <v>1176</v>
      </c>
      <c r="X123" s="104" t="s">
        <v>2197</v>
      </c>
      <c r="Y123" s="104" t="s">
        <v>1750</v>
      </c>
      <c r="Z123" s="104" t="s">
        <v>2198</v>
      </c>
      <c r="AA123" s="104" t="s">
        <v>1176</v>
      </c>
      <c r="AB123" s="104" t="s">
        <v>1176</v>
      </c>
      <c r="AC123" s="104" t="s">
        <v>1176</v>
      </c>
      <c r="AD123" s="104" t="s">
        <v>1176</v>
      </c>
      <c r="AE123" s="104" t="s">
        <v>1176</v>
      </c>
      <c r="AF123" s="104" t="s">
        <v>1176</v>
      </c>
      <c r="AG123" s="104" t="s">
        <v>1176</v>
      </c>
      <c r="AH123" s="104" t="s">
        <v>1176</v>
      </c>
      <c r="AI123" s="104" t="s">
        <v>1238</v>
      </c>
      <c r="AJ123" s="104" t="s">
        <v>1502</v>
      </c>
      <c r="AK123" s="104" t="s">
        <v>2199</v>
      </c>
      <c r="AL123" s="104" t="s">
        <v>2200</v>
      </c>
      <c r="AM123" s="104" t="s">
        <v>1176</v>
      </c>
      <c r="AN123" s="104" t="s">
        <v>1172</v>
      </c>
      <c r="AO123" s="104" t="s">
        <v>1176</v>
      </c>
      <c r="AP123" s="104" t="s">
        <v>1176</v>
      </c>
      <c r="AQ123" s="104" t="s">
        <v>1176</v>
      </c>
      <c r="AR123" s="104" t="s">
        <v>1176</v>
      </c>
      <c r="AS123" s="104" t="s">
        <v>1176</v>
      </c>
      <c r="AT123" s="104" t="s">
        <v>1176</v>
      </c>
      <c r="AU123" s="104" t="s">
        <v>1187</v>
      </c>
      <c r="AV123" s="104" t="s">
        <v>1187</v>
      </c>
      <c r="AW123" s="104" t="s">
        <v>1176</v>
      </c>
      <c r="AX123" s="104" t="s">
        <v>1176</v>
      </c>
      <c r="AY123" s="104" t="s">
        <v>1176</v>
      </c>
      <c r="AZ123" s="104" t="s">
        <v>1176</v>
      </c>
      <c r="BA123" s="104" t="s">
        <v>1176</v>
      </c>
      <c r="BB123" s="104" t="s">
        <v>1176</v>
      </c>
      <c r="BC123" s="104" t="s">
        <v>1176</v>
      </c>
      <c r="BD123" s="104" t="s">
        <v>1176</v>
      </c>
      <c r="BE123" s="104" t="s">
        <v>1176</v>
      </c>
      <c r="BF123" s="104" t="s">
        <v>1176</v>
      </c>
      <c r="BG123" s="104" t="s">
        <v>1176</v>
      </c>
      <c r="BH123" s="104" t="s">
        <v>1176</v>
      </c>
      <c r="BI123" s="104" t="s">
        <v>1176</v>
      </c>
      <c r="BJ123" s="104" t="s">
        <v>1176</v>
      </c>
      <c r="BK123" s="104" t="s">
        <v>1176</v>
      </c>
      <c r="BL123" s="104" t="s">
        <v>1176</v>
      </c>
      <c r="BM123" s="104" t="s">
        <v>1176</v>
      </c>
      <c r="BN123" s="104" t="s">
        <v>1176</v>
      </c>
      <c r="BO123" s="104" t="s">
        <v>1176</v>
      </c>
      <c r="BP123" s="104" t="s">
        <v>1176</v>
      </c>
      <c r="BQ123" s="104" t="s">
        <v>1176</v>
      </c>
      <c r="BR123" s="104" t="s">
        <v>1176</v>
      </c>
      <c r="BS123" s="104" t="s">
        <v>1176</v>
      </c>
      <c r="BT123" s="104" t="s">
        <v>1176</v>
      </c>
      <c r="BU123" s="104" t="s">
        <v>1176</v>
      </c>
      <c r="BV123" s="104" t="s">
        <v>1176</v>
      </c>
      <c r="BW123" s="104" t="s">
        <v>1176</v>
      </c>
      <c r="BX123" s="104" t="s">
        <v>1176</v>
      </c>
      <c r="BY123" s="104" t="s">
        <v>1176</v>
      </c>
      <c r="BZ123" s="104" t="s">
        <v>1176</v>
      </c>
      <c r="CA123" s="104" t="s">
        <v>1176</v>
      </c>
      <c r="CB123" s="104" t="s">
        <v>1176</v>
      </c>
      <c r="CC123" s="104" t="s">
        <v>1176</v>
      </c>
      <c r="CD123" s="104" t="s">
        <v>1176</v>
      </c>
      <c r="CE123" s="104" t="s">
        <v>1176</v>
      </c>
      <c r="CF123" s="104" t="s">
        <v>1176</v>
      </c>
      <c r="CG123" s="104" t="s">
        <v>1176</v>
      </c>
      <c r="CH123" s="104" t="s">
        <v>1176</v>
      </c>
      <c r="CI123" s="104" t="s">
        <v>1176</v>
      </c>
      <c r="CJ123" s="104" t="s">
        <v>1176</v>
      </c>
      <c r="CK123" s="104" t="s">
        <v>1176</v>
      </c>
      <c r="CL123" s="104" t="s">
        <v>1176</v>
      </c>
      <c r="CM123" s="104" t="s">
        <v>1176</v>
      </c>
      <c r="CN123" s="104" t="s">
        <v>1176</v>
      </c>
      <c r="CO123" s="104" t="s">
        <v>1176</v>
      </c>
    </row>
    <row r="124" s="102" customFormat="1" ht="15" spans="1:93">
      <c r="A124" s="104" t="s">
        <v>1227</v>
      </c>
      <c r="B124" s="104" t="s">
        <v>1146</v>
      </c>
      <c r="C124" s="104" t="s">
        <v>1147</v>
      </c>
      <c r="D124" s="104" t="s">
        <v>2201</v>
      </c>
      <c r="E124" s="104" t="s">
        <v>2202</v>
      </c>
      <c r="F124" s="104">
        <f t="shared" si="1"/>
        <v>4785</v>
      </c>
      <c r="G124" s="104" t="s">
        <v>2203</v>
      </c>
      <c r="H124" s="104" t="s">
        <v>1176</v>
      </c>
      <c r="I124" s="104" t="s">
        <v>1176</v>
      </c>
      <c r="J124" s="104" t="s">
        <v>1176</v>
      </c>
      <c r="K124" s="104" t="s">
        <v>1176</v>
      </c>
      <c r="L124" s="104" t="s">
        <v>1645</v>
      </c>
      <c r="M124" s="104" t="s">
        <v>2204</v>
      </c>
      <c r="N124" s="104" t="s">
        <v>1180</v>
      </c>
      <c r="O124" s="104" t="s">
        <v>1176</v>
      </c>
      <c r="P124" s="104" t="s">
        <v>1176</v>
      </c>
      <c r="Q124" s="104" t="s">
        <v>1176</v>
      </c>
      <c r="R124" s="104" t="s">
        <v>1176</v>
      </c>
      <c r="S124" s="104" t="s">
        <v>1176</v>
      </c>
      <c r="T124" s="104" t="s">
        <v>1176</v>
      </c>
      <c r="U124" s="104" t="s">
        <v>1212</v>
      </c>
      <c r="V124" s="104" t="s">
        <v>2205</v>
      </c>
      <c r="W124" s="104" t="s">
        <v>1176</v>
      </c>
      <c r="X124" s="104" t="s">
        <v>2206</v>
      </c>
      <c r="Y124" s="104" t="s">
        <v>2207</v>
      </c>
      <c r="Z124" s="104" t="s">
        <v>2208</v>
      </c>
      <c r="AA124" s="104" t="s">
        <v>1176</v>
      </c>
      <c r="AB124" s="104" t="s">
        <v>1176</v>
      </c>
      <c r="AC124" s="104" t="s">
        <v>1176</v>
      </c>
      <c r="AD124" s="104" t="s">
        <v>1176</v>
      </c>
      <c r="AE124" s="104" t="s">
        <v>1176</v>
      </c>
      <c r="AF124" s="104" t="s">
        <v>1176</v>
      </c>
      <c r="AG124" s="104" t="s">
        <v>1176</v>
      </c>
      <c r="AH124" s="104" t="s">
        <v>1176</v>
      </c>
      <c r="AI124" s="104" t="s">
        <v>1876</v>
      </c>
      <c r="AJ124" s="104" t="s">
        <v>2209</v>
      </c>
      <c r="AK124" s="104" t="s">
        <v>1438</v>
      </c>
      <c r="AL124" s="104" t="s">
        <v>2210</v>
      </c>
      <c r="AM124" s="104" t="s">
        <v>1176</v>
      </c>
      <c r="AN124" s="104" t="s">
        <v>1187</v>
      </c>
      <c r="AO124" s="104" t="s">
        <v>1176</v>
      </c>
      <c r="AP124" s="104" t="s">
        <v>1176</v>
      </c>
      <c r="AQ124" s="104" t="s">
        <v>1176</v>
      </c>
      <c r="AR124" s="104" t="s">
        <v>1176</v>
      </c>
      <c r="AS124" s="104" t="s">
        <v>1176</v>
      </c>
      <c r="AT124" s="104" t="s">
        <v>1176</v>
      </c>
      <c r="AU124" s="104" t="s">
        <v>1212</v>
      </c>
      <c r="AV124" s="104" t="s">
        <v>1238</v>
      </c>
      <c r="AW124" s="104" t="s">
        <v>1176</v>
      </c>
      <c r="AX124" s="104" t="s">
        <v>1176</v>
      </c>
      <c r="AY124" s="104" t="s">
        <v>1176</v>
      </c>
      <c r="AZ124" s="104" t="s">
        <v>1176</v>
      </c>
      <c r="BA124" s="104" t="s">
        <v>1176</v>
      </c>
      <c r="BB124" s="104" t="s">
        <v>1176</v>
      </c>
      <c r="BC124" s="104" t="s">
        <v>1176</v>
      </c>
      <c r="BD124" s="104" t="s">
        <v>1176</v>
      </c>
      <c r="BE124" s="104" t="s">
        <v>1176</v>
      </c>
      <c r="BF124" s="104" t="s">
        <v>1176</v>
      </c>
      <c r="BG124" s="104" t="s">
        <v>1172</v>
      </c>
      <c r="BH124" s="104" t="s">
        <v>1172</v>
      </c>
      <c r="BI124" s="104" t="s">
        <v>1172</v>
      </c>
      <c r="BJ124" s="104" t="s">
        <v>1176</v>
      </c>
      <c r="BK124" s="104" t="s">
        <v>1176</v>
      </c>
      <c r="BL124" s="104" t="s">
        <v>1176</v>
      </c>
      <c r="BM124" s="104" t="s">
        <v>1176</v>
      </c>
      <c r="BN124" s="104" t="s">
        <v>1176</v>
      </c>
      <c r="BO124" s="104" t="s">
        <v>1176</v>
      </c>
      <c r="BP124" s="104" t="s">
        <v>1176</v>
      </c>
      <c r="BQ124" s="104" t="s">
        <v>1176</v>
      </c>
      <c r="BR124" s="104" t="s">
        <v>1176</v>
      </c>
      <c r="BS124" s="104" t="s">
        <v>1176</v>
      </c>
      <c r="BT124" s="104" t="s">
        <v>1172</v>
      </c>
      <c r="BU124" s="104" t="s">
        <v>1172</v>
      </c>
      <c r="BV124" s="104" t="s">
        <v>1176</v>
      </c>
      <c r="BW124" s="104" t="s">
        <v>1176</v>
      </c>
      <c r="BX124" s="104" t="s">
        <v>1176</v>
      </c>
      <c r="BY124" s="104" t="s">
        <v>1176</v>
      </c>
      <c r="BZ124" s="104" t="s">
        <v>1176</v>
      </c>
      <c r="CA124" s="104" t="s">
        <v>1176</v>
      </c>
      <c r="CB124" s="104" t="s">
        <v>1176</v>
      </c>
      <c r="CC124" s="104" t="s">
        <v>1176</v>
      </c>
      <c r="CD124" s="104" t="s">
        <v>1176</v>
      </c>
      <c r="CE124" s="104" t="s">
        <v>1176</v>
      </c>
      <c r="CF124" s="104" t="s">
        <v>1176</v>
      </c>
      <c r="CG124" s="104" t="s">
        <v>1176</v>
      </c>
      <c r="CH124" s="104" t="s">
        <v>1176</v>
      </c>
      <c r="CI124" s="104" t="s">
        <v>1176</v>
      </c>
      <c r="CJ124" s="104" t="s">
        <v>1176</v>
      </c>
      <c r="CK124" s="104" t="s">
        <v>1176</v>
      </c>
      <c r="CL124" s="104" t="s">
        <v>1176</v>
      </c>
      <c r="CM124" s="104" t="s">
        <v>1176</v>
      </c>
      <c r="CN124" s="104" t="s">
        <v>1176</v>
      </c>
      <c r="CO124" s="104" t="s">
        <v>1176</v>
      </c>
    </row>
    <row r="125" s="102" customFormat="1" ht="15" spans="1:93">
      <c r="A125" s="104" t="s">
        <v>2211</v>
      </c>
      <c r="B125" s="104" t="s">
        <v>1146</v>
      </c>
      <c r="C125" s="104" t="s">
        <v>1147</v>
      </c>
      <c r="D125" s="104" t="s">
        <v>2212</v>
      </c>
      <c r="E125" s="104" t="s">
        <v>2213</v>
      </c>
      <c r="F125" s="104">
        <f t="shared" si="1"/>
        <v>2302</v>
      </c>
      <c r="G125" s="104" t="s">
        <v>2214</v>
      </c>
      <c r="H125" s="104" t="s">
        <v>1176</v>
      </c>
      <c r="I125" s="104" t="s">
        <v>1176</v>
      </c>
      <c r="J125" s="104" t="s">
        <v>1176</v>
      </c>
      <c r="K125" s="104" t="s">
        <v>1176</v>
      </c>
      <c r="L125" s="104" t="s">
        <v>1328</v>
      </c>
      <c r="M125" s="104" t="s">
        <v>2215</v>
      </c>
      <c r="N125" s="104" t="s">
        <v>1243</v>
      </c>
      <c r="O125" s="104" t="s">
        <v>1176</v>
      </c>
      <c r="P125" s="104" t="s">
        <v>1176</v>
      </c>
      <c r="Q125" s="104" t="s">
        <v>1176</v>
      </c>
      <c r="R125" s="104" t="s">
        <v>1176</v>
      </c>
      <c r="S125" s="104" t="s">
        <v>1176</v>
      </c>
      <c r="T125" s="104" t="s">
        <v>1176</v>
      </c>
      <c r="U125" s="104" t="s">
        <v>1176</v>
      </c>
      <c r="V125" s="104" t="s">
        <v>2216</v>
      </c>
      <c r="W125" s="104" t="s">
        <v>1176</v>
      </c>
      <c r="X125" s="104" t="s">
        <v>2217</v>
      </c>
      <c r="Y125" s="104" t="s">
        <v>2218</v>
      </c>
      <c r="Z125" s="104" t="s">
        <v>2219</v>
      </c>
      <c r="AA125" s="104" t="s">
        <v>1176</v>
      </c>
      <c r="AB125" s="104" t="s">
        <v>1176</v>
      </c>
      <c r="AC125" s="104" t="s">
        <v>1176</v>
      </c>
      <c r="AD125" s="104" t="s">
        <v>1176</v>
      </c>
      <c r="AE125" s="104" t="s">
        <v>1176</v>
      </c>
      <c r="AF125" s="104" t="s">
        <v>1176</v>
      </c>
      <c r="AG125" s="104" t="s">
        <v>1176</v>
      </c>
      <c r="AH125" s="104" t="s">
        <v>1176</v>
      </c>
      <c r="AI125" s="104" t="s">
        <v>1179</v>
      </c>
      <c r="AJ125" s="104" t="s">
        <v>1456</v>
      </c>
      <c r="AK125" s="104" t="s">
        <v>1819</v>
      </c>
      <c r="AL125" s="104" t="s">
        <v>2220</v>
      </c>
      <c r="AM125" s="104" t="s">
        <v>1176</v>
      </c>
      <c r="AN125" s="104" t="s">
        <v>1172</v>
      </c>
      <c r="AO125" s="104" t="s">
        <v>1176</v>
      </c>
      <c r="AP125" s="104" t="s">
        <v>1176</v>
      </c>
      <c r="AQ125" s="104" t="s">
        <v>1176</v>
      </c>
      <c r="AR125" s="104" t="s">
        <v>1176</v>
      </c>
      <c r="AS125" s="104" t="s">
        <v>1176</v>
      </c>
      <c r="AT125" s="104" t="s">
        <v>1176</v>
      </c>
      <c r="AU125" s="104" t="s">
        <v>1176</v>
      </c>
      <c r="AV125" s="104" t="s">
        <v>1176</v>
      </c>
      <c r="AW125" s="104" t="s">
        <v>1176</v>
      </c>
      <c r="AX125" s="104" t="s">
        <v>1176</v>
      </c>
      <c r="AY125" s="104" t="s">
        <v>1176</v>
      </c>
      <c r="AZ125" s="104" t="s">
        <v>1176</v>
      </c>
      <c r="BA125" s="104" t="s">
        <v>1176</v>
      </c>
      <c r="BB125" s="104" t="s">
        <v>1176</v>
      </c>
      <c r="BC125" s="104" t="s">
        <v>1176</v>
      </c>
      <c r="BD125" s="104" t="s">
        <v>1176</v>
      </c>
      <c r="BE125" s="104" t="s">
        <v>1176</v>
      </c>
      <c r="BF125" s="104" t="s">
        <v>1176</v>
      </c>
      <c r="BG125" s="104" t="s">
        <v>1211</v>
      </c>
      <c r="BH125" s="104" t="s">
        <v>1211</v>
      </c>
      <c r="BI125" s="104" t="s">
        <v>2221</v>
      </c>
      <c r="BJ125" s="104" t="s">
        <v>1176</v>
      </c>
      <c r="BK125" s="104" t="s">
        <v>1176</v>
      </c>
      <c r="BL125" s="104" t="s">
        <v>1176</v>
      </c>
      <c r="BM125" s="104" t="s">
        <v>1176</v>
      </c>
      <c r="BN125" s="104" t="s">
        <v>1176</v>
      </c>
      <c r="BO125" s="104" t="s">
        <v>1176</v>
      </c>
      <c r="BP125" s="104" t="s">
        <v>1176</v>
      </c>
      <c r="BQ125" s="104" t="s">
        <v>1176</v>
      </c>
      <c r="BR125" s="104" t="s">
        <v>1176</v>
      </c>
      <c r="BS125" s="104" t="s">
        <v>1176</v>
      </c>
      <c r="BT125" s="104" t="s">
        <v>1176</v>
      </c>
      <c r="BU125" s="104" t="s">
        <v>1176</v>
      </c>
      <c r="BV125" s="104" t="s">
        <v>1176</v>
      </c>
      <c r="BW125" s="104" t="s">
        <v>1176</v>
      </c>
      <c r="BX125" s="104" t="s">
        <v>1356</v>
      </c>
      <c r="BY125" s="104" t="s">
        <v>1284</v>
      </c>
      <c r="BZ125" s="104" t="s">
        <v>1176</v>
      </c>
      <c r="CA125" s="104" t="s">
        <v>1176</v>
      </c>
      <c r="CB125" s="104" t="s">
        <v>1176</v>
      </c>
      <c r="CC125" s="104" t="s">
        <v>1176</v>
      </c>
      <c r="CD125" s="104" t="s">
        <v>1187</v>
      </c>
      <c r="CE125" s="104" t="s">
        <v>1238</v>
      </c>
      <c r="CF125" s="104" t="s">
        <v>1176</v>
      </c>
      <c r="CG125" s="104" t="s">
        <v>1176</v>
      </c>
      <c r="CH125" s="104" t="s">
        <v>1176</v>
      </c>
      <c r="CI125" s="104" t="s">
        <v>1176</v>
      </c>
      <c r="CJ125" s="104" t="s">
        <v>1176</v>
      </c>
      <c r="CK125" s="104" t="s">
        <v>1176</v>
      </c>
      <c r="CL125" s="104" t="s">
        <v>1176</v>
      </c>
      <c r="CM125" s="104" t="s">
        <v>1176</v>
      </c>
      <c r="CN125" s="104" t="s">
        <v>1176</v>
      </c>
      <c r="CO125" s="104" t="s">
        <v>1176</v>
      </c>
    </row>
    <row r="126" s="102" customFormat="1" ht="15" spans="1:93">
      <c r="A126" s="104" t="s">
        <v>1780</v>
      </c>
      <c r="B126" s="104" t="s">
        <v>1146</v>
      </c>
      <c r="C126" s="104" t="s">
        <v>1147</v>
      </c>
      <c r="D126" s="104" t="s">
        <v>2222</v>
      </c>
      <c r="E126" s="104" t="s">
        <v>2223</v>
      </c>
      <c r="F126" s="104">
        <f t="shared" si="1"/>
        <v>634</v>
      </c>
      <c r="G126" s="104" t="s">
        <v>2224</v>
      </c>
      <c r="H126" s="104" t="s">
        <v>1176</v>
      </c>
      <c r="I126" s="104" t="s">
        <v>1176</v>
      </c>
      <c r="J126" s="104" t="s">
        <v>1176</v>
      </c>
      <c r="K126" s="104" t="s">
        <v>1176</v>
      </c>
      <c r="L126" s="104" t="s">
        <v>1179</v>
      </c>
      <c r="M126" s="104" t="s">
        <v>1502</v>
      </c>
      <c r="N126" s="104" t="s">
        <v>1176</v>
      </c>
      <c r="O126" s="104" t="s">
        <v>1176</v>
      </c>
      <c r="P126" s="104" t="s">
        <v>1176</v>
      </c>
      <c r="Q126" s="104" t="s">
        <v>1176</v>
      </c>
      <c r="R126" s="104" t="s">
        <v>1176</v>
      </c>
      <c r="S126" s="104" t="s">
        <v>1176</v>
      </c>
      <c r="T126" s="104" t="s">
        <v>1176</v>
      </c>
      <c r="U126" s="104" t="s">
        <v>1176</v>
      </c>
      <c r="V126" s="104" t="s">
        <v>1748</v>
      </c>
      <c r="W126" s="104" t="s">
        <v>1176</v>
      </c>
      <c r="X126" s="104" t="s">
        <v>2225</v>
      </c>
      <c r="Y126" s="104" t="s">
        <v>1750</v>
      </c>
      <c r="Z126" s="104" t="s">
        <v>2226</v>
      </c>
      <c r="AA126" s="104" t="s">
        <v>1176</v>
      </c>
      <c r="AB126" s="104" t="s">
        <v>1176</v>
      </c>
      <c r="AC126" s="104" t="s">
        <v>1176</v>
      </c>
      <c r="AD126" s="104" t="s">
        <v>1176</v>
      </c>
      <c r="AE126" s="104" t="s">
        <v>1176</v>
      </c>
      <c r="AF126" s="104" t="s">
        <v>1176</v>
      </c>
      <c r="AG126" s="104" t="s">
        <v>1176</v>
      </c>
      <c r="AH126" s="104" t="s">
        <v>1176</v>
      </c>
      <c r="AI126" s="104" t="s">
        <v>1180</v>
      </c>
      <c r="AJ126" s="104" t="s">
        <v>1179</v>
      </c>
      <c r="AK126" s="104" t="s">
        <v>2227</v>
      </c>
      <c r="AL126" s="104" t="s">
        <v>2228</v>
      </c>
      <c r="AM126" s="104" t="s">
        <v>1176</v>
      </c>
      <c r="AN126" s="104" t="s">
        <v>1201</v>
      </c>
      <c r="AO126" s="104" t="s">
        <v>1176</v>
      </c>
      <c r="AP126" s="104" t="s">
        <v>1176</v>
      </c>
      <c r="AQ126" s="104" t="s">
        <v>1176</v>
      </c>
      <c r="AR126" s="104" t="s">
        <v>1176</v>
      </c>
      <c r="AS126" s="104" t="s">
        <v>1176</v>
      </c>
      <c r="AT126" s="104" t="s">
        <v>1176</v>
      </c>
      <c r="AU126" s="104" t="s">
        <v>1176</v>
      </c>
      <c r="AV126" s="104" t="s">
        <v>1176</v>
      </c>
      <c r="AW126" s="104" t="s">
        <v>1176</v>
      </c>
      <c r="AX126" s="104" t="s">
        <v>1176</v>
      </c>
      <c r="AY126" s="104" t="s">
        <v>1176</v>
      </c>
      <c r="AZ126" s="104" t="s">
        <v>1176</v>
      </c>
      <c r="BA126" s="104" t="s">
        <v>1176</v>
      </c>
      <c r="BB126" s="104" t="s">
        <v>1176</v>
      </c>
      <c r="BC126" s="104" t="s">
        <v>1187</v>
      </c>
      <c r="BD126" s="104" t="s">
        <v>1180</v>
      </c>
      <c r="BE126" s="104" t="s">
        <v>1176</v>
      </c>
      <c r="BF126" s="104" t="s">
        <v>1176</v>
      </c>
      <c r="BG126" s="104" t="s">
        <v>1176</v>
      </c>
      <c r="BH126" s="104" t="s">
        <v>1176</v>
      </c>
      <c r="BI126" s="104" t="s">
        <v>1176</v>
      </c>
      <c r="BJ126" s="104" t="s">
        <v>1176</v>
      </c>
      <c r="BK126" s="104" t="s">
        <v>1176</v>
      </c>
      <c r="BL126" s="104" t="s">
        <v>1176</v>
      </c>
      <c r="BM126" s="104" t="s">
        <v>1176</v>
      </c>
      <c r="BN126" s="104" t="s">
        <v>1176</v>
      </c>
      <c r="BO126" s="104" t="s">
        <v>1176</v>
      </c>
      <c r="BP126" s="104" t="s">
        <v>1176</v>
      </c>
      <c r="BQ126" s="104" t="s">
        <v>1176</v>
      </c>
      <c r="BR126" s="104" t="s">
        <v>1176</v>
      </c>
      <c r="BS126" s="104" t="s">
        <v>1176</v>
      </c>
      <c r="BT126" s="104" t="s">
        <v>1176</v>
      </c>
      <c r="BU126" s="104" t="s">
        <v>1176</v>
      </c>
      <c r="BV126" s="104" t="s">
        <v>1176</v>
      </c>
      <c r="BW126" s="104" t="s">
        <v>1176</v>
      </c>
      <c r="BX126" s="104" t="s">
        <v>1176</v>
      </c>
      <c r="BY126" s="104" t="s">
        <v>1176</v>
      </c>
      <c r="BZ126" s="104" t="s">
        <v>1176</v>
      </c>
      <c r="CA126" s="104" t="s">
        <v>1176</v>
      </c>
      <c r="CB126" s="104" t="s">
        <v>1176</v>
      </c>
      <c r="CC126" s="104" t="s">
        <v>1176</v>
      </c>
      <c r="CD126" s="104" t="s">
        <v>1176</v>
      </c>
      <c r="CE126" s="104" t="s">
        <v>1176</v>
      </c>
      <c r="CF126" s="104" t="s">
        <v>1176</v>
      </c>
      <c r="CG126" s="104" t="s">
        <v>1176</v>
      </c>
      <c r="CH126" s="104" t="s">
        <v>1176</v>
      </c>
      <c r="CI126" s="104" t="s">
        <v>1176</v>
      </c>
      <c r="CJ126" s="104" t="s">
        <v>1176</v>
      </c>
      <c r="CK126" s="104" t="s">
        <v>1176</v>
      </c>
      <c r="CL126" s="104" t="s">
        <v>1176</v>
      </c>
      <c r="CM126" s="104" t="s">
        <v>1176</v>
      </c>
      <c r="CN126" s="104" t="s">
        <v>1176</v>
      </c>
      <c r="CO126" s="104" t="s">
        <v>1176</v>
      </c>
    </row>
    <row r="127" s="102" customFormat="1" ht="15" spans="1:93">
      <c r="A127" s="104" t="s">
        <v>1334</v>
      </c>
      <c r="B127" s="104" t="s">
        <v>1146</v>
      </c>
      <c r="C127" s="104" t="s">
        <v>1147</v>
      </c>
      <c r="D127" s="104" t="s">
        <v>2229</v>
      </c>
      <c r="E127" s="104" t="s">
        <v>2230</v>
      </c>
      <c r="F127" s="104">
        <f t="shared" si="1"/>
        <v>4309</v>
      </c>
      <c r="G127" s="104" t="s">
        <v>2231</v>
      </c>
      <c r="H127" s="104" t="s">
        <v>1176</v>
      </c>
      <c r="I127" s="104" t="s">
        <v>1176</v>
      </c>
      <c r="J127" s="104" t="s">
        <v>1176</v>
      </c>
      <c r="K127" s="104" t="s">
        <v>1176</v>
      </c>
      <c r="L127" s="104" t="s">
        <v>2232</v>
      </c>
      <c r="M127" s="104" t="s">
        <v>2233</v>
      </c>
      <c r="N127" s="104" t="s">
        <v>1201</v>
      </c>
      <c r="O127" s="104" t="s">
        <v>1176</v>
      </c>
      <c r="P127" s="104" t="s">
        <v>1172</v>
      </c>
      <c r="Q127" s="104" t="s">
        <v>1176</v>
      </c>
      <c r="R127" s="104" t="s">
        <v>1176</v>
      </c>
      <c r="S127" s="104" t="s">
        <v>1176</v>
      </c>
      <c r="T127" s="104" t="s">
        <v>1176</v>
      </c>
      <c r="U127" s="104" t="s">
        <v>1232</v>
      </c>
      <c r="V127" s="104" t="s">
        <v>2234</v>
      </c>
      <c r="W127" s="104" t="s">
        <v>1176</v>
      </c>
      <c r="X127" s="104" t="s">
        <v>2235</v>
      </c>
      <c r="Y127" s="104" t="s">
        <v>1582</v>
      </c>
      <c r="Z127" s="104" t="s">
        <v>2236</v>
      </c>
      <c r="AA127" s="104" t="s">
        <v>1176</v>
      </c>
      <c r="AB127" s="104" t="s">
        <v>1176</v>
      </c>
      <c r="AC127" s="104" t="s">
        <v>1180</v>
      </c>
      <c r="AD127" s="104" t="s">
        <v>1548</v>
      </c>
      <c r="AE127" s="104" t="s">
        <v>1176</v>
      </c>
      <c r="AF127" s="104" t="s">
        <v>1176</v>
      </c>
      <c r="AG127" s="104" t="s">
        <v>1176</v>
      </c>
      <c r="AH127" s="104" t="s">
        <v>1176</v>
      </c>
      <c r="AI127" s="104" t="s">
        <v>1187</v>
      </c>
      <c r="AJ127" s="104" t="s">
        <v>1207</v>
      </c>
      <c r="AK127" s="104" t="s">
        <v>2237</v>
      </c>
      <c r="AL127" s="104" t="s">
        <v>2238</v>
      </c>
      <c r="AM127" s="104" t="s">
        <v>1176</v>
      </c>
      <c r="AN127" s="104" t="s">
        <v>1176</v>
      </c>
      <c r="AO127" s="104" t="s">
        <v>1176</v>
      </c>
      <c r="AP127" s="104" t="s">
        <v>1176</v>
      </c>
      <c r="AQ127" s="104" t="s">
        <v>1176</v>
      </c>
      <c r="AR127" s="104" t="s">
        <v>1176</v>
      </c>
      <c r="AS127" s="104" t="s">
        <v>1176</v>
      </c>
      <c r="AT127" s="104" t="s">
        <v>1176</v>
      </c>
      <c r="AU127" s="104" t="s">
        <v>1176</v>
      </c>
      <c r="AV127" s="104" t="s">
        <v>1176</v>
      </c>
      <c r="AW127" s="104" t="s">
        <v>1176</v>
      </c>
      <c r="AX127" s="104" t="s">
        <v>1176</v>
      </c>
      <c r="AY127" s="104" t="s">
        <v>1176</v>
      </c>
      <c r="AZ127" s="104" t="s">
        <v>1176</v>
      </c>
      <c r="BA127" s="104" t="s">
        <v>1176</v>
      </c>
      <c r="BB127" s="104" t="s">
        <v>1176</v>
      </c>
      <c r="BC127" s="104" t="s">
        <v>1176</v>
      </c>
      <c r="BD127" s="104" t="s">
        <v>1176</v>
      </c>
      <c r="BE127" s="104" t="s">
        <v>1176</v>
      </c>
      <c r="BF127" s="104" t="s">
        <v>1176</v>
      </c>
      <c r="BG127" s="104" t="s">
        <v>1842</v>
      </c>
      <c r="BH127" s="104" t="s">
        <v>1842</v>
      </c>
      <c r="BI127" s="104" t="s">
        <v>2151</v>
      </c>
      <c r="BJ127" s="104" t="s">
        <v>1212</v>
      </c>
      <c r="BK127" s="104" t="s">
        <v>1176</v>
      </c>
      <c r="BL127" s="104" t="s">
        <v>1176</v>
      </c>
      <c r="BM127" s="104" t="s">
        <v>1176</v>
      </c>
      <c r="BN127" s="104" t="s">
        <v>1176</v>
      </c>
      <c r="BO127" s="104" t="s">
        <v>1176</v>
      </c>
      <c r="BP127" s="104" t="s">
        <v>1176</v>
      </c>
      <c r="BQ127" s="104" t="s">
        <v>1176</v>
      </c>
      <c r="BR127" s="104" t="s">
        <v>1176</v>
      </c>
      <c r="BS127" s="104" t="s">
        <v>1176</v>
      </c>
      <c r="BT127" s="104" t="s">
        <v>1209</v>
      </c>
      <c r="BU127" s="104" t="s">
        <v>2239</v>
      </c>
      <c r="BV127" s="104" t="s">
        <v>1176</v>
      </c>
      <c r="BW127" s="104" t="s">
        <v>1176</v>
      </c>
      <c r="BX127" s="104" t="s">
        <v>1187</v>
      </c>
      <c r="BY127" s="104" t="s">
        <v>1243</v>
      </c>
      <c r="BZ127" s="104" t="s">
        <v>1176</v>
      </c>
      <c r="CA127" s="104" t="s">
        <v>1176</v>
      </c>
      <c r="CB127" s="104" t="s">
        <v>1176</v>
      </c>
      <c r="CC127" s="104" t="s">
        <v>1176</v>
      </c>
      <c r="CD127" s="104" t="s">
        <v>1176</v>
      </c>
      <c r="CE127" s="104" t="s">
        <v>1176</v>
      </c>
      <c r="CF127" s="104" t="s">
        <v>1176</v>
      </c>
      <c r="CG127" s="104" t="s">
        <v>1176</v>
      </c>
      <c r="CH127" s="104" t="s">
        <v>1176</v>
      </c>
      <c r="CI127" s="104" t="s">
        <v>1176</v>
      </c>
      <c r="CJ127" s="104" t="s">
        <v>1176</v>
      </c>
      <c r="CK127" s="104" t="s">
        <v>1176</v>
      </c>
      <c r="CL127" s="104" t="s">
        <v>1176</v>
      </c>
      <c r="CM127" s="104" t="s">
        <v>1176</v>
      </c>
      <c r="CN127" s="104" t="s">
        <v>1176</v>
      </c>
      <c r="CO127" s="104" t="s">
        <v>1176</v>
      </c>
    </row>
    <row r="128" s="102" customFormat="1" ht="15" spans="1:93">
      <c r="A128" s="104" t="s">
        <v>1551</v>
      </c>
      <c r="B128" s="104" t="s">
        <v>1146</v>
      </c>
      <c r="C128" s="104" t="s">
        <v>1147</v>
      </c>
      <c r="D128" s="104" t="s">
        <v>2240</v>
      </c>
      <c r="E128" s="104" t="s">
        <v>2241</v>
      </c>
      <c r="F128" s="104">
        <f t="shared" si="1"/>
        <v>2061</v>
      </c>
      <c r="G128" s="104" t="s">
        <v>2242</v>
      </c>
      <c r="H128" s="104" t="s">
        <v>1176</v>
      </c>
      <c r="I128" s="104" t="s">
        <v>1176</v>
      </c>
      <c r="J128" s="104" t="s">
        <v>1176</v>
      </c>
      <c r="K128" s="104" t="s">
        <v>1176</v>
      </c>
      <c r="L128" s="104" t="s">
        <v>2243</v>
      </c>
      <c r="M128" s="104" t="s">
        <v>2244</v>
      </c>
      <c r="N128" s="104" t="s">
        <v>1172</v>
      </c>
      <c r="O128" s="104" t="s">
        <v>1176</v>
      </c>
      <c r="P128" s="104" t="s">
        <v>1176</v>
      </c>
      <c r="Q128" s="104" t="s">
        <v>1176</v>
      </c>
      <c r="R128" s="104" t="s">
        <v>1176</v>
      </c>
      <c r="S128" s="104" t="s">
        <v>1176</v>
      </c>
      <c r="T128" s="104" t="s">
        <v>1176</v>
      </c>
      <c r="U128" s="104" t="s">
        <v>1212</v>
      </c>
      <c r="V128" s="104" t="s">
        <v>2245</v>
      </c>
      <c r="W128" s="104" t="s">
        <v>1176</v>
      </c>
      <c r="X128" s="104" t="s">
        <v>2246</v>
      </c>
      <c r="Y128" s="104" t="s">
        <v>1876</v>
      </c>
      <c r="Z128" s="104" t="s">
        <v>2247</v>
      </c>
      <c r="AA128" s="104" t="s">
        <v>1176</v>
      </c>
      <c r="AB128" s="104" t="s">
        <v>1176</v>
      </c>
      <c r="AC128" s="104" t="s">
        <v>1187</v>
      </c>
      <c r="AD128" s="104" t="s">
        <v>1276</v>
      </c>
      <c r="AE128" s="104" t="s">
        <v>1176</v>
      </c>
      <c r="AF128" s="104" t="s">
        <v>1176</v>
      </c>
      <c r="AG128" s="104" t="s">
        <v>1176</v>
      </c>
      <c r="AH128" s="104" t="s">
        <v>1176</v>
      </c>
      <c r="AI128" s="104" t="s">
        <v>1187</v>
      </c>
      <c r="AJ128" s="104" t="s">
        <v>1498</v>
      </c>
      <c r="AK128" s="104" t="s">
        <v>1620</v>
      </c>
      <c r="AL128" s="104" t="s">
        <v>2248</v>
      </c>
      <c r="AM128" s="104" t="s">
        <v>1176</v>
      </c>
      <c r="AN128" s="104" t="s">
        <v>1172</v>
      </c>
      <c r="AO128" s="104" t="s">
        <v>1176</v>
      </c>
      <c r="AP128" s="104" t="s">
        <v>1176</v>
      </c>
      <c r="AQ128" s="104" t="s">
        <v>1176</v>
      </c>
      <c r="AR128" s="104" t="s">
        <v>1176</v>
      </c>
      <c r="AS128" s="104" t="s">
        <v>1176</v>
      </c>
      <c r="AT128" s="104" t="s">
        <v>1176</v>
      </c>
      <c r="AU128" s="104" t="s">
        <v>1176</v>
      </c>
      <c r="AV128" s="104" t="s">
        <v>1176</v>
      </c>
      <c r="AW128" s="104" t="s">
        <v>1176</v>
      </c>
      <c r="AX128" s="104" t="s">
        <v>1176</v>
      </c>
      <c r="AY128" s="104" t="s">
        <v>1176</v>
      </c>
      <c r="AZ128" s="104" t="s">
        <v>1176</v>
      </c>
      <c r="BA128" s="104" t="s">
        <v>1176</v>
      </c>
      <c r="BB128" s="104" t="s">
        <v>1176</v>
      </c>
      <c r="BC128" s="104" t="s">
        <v>1176</v>
      </c>
      <c r="BD128" s="104" t="s">
        <v>1176</v>
      </c>
      <c r="BE128" s="104" t="s">
        <v>1176</v>
      </c>
      <c r="BF128" s="104" t="s">
        <v>1176</v>
      </c>
      <c r="BG128" s="104" t="s">
        <v>1345</v>
      </c>
      <c r="BH128" s="104" t="s">
        <v>1345</v>
      </c>
      <c r="BI128" s="104" t="s">
        <v>2249</v>
      </c>
      <c r="BJ128" s="104" t="s">
        <v>1212</v>
      </c>
      <c r="BK128" s="104" t="s">
        <v>1176</v>
      </c>
      <c r="BL128" s="104" t="s">
        <v>1176</v>
      </c>
      <c r="BM128" s="104" t="s">
        <v>1176</v>
      </c>
      <c r="BN128" s="104" t="s">
        <v>1176</v>
      </c>
      <c r="BO128" s="104" t="s">
        <v>1176</v>
      </c>
      <c r="BP128" s="104" t="s">
        <v>1176</v>
      </c>
      <c r="BQ128" s="104" t="s">
        <v>1176</v>
      </c>
      <c r="BR128" s="104" t="s">
        <v>1176</v>
      </c>
      <c r="BS128" s="104" t="s">
        <v>1176</v>
      </c>
      <c r="BT128" s="104" t="s">
        <v>1238</v>
      </c>
      <c r="BU128" s="104" t="s">
        <v>1948</v>
      </c>
      <c r="BV128" s="104" t="s">
        <v>1176</v>
      </c>
      <c r="BW128" s="104" t="s">
        <v>1176</v>
      </c>
      <c r="BX128" s="104" t="s">
        <v>1356</v>
      </c>
      <c r="BY128" s="104" t="s">
        <v>1629</v>
      </c>
      <c r="BZ128" s="104" t="s">
        <v>1176</v>
      </c>
      <c r="CA128" s="104" t="s">
        <v>1176</v>
      </c>
      <c r="CB128" s="104" t="s">
        <v>1176</v>
      </c>
      <c r="CC128" s="104" t="s">
        <v>1176</v>
      </c>
      <c r="CD128" s="104" t="s">
        <v>1176</v>
      </c>
      <c r="CE128" s="104" t="s">
        <v>1176</v>
      </c>
      <c r="CF128" s="104" t="s">
        <v>1176</v>
      </c>
      <c r="CG128" s="104" t="s">
        <v>1176</v>
      </c>
      <c r="CH128" s="104" t="s">
        <v>1176</v>
      </c>
      <c r="CI128" s="104" t="s">
        <v>1176</v>
      </c>
      <c r="CJ128" s="104" t="s">
        <v>1176</v>
      </c>
      <c r="CK128" s="104" t="s">
        <v>1176</v>
      </c>
      <c r="CL128" s="104" t="s">
        <v>1176</v>
      </c>
      <c r="CM128" s="104" t="s">
        <v>1176</v>
      </c>
      <c r="CN128" s="104" t="s">
        <v>1176</v>
      </c>
      <c r="CO128" s="104" t="s">
        <v>1176</v>
      </c>
    </row>
    <row r="129" s="102" customFormat="1" ht="15" spans="1:93">
      <c r="A129" s="104" t="s">
        <v>2250</v>
      </c>
      <c r="B129" s="104" t="s">
        <v>1146</v>
      </c>
      <c r="C129" s="104" t="s">
        <v>1147</v>
      </c>
      <c r="D129" s="104" t="s">
        <v>2251</v>
      </c>
      <c r="E129" s="104" t="s">
        <v>2252</v>
      </c>
      <c r="F129" s="104">
        <f t="shared" si="1"/>
        <v>3609</v>
      </c>
      <c r="G129" s="104" t="s">
        <v>2253</v>
      </c>
      <c r="H129" s="104" t="s">
        <v>1176</v>
      </c>
      <c r="I129" s="104" t="s">
        <v>1176</v>
      </c>
      <c r="J129" s="104" t="s">
        <v>1176</v>
      </c>
      <c r="K129" s="104" t="s">
        <v>1176</v>
      </c>
      <c r="L129" s="104" t="s">
        <v>1879</v>
      </c>
      <c r="M129" s="104" t="s">
        <v>2254</v>
      </c>
      <c r="N129" s="104" t="s">
        <v>1212</v>
      </c>
      <c r="O129" s="104" t="s">
        <v>1176</v>
      </c>
      <c r="P129" s="104" t="s">
        <v>1176</v>
      </c>
      <c r="Q129" s="104" t="s">
        <v>1176</v>
      </c>
      <c r="R129" s="104" t="s">
        <v>1176</v>
      </c>
      <c r="S129" s="104" t="s">
        <v>1176</v>
      </c>
      <c r="T129" s="104" t="s">
        <v>1176</v>
      </c>
      <c r="U129" s="104" t="s">
        <v>1223</v>
      </c>
      <c r="V129" s="104" t="s">
        <v>1966</v>
      </c>
      <c r="W129" s="104" t="s">
        <v>1176</v>
      </c>
      <c r="X129" s="104" t="s">
        <v>2255</v>
      </c>
      <c r="Y129" s="104" t="s">
        <v>1951</v>
      </c>
      <c r="Z129" s="104" t="s">
        <v>2256</v>
      </c>
      <c r="AA129" s="104" t="s">
        <v>1176</v>
      </c>
      <c r="AB129" s="104" t="s">
        <v>1176</v>
      </c>
      <c r="AC129" s="104" t="s">
        <v>1176</v>
      </c>
      <c r="AD129" s="104" t="s">
        <v>1176</v>
      </c>
      <c r="AE129" s="104" t="s">
        <v>1176</v>
      </c>
      <c r="AF129" s="104" t="s">
        <v>1176</v>
      </c>
      <c r="AG129" s="104" t="s">
        <v>1176</v>
      </c>
      <c r="AH129" s="104" t="s">
        <v>1176</v>
      </c>
      <c r="AI129" s="104" t="s">
        <v>1201</v>
      </c>
      <c r="AJ129" s="104" t="s">
        <v>2257</v>
      </c>
      <c r="AK129" s="104" t="s">
        <v>1701</v>
      </c>
      <c r="AL129" s="104" t="s">
        <v>2258</v>
      </c>
      <c r="AM129" s="104" t="s">
        <v>1176</v>
      </c>
      <c r="AN129" s="104" t="s">
        <v>1176</v>
      </c>
      <c r="AO129" s="104" t="s">
        <v>1176</v>
      </c>
      <c r="AP129" s="104" t="s">
        <v>1176</v>
      </c>
      <c r="AQ129" s="104" t="s">
        <v>1176</v>
      </c>
      <c r="AR129" s="104" t="s">
        <v>1176</v>
      </c>
      <c r="AS129" s="104" t="s">
        <v>1176</v>
      </c>
      <c r="AT129" s="104" t="s">
        <v>1176</v>
      </c>
      <c r="AU129" s="104" t="s">
        <v>1176</v>
      </c>
      <c r="AV129" s="104" t="s">
        <v>1176</v>
      </c>
      <c r="AW129" s="104" t="s">
        <v>1176</v>
      </c>
      <c r="AX129" s="104" t="s">
        <v>1176</v>
      </c>
      <c r="AY129" s="104" t="s">
        <v>1176</v>
      </c>
      <c r="AZ129" s="104" t="s">
        <v>1176</v>
      </c>
      <c r="BA129" s="104" t="s">
        <v>1176</v>
      </c>
      <c r="BB129" s="104" t="s">
        <v>1176</v>
      </c>
      <c r="BC129" s="104" t="s">
        <v>1176</v>
      </c>
      <c r="BD129" s="104" t="s">
        <v>1176</v>
      </c>
      <c r="BE129" s="104" t="s">
        <v>1176</v>
      </c>
      <c r="BF129" s="104" t="s">
        <v>1176</v>
      </c>
      <c r="BG129" s="104" t="s">
        <v>1283</v>
      </c>
      <c r="BH129" s="104" t="s">
        <v>1283</v>
      </c>
      <c r="BI129" s="104" t="s">
        <v>2259</v>
      </c>
      <c r="BJ129" s="104" t="s">
        <v>1176</v>
      </c>
      <c r="BK129" s="104" t="s">
        <v>1176</v>
      </c>
      <c r="BL129" s="104" t="s">
        <v>1176</v>
      </c>
      <c r="BM129" s="104" t="s">
        <v>1176</v>
      </c>
      <c r="BN129" s="104" t="s">
        <v>1176</v>
      </c>
      <c r="BO129" s="104" t="s">
        <v>1176</v>
      </c>
      <c r="BP129" s="104" t="s">
        <v>1176</v>
      </c>
      <c r="BQ129" s="104" t="s">
        <v>1176</v>
      </c>
      <c r="BR129" s="104" t="s">
        <v>1176</v>
      </c>
      <c r="BS129" s="104" t="s">
        <v>1176</v>
      </c>
      <c r="BT129" s="104" t="s">
        <v>2260</v>
      </c>
      <c r="BU129" s="104" t="s">
        <v>2261</v>
      </c>
      <c r="BV129" s="104" t="s">
        <v>1176</v>
      </c>
      <c r="BW129" s="104" t="s">
        <v>1176</v>
      </c>
      <c r="BX129" s="104" t="s">
        <v>1179</v>
      </c>
      <c r="BY129" s="104" t="s">
        <v>1685</v>
      </c>
      <c r="BZ129" s="104" t="s">
        <v>1176</v>
      </c>
      <c r="CA129" s="104" t="s">
        <v>1176</v>
      </c>
      <c r="CB129" s="104" t="s">
        <v>1176</v>
      </c>
      <c r="CC129" s="104" t="s">
        <v>1176</v>
      </c>
      <c r="CD129" s="104" t="s">
        <v>1176</v>
      </c>
      <c r="CE129" s="104" t="s">
        <v>1176</v>
      </c>
      <c r="CF129" s="104" t="s">
        <v>1176</v>
      </c>
      <c r="CG129" s="104" t="s">
        <v>1176</v>
      </c>
      <c r="CH129" s="104" t="s">
        <v>1176</v>
      </c>
      <c r="CI129" s="104" t="s">
        <v>1176</v>
      </c>
      <c r="CJ129" s="104" t="s">
        <v>1176</v>
      </c>
      <c r="CK129" s="104" t="s">
        <v>1176</v>
      </c>
      <c r="CL129" s="104" t="s">
        <v>1176</v>
      </c>
      <c r="CM129" s="104" t="s">
        <v>1176</v>
      </c>
      <c r="CN129" s="104" t="s">
        <v>1176</v>
      </c>
      <c r="CO129" s="104" t="s">
        <v>1176</v>
      </c>
    </row>
    <row r="130" s="102" customFormat="1" ht="15" spans="1:93">
      <c r="A130" s="104" t="s">
        <v>1697</v>
      </c>
      <c r="B130" s="104" t="s">
        <v>1146</v>
      </c>
      <c r="C130" s="104" t="s">
        <v>1147</v>
      </c>
      <c r="D130" s="104" t="s">
        <v>2262</v>
      </c>
      <c r="E130" s="104" t="s">
        <v>2263</v>
      </c>
      <c r="F130" s="104">
        <f t="shared" si="1"/>
        <v>1236</v>
      </c>
      <c r="G130" s="104" t="s">
        <v>2264</v>
      </c>
      <c r="H130" s="104" t="s">
        <v>1176</v>
      </c>
      <c r="I130" s="104" t="s">
        <v>1176</v>
      </c>
      <c r="J130" s="104" t="s">
        <v>1176</v>
      </c>
      <c r="K130" s="104" t="s">
        <v>1176</v>
      </c>
      <c r="L130" s="104" t="s">
        <v>1245</v>
      </c>
      <c r="M130" s="104" t="s">
        <v>2265</v>
      </c>
      <c r="N130" s="104" t="s">
        <v>1176</v>
      </c>
      <c r="O130" s="104" t="s">
        <v>1176</v>
      </c>
      <c r="P130" s="104" t="s">
        <v>1176</v>
      </c>
      <c r="Q130" s="104" t="s">
        <v>1176</v>
      </c>
      <c r="R130" s="104" t="s">
        <v>1176</v>
      </c>
      <c r="S130" s="104" t="s">
        <v>1176</v>
      </c>
      <c r="T130" s="104" t="s">
        <v>1176</v>
      </c>
      <c r="U130" s="104" t="s">
        <v>1176</v>
      </c>
      <c r="V130" s="104" t="s">
        <v>1925</v>
      </c>
      <c r="W130" s="104" t="s">
        <v>1176</v>
      </c>
      <c r="X130" s="104" t="s">
        <v>2266</v>
      </c>
      <c r="Y130" s="104" t="s">
        <v>1397</v>
      </c>
      <c r="Z130" s="104" t="s">
        <v>2267</v>
      </c>
      <c r="AA130" s="104" t="s">
        <v>1176</v>
      </c>
      <c r="AB130" s="104" t="s">
        <v>1176</v>
      </c>
      <c r="AC130" s="104" t="s">
        <v>1176</v>
      </c>
      <c r="AD130" s="104" t="s">
        <v>1176</v>
      </c>
      <c r="AE130" s="104" t="s">
        <v>1176</v>
      </c>
      <c r="AF130" s="104" t="s">
        <v>1176</v>
      </c>
      <c r="AG130" s="104" t="s">
        <v>1176</v>
      </c>
      <c r="AH130" s="104" t="s">
        <v>1176</v>
      </c>
      <c r="AI130" s="104" t="s">
        <v>1243</v>
      </c>
      <c r="AJ130" s="104" t="s">
        <v>2268</v>
      </c>
      <c r="AK130" s="104" t="s">
        <v>2039</v>
      </c>
      <c r="AL130" s="104" t="s">
        <v>2269</v>
      </c>
      <c r="AM130" s="104" t="s">
        <v>1176</v>
      </c>
      <c r="AN130" s="104" t="s">
        <v>1172</v>
      </c>
      <c r="AO130" s="104" t="s">
        <v>1176</v>
      </c>
      <c r="AP130" s="104" t="s">
        <v>1176</v>
      </c>
      <c r="AQ130" s="104" t="s">
        <v>1176</v>
      </c>
      <c r="AR130" s="104" t="s">
        <v>1176</v>
      </c>
      <c r="AS130" s="104" t="s">
        <v>1176</v>
      </c>
      <c r="AT130" s="104" t="s">
        <v>1176</v>
      </c>
      <c r="AU130" s="104" t="s">
        <v>1176</v>
      </c>
      <c r="AV130" s="104" t="s">
        <v>1176</v>
      </c>
      <c r="AW130" s="104" t="s">
        <v>1176</v>
      </c>
      <c r="AX130" s="104" t="s">
        <v>1176</v>
      </c>
      <c r="AY130" s="104" t="s">
        <v>1176</v>
      </c>
      <c r="AZ130" s="104" t="s">
        <v>1176</v>
      </c>
      <c r="BA130" s="104" t="s">
        <v>1176</v>
      </c>
      <c r="BB130" s="104" t="s">
        <v>1176</v>
      </c>
      <c r="BC130" s="104" t="s">
        <v>1176</v>
      </c>
      <c r="BD130" s="104" t="s">
        <v>1176</v>
      </c>
      <c r="BE130" s="104" t="s">
        <v>1176</v>
      </c>
      <c r="BF130" s="104" t="s">
        <v>1176</v>
      </c>
      <c r="BG130" s="104" t="s">
        <v>1180</v>
      </c>
      <c r="BH130" s="104" t="s">
        <v>1180</v>
      </c>
      <c r="BI130" s="104" t="s">
        <v>1299</v>
      </c>
      <c r="BJ130" s="104" t="s">
        <v>1172</v>
      </c>
      <c r="BK130" s="104" t="s">
        <v>1176</v>
      </c>
      <c r="BL130" s="104" t="s">
        <v>1176</v>
      </c>
      <c r="BM130" s="104" t="s">
        <v>1176</v>
      </c>
      <c r="BN130" s="104" t="s">
        <v>1176</v>
      </c>
      <c r="BO130" s="104" t="s">
        <v>1176</v>
      </c>
      <c r="BP130" s="104" t="s">
        <v>1176</v>
      </c>
      <c r="BQ130" s="104" t="s">
        <v>1176</v>
      </c>
      <c r="BR130" s="104" t="s">
        <v>1176</v>
      </c>
      <c r="BS130" s="104" t="s">
        <v>1176</v>
      </c>
      <c r="BT130" s="104" t="s">
        <v>1212</v>
      </c>
      <c r="BU130" s="104" t="s">
        <v>1299</v>
      </c>
      <c r="BV130" s="104" t="s">
        <v>1176</v>
      </c>
      <c r="BW130" s="104" t="s">
        <v>1176</v>
      </c>
      <c r="BX130" s="104" t="s">
        <v>1176</v>
      </c>
      <c r="BY130" s="104" t="s">
        <v>1176</v>
      </c>
      <c r="BZ130" s="104" t="s">
        <v>1176</v>
      </c>
      <c r="CA130" s="104" t="s">
        <v>1176</v>
      </c>
      <c r="CB130" s="104" t="s">
        <v>1176</v>
      </c>
      <c r="CC130" s="104" t="s">
        <v>1176</v>
      </c>
      <c r="CD130" s="104" t="s">
        <v>1176</v>
      </c>
      <c r="CE130" s="104" t="s">
        <v>1176</v>
      </c>
      <c r="CF130" s="104" t="s">
        <v>1176</v>
      </c>
      <c r="CG130" s="104" t="s">
        <v>1176</v>
      </c>
      <c r="CH130" s="104" t="s">
        <v>1176</v>
      </c>
      <c r="CI130" s="104" t="s">
        <v>1176</v>
      </c>
      <c r="CJ130" s="104" t="s">
        <v>1176</v>
      </c>
      <c r="CK130" s="104" t="s">
        <v>1176</v>
      </c>
      <c r="CL130" s="104" t="s">
        <v>1176</v>
      </c>
      <c r="CM130" s="104" t="s">
        <v>1176</v>
      </c>
      <c r="CN130" s="104" t="s">
        <v>1176</v>
      </c>
      <c r="CO130" s="104" t="s">
        <v>1176</v>
      </c>
    </row>
    <row r="131" s="102" customFormat="1" ht="15" spans="1:93">
      <c r="A131" s="104" t="s">
        <v>2270</v>
      </c>
      <c r="B131" s="104" t="s">
        <v>1146</v>
      </c>
      <c r="C131" s="104" t="s">
        <v>1147</v>
      </c>
      <c r="D131" s="104" t="s">
        <v>2271</v>
      </c>
      <c r="E131" s="104" t="s">
        <v>2272</v>
      </c>
      <c r="F131" s="104">
        <f t="shared" si="1"/>
        <v>2544</v>
      </c>
      <c r="G131" s="104" t="s">
        <v>2273</v>
      </c>
      <c r="H131" s="104" t="s">
        <v>1176</v>
      </c>
      <c r="I131" s="104" t="s">
        <v>1176</v>
      </c>
      <c r="J131" s="104" t="s">
        <v>1176</v>
      </c>
      <c r="K131" s="104" t="s">
        <v>1176</v>
      </c>
      <c r="L131" s="104" t="s">
        <v>2274</v>
      </c>
      <c r="M131" s="104" t="s">
        <v>2275</v>
      </c>
      <c r="N131" s="104" t="s">
        <v>1176</v>
      </c>
      <c r="O131" s="104" t="s">
        <v>1176</v>
      </c>
      <c r="P131" s="104" t="s">
        <v>1176</v>
      </c>
      <c r="Q131" s="104" t="s">
        <v>1176</v>
      </c>
      <c r="R131" s="104" t="s">
        <v>1176</v>
      </c>
      <c r="S131" s="104" t="s">
        <v>1176</v>
      </c>
      <c r="T131" s="104" t="s">
        <v>1176</v>
      </c>
      <c r="U131" s="104" t="s">
        <v>1176</v>
      </c>
      <c r="V131" s="104" t="s">
        <v>2058</v>
      </c>
      <c r="W131" s="104" t="s">
        <v>1176</v>
      </c>
      <c r="X131" s="104" t="s">
        <v>2276</v>
      </c>
      <c r="Y131" s="104" t="s">
        <v>2277</v>
      </c>
      <c r="Z131" s="104" t="s">
        <v>2278</v>
      </c>
      <c r="AA131" s="104" t="s">
        <v>1176</v>
      </c>
      <c r="AB131" s="104" t="s">
        <v>1176</v>
      </c>
      <c r="AC131" s="104" t="s">
        <v>1176</v>
      </c>
      <c r="AD131" s="104" t="s">
        <v>1176</v>
      </c>
      <c r="AE131" s="104" t="s">
        <v>1176</v>
      </c>
      <c r="AF131" s="104" t="s">
        <v>1176</v>
      </c>
      <c r="AG131" s="104" t="s">
        <v>1176</v>
      </c>
      <c r="AH131" s="104" t="s">
        <v>1176</v>
      </c>
      <c r="AI131" s="104" t="s">
        <v>1601</v>
      </c>
      <c r="AJ131" s="104" t="s">
        <v>2279</v>
      </c>
      <c r="AK131" s="104" t="s">
        <v>2280</v>
      </c>
      <c r="AL131" s="104" t="s">
        <v>2281</v>
      </c>
      <c r="AM131" s="104" t="s">
        <v>1176</v>
      </c>
      <c r="AN131" s="104" t="s">
        <v>1172</v>
      </c>
      <c r="AO131" s="104" t="s">
        <v>1176</v>
      </c>
      <c r="AP131" s="104" t="s">
        <v>1176</v>
      </c>
      <c r="AQ131" s="104" t="s">
        <v>1176</v>
      </c>
      <c r="AR131" s="104" t="s">
        <v>1176</v>
      </c>
      <c r="AS131" s="104" t="s">
        <v>1176</v>
      </c>
      <c r="AT131" s="104" t="s">
        <v>1176</v>
      </c>
      <c r="AU131" s="104" t="s">
        <v>1176</v>
      </c>
      <c r="AV131" s="104" t="s">
        <v>1176</v>
      </c>
      <c r="AW131" s="104" t="s">
        <v>1176</v>
      </c>
      <c r="AX131" s="104" t="s">
        <v>1176</v>
      </c>
      <c r="AY131" s="104" t="s">
        <v>1176</v>
      </c>
      <c r="AZ131" s="104" t="s">
        <v>1176</v>
      </c>
      <c r="BA131" s="104" t="s">
        <v>1176</v>
      </c>
      <c r="BB131" s="104" t="s">
        <v>1176</v>
      </c>
      <c r="BC131" s="104" t="s">
        <v>1176</v>
      </c>
      <c r="BD131" s="104" t="s">
        <v>1176</v>
      </c>
      <c r="BE131" s="104" t="s">
        <v>1176</v>
      </c>
      <c r="BF131" s="104" t="s">
        <v>1176</v>
      </c>
      <c r="BG131" s="104" t="s">
        <v>1172</v>
      </c>
      <c r="BH131" s="104" t="s">
        <v>1172</v>
      </c>
      <c r="BI131" s="104" t="s">
        <v>1232</v>
      </c>
      <c r="BJ131" s="104" t="s">
        <v>1176</v>
      </c>
      <c r="BK131" s="104" t="s">
        <v>1176</v>
      </c>
      <c r="BL131" s="104" t="s">
        <v>1176</v>
      </c>
      <c r="BM131" s="104" t="s">
        <v>1176</v>
      </c>
      <c r="BN131" s="104" t="s">
        <v>1176</v>
      </c>
      <c r="BO131" s="104" t="s">
        <v>1176</v>
      </c>
      <c r="BP131" s="104" t="s">
        <v>1176</v>
      </c>
      <c r="BQ131" s="104" t="s">
        <v>1176</v>
      </c>
      <c r="BR131" s="104" t="s">
        <v>1176</v>
      </c>
      <c r="BS131" s="104" t="s">
        <v>1176</v>
      </c>
      <c r="BT131" s="104" t="s">
        <v>1176</v>
      </c>
      <c r="BU131" s="104" t="s">
        <v>1176</v>
      </c>
      <c r="BV131" s="104" t="s">
        <v>1176</v>
      </c>
      <c r="BW131" s="104" t="s">
        <v>1176</v>
      </c>
      <c r="BX131" s="104" t="s">
        <v>1172</v>
      </c>
      <c r="BY131" s="104" t="s">
        <v>1232</v>
      </c>
      <c r="BZ131" s="104" t="s">
        <v>1176</v>
      </c>
      <c r="CA131" s="104" t="s">
        <v>1176</v>
      </c>
      <c r="CB131" s="104" t="s">
        <v>1176</v>
      </c>
      <c r="CC131" s="104" t="s">
        <v>1176</v>
      </c>
      <c r="CD131" s="104" t="s">
        <v>1176</v>
      </c>
      <c r="CE131" s="104" t="s">
        <v>1176</v>
      </c>
      <c r="CF131" s="104" t="s">
        <v>1176</v>
      </c>
      <c r="CG131" s="104" t="s">
        <v>1176</v>
      </c>
      <c r="CH131" s="104" t="s">
        <v>1176</v>
      </c>
      <c r="CI131" s="104" t="s">
        <v>1176</v>
      </c>
      <c r="CJ131" s="104" t="s">
        <v>1176</v>
      </c>
      <c r="CK131" s="104" t="s">
        <v>1176</v>
      </c>
      <c r="CL131" s="104" t="s">
        <v>1176</v>
      </c>
      <c r="CM131" s="104" t="s">
        <v>1176</v>
      </c>
      <c r="CN131" s="104" t="s">
        <v>1176</v>
      </c>
      <c r="CO131" s="104" t="s">
        <v>1176</v>
      </c>
    </row>
    <row r="132" s="102" customFormat="1" ht="15" spans="1:93">
      <c r="A132" s="104" t="s">
        <v>1244</v>
      </c>
      <c r="B132" s="104" t="s">
        <v>1146</v>
      </c>
      <c r="C132" s="104" t="s">
        <v>1147</v>
      </c>
      <c r="D132" s="104" t="s">
        <v>2282</v>
      </c>
      <c r="E132" s="104" t="s">
        <v>2283</v>
      </c>
      <c r="F132" s="104">
        <f t="shared" si="1"/>
        <v>2088</v>
      </c>
      <c r="G132" s="104" t="s">
        <v>2284</v>
      </c>
      <c r="H132" s="104" t="s">
        <v>1176</v>
      </c>
      <c r="I132" s="104" t="s">
        <v>1176</v>
      </c>
      <c r="J132" s="104" t="s">
        <v>1176</v>
      </c>
      <c r="K132" s="104" t="s">
        <v>1176</v>
      </c>
      <c r="L132" s="104" t="s">
        <v>2285</v>
      </c>
      <c r="M132" s="104" t="s">
        <v>2286</v>
      </c>
      <c r="N132" s="104" t="s">
        <v>1172</v>
      </c>
      <c r="O132" s="104" t="s">
        <v>1176</v>
      </c>
      <c r="P132" s="104" t="s">
        <v>1172</v>
      </c>
      <c r="Q132" s="104" t="s">
        <v>1176</v>
      </c>
      <c r="R132" s="104" t="s">
        <v>1176</v>
      </c>
      <c r="S132" s="104" t="s">
        <v>1176</v>
      </c>
      <c r="T132" s="104" t="s">
        <v>1176</v>
      </c>
      <c r="U132" s="104" t="s">
        <v>1172</v>
      </c>
      <c r="V132" s="104" t="s">
        <v>1261</v>
      </c>
      <c r="W132" s="104" t="s">
        <v>1176</v>
      </c>
      <c r="X132" s="104" t="s">
        <v>2287</v>
      </c>
      <c r="Y132" s="104" t="s">
        <v>2027</v>
      </c>
      <c r="Z132" s="104" t="s">
        <v>1237</v>
      </c>
      <c r="AA132" s="104" t="s">
        <v>1176</v>
      </c>
      <c r="AB132" s="104" t="s">
        <v>1176</v>
      </c>
      <c r="AC132" s="104" t="s">
        <v>1203</v>
      </c>
      <c r="AD132" s="104" t="s">
        <v>1581</v>
      </c>
      <c r="AE132" s="104" t="s">
        <v>1176</v>
      </c>
      <c r="AF132" s="104" t="s">
        <v>1176</v>
      </c>
      <c r="AG132" s="104" t="s">
        <v>1176</v>
      </c>
      <c r="AH132" s="104" t="s">
        <v>1176</v>
      </c>
      <c r="AI132" s="104" t="s">
        <v>1551</v>
      </c>
      <c r="AJ132" s="104" t="s">
        <v>2288</v>
      </c>
      <c r="AK132" s="104" t="s">
        <v>1176</v>
      </c>
      <c r="AL132" s="104" t="s">
        <v>1176</v>
      </c>
      <c r="AM132" s="104" t="s">
        <v>1176</v>
      </c>
      <c r="AN132" s="104" t="s">
        <v>1176</v>
      </c>
      <c r="AO132" s="104" t="s">
        <v>1176</v>
      </c>
      <c r="AP132" s="104" t="s">
        <v>1176</v>
      </c>
      <c r="AQ132" s="104" t="s">
        <v>1176</v>
      </c>
      <c r="AR132" s="104" t="s">
        <v>1176</v>
      </c>
      <c r="AS132" s="104" t="s">
        <v>1176</v>
      </c>
      <c r="AT132" s="104" t="s">
        <v>1176</v>
      </c>
      <c r="AU132" s="104" t="s">
        <v>1176</v>
      </c>
      <c r="AV132" s="104" t="s">
        <v>1176</v>
      </c>
      <c r="AW132" s="104" t="s">
        <v>1176</v>
      </c>
      <c r="AX132" s="104" t="s">
        <v>1176</v>
      </c>
      <c r="AY132" s="104" t="s">
        <v>1176</v>
      </c>
      <c r="AZ132" s="104" t="s">
        <v>1176</v>
      </c>
      <c r="BA132" s="104" t="s">
        <v>1176</v>
      </c>
      <c r="BB132" s="104" t="s">
        <v>1176</v>
      </c>
      <c r="BC132" s="104" t="s">
        <v>1176</v>
      </c>
      <c r="BD132" s="104" t="s">
        <v>1176</v>
      </c>
      <c r="BE132" s="104" t="s">
        <v>1176</v>
      </c>
      <c r="BF132" s="104" t="s">
        <v>1176</v>
      </c>
      <c r="BG132" s="104" t="s">
        <v>1176</v>
      </c>
      <c r="BH132" s="104" t="s">
        <v>1176</v>
      </c>
      <c r="BI132" s="104" t="s">
        <v>1176</v>
      </c>
      <c r="BJ132" s="104" t="s">
        <v>1176</v>
      </c>
      <c r="BK132" s="104" t="s">
        <v>1176</v>
      </c>
      <c r="BL132" s="104" t="s">
        <v>1176</v>
      </c>
      <c r="BM132" s="104" t="s">
        <v>1176</v>
      </c>
      <c r="BN132" s="104" t="s">
        <v>1176</v>
      </c>
      <c r="BO132" s="104" t="s">
        <v>1176</v>
      </c>
      <c r="BP132" s="104" t="s">
        <v>1176</v>
      </c>
      <c r="BQ132" s="104" t="s">
        <v>1176</v>
      </c>
      <c r="BR132" s="104" t="s">
        <v>1176</v>
      </c>
      <c r="BS132" s="104" t="s">
        <v>1176</v>
      </c>
      <c r="BT132" s="104" t="s">
        <v>1176</v>
      </c>
      <c r="BU132" s="104" t="s">
        <v>1176</v>
      </c>
      <c r="BV132" s="104" t="s">
        <v>1176</v>
      </c>
      <c r="BW132" s="104" t="s">
        <v>1176</v>
      </c>
      <c r="BX132" s="104" t="s">
        <v>1176</v>
      </c>
      <c r="BY132" s="104" t="s">
        <v>1176</v>
      </c>
      <c r="BZ132" s="104" t="s">
        <v>1176</v>
      </c>
      <c r="CA132" s="104" t="s">
        <v>1176</v>
      </c>
      <c r="CB132" s="104" t="s">
        <v>1176</v>
      </c>
      <c r="CC132" s="104" t="s">
        <v>1176</v>
      </c>
      <c r="CD132" s="104" t="s">
        <v>1176</v>
      </c>
      <c r="CE132" s="104" t="s">
        <v>1176</v>
      </c>
      <c r="CF132" s="104" t="s">
        <v>1176</v>
      </c>
      <c r="CG132" s="104" t="s">
        <v>1176</v>
      </c>
      <c r="CH132" s="104" t="s">
        <v>1176</v>
      </c>
      <c r="CI132" s="104" t="s">
        <v>1176</v>
      </c>
      <c r="CJ132" s="104" t="s">
        <v>1176</v>
      </c>
      <c r="CK132" s="104" t="s">
        <v>1176</v>
      </c>
      <c r="CL132" s="104" t="s">
        <v>1176</v>
      </c>
      <c r="CM132" s="104" t="s">
        <v>1176</v>
      </c>
      <c r="CN132" s="104" t="s">
        <v>1176</v>
      </c>
      <c r="CO132" s="104" t="s">
        <v>1176</v>
      </c>
    </row>
    <row r="133" s="102" customFormat="1" ht="15" spans="1:93">
      <c r="A133" s="104" t="s">
        <v>1755</v>
      </c>
      <c r="B133" s="104" t="s">
        <v>1146</v>
      </c>
      <c r="C133" s="104" t="s">
        <v>1147</v>
      </c>
      <c r="D133" s="104" t="s">
        <v>2289</v>
      </c>
      <c r="E133" s="104" t="s">
        <v>2290</v>
      </c>
      <c r="F133" s="104">
        <f t="shared" si="1"/>
        <v>985</v>
      </c>
      <c r="G133" s="104" t="s">
        <v>2291</v>
      </c>
      <c r="H133" s="104" t="s">
        <v>1176</v>
      </c>
      <c r="I133" s="104" t="s">
        <v>1176</v>
      </c>
      <c r="J133" s="104" t="s">
        <v>1176</v>
      </c>
      <c r="K133" s="104" t="s">
        <v>1176</v>
      </c>
      <c r="L133" s="104" t="s">
        <v>2292</v>
      </c>
      <c r="M133" s="104" t="s">
        <v>2293</v>
      </c>
      <c r="N133" s="104" t="s">
        <v>1187</v>
      </c>
      <c r="O133" s="104" t="s">
        <v>1176</v>
      </c>
      <c r="P133" s="104" t="s">
        <v>1176</v>
      </c>
      <c r="Q133" s="104" t="s">
        <v>1176</v>
      </c>
      <c r="R133" s="104" t="s">
        <v>1176</v>
      </c>
      <c r="S133" s="104" t="s">
        <v>1176</v>
      </c>
      <c r="T133" s="104" t="s">
        <v>1176</v>
      </c>
      <c r="U133" s="104" t="s">
        <v>1176</v>
      </c>
      <c r="V133" s="104" t="s">
        <v>1822</v>
      </c>
      <c r="W133" s="104" t="s">
        <v>1176</v>
      </c>
      <c r="X133" s="104" t="s">
        <v>1356</v>
      </c>
      <c r="Y133" s="104" t="s">
        <v>1179</v>
      </c>
      <c r="Z133" s="104" t="s">
        <v>1188</v>
      </c>
      <c r="AA133" s="104" t="s">
        <v>1176</v>
      </c>
      <c r="AB133" s="104" t="s">
        <v>1176</v>
      </c>
      <c r="AC133" s="104" t="s">
        <v>1176</v>
      </c>
      <c r="AD133" s="104" t="s">
        <v>1176</v>
      </c>
      <c r="AE133" s="104" t="s">
        <v>1176</v>
      </c>
      <c r="AF133" s="104" t="s">
        <v>1176</v>
      </c>
      <c r="AG133" s="104" t="s">
        <v>1176</v>
      </c>
      <c r="AH133" s="104" t="s">
        <v>1176</v>
      </c>
      <c r="AI133" s="104" t="s">
        <v>1179</v>
      </c>
      <c r="AJ133" s="104" t="s">
        <v>1176</v>
      </c>
      <c r="AK133" s="104" t="s">
        <v>1176</v>
      </c>
      <c r="AL133" s="104" t="s">
        <v>1188</v>
      </c>
      <c r="AM133" s="104" t="s">
        <v>1176</v>
      </c>
      <c r="AN133" s="104" t="s">
        <v>1176</v>
      </c>
      <c r="AO133" s="104" t="s">
        <v>1176</v>
      </c>
      <c r="AP133" s="104" t="s">
        <v>1176</v>
      </c>
      <c r="AQ133" s="104" t="s">
        <v>1176</v>
      </c>
      <c r="AR133" s="104" t="s">
        <v>1176</v>
      </c>
      <c r="AS133" s="104" t="s">
        <v>1176</v>
      </c>
      <c r="AT133" s="104" t="s">
        <v>1176</v>
      </c>
      <c r="AU133" s="104" t="s">
        <v>1176</v>
      </c>
      <c r="AV133" s="104" t="s">
        <v>1176</v>
      </c>
      <c r="AW133" s="104" t="s">
        <v>1176</v>
      </c>
      <c r="AX133" s="104" t="s">
        <v>1176</v>
      </c>
      <c r="AY133" s="104" t="s">
        <v>1176</v>
      </c>
      <c r="AZ133" s="104" t="s">
        <v>1176</v>
      </c>
      <c r="BA133" s="104" t="s">
        <v>1176</v>
      </c>
      <c r="BB133" s="104" t="s">
        <v>1176</v>
      </c>
      <c r="BC133" s="104" t="s">
        <v>1176</v>
      </c>
      <c r="BD133" s="104" t="s">
        <v>1176</v>
      </c>
      <c r="BE133" s="104" t="s">
        <v>1176</v>
      </c>
      <c r="BF133" s="104" t="s">
        <v>1176</v>
      </c>
      <c r="BG133" s="104" t="s">
        <v>2053</v>
      </c>
      <c r="BH133" s="104" t="s">
        <v>2053</v>
      </c>
      <c r="BI133" s="104" t="s">
        <v>2294</v>
      </c>
      <c r="BJ133" s="104" t="s">
        <v>1176</v>
      </c>
      <c r="BK133" s="104" t="s">
        <v>1176</v>
      </c>
      <c r="BL133" s="104" t="s">
        <v>1176</v>
      </c>
      <c r="BM133" s="104" t="s">
        <v>1176</v>
      </c>
      <c r="BN133" s="104" t="s">
        <v>1748</v>
      </c>
      <c r="BO133" s="104" t="s">
        <v>1748</v>
      </c>
      <c r="BP133" s="104" t="s">
        <v>1176</v>
      </c>
      <c r="BQ133" s="104" t="s">
        <v>1176</v>
      </c>
      <c r="BR133" s="104" t="s">
        <v>1176</v>
      </c>
      <c r="BS133" s="104" t="s">
        <v>1176</v>
      </c>
      <c r="BT133" s="104" t="s">
        <v>1476</v>
      </c>
      <c r="BU133" s="104" t="s">
        <v>2295</v>
      </c>
      <c r="BV133" s="104" t="s">
        <v>1176</v>
      </c>
      <c r="BW133" s="104" t="s">
        <v>1176</v>
      </c>
      <c r="BX133" s="104" t="s">
        <v>1176</v>
      </c>
      <c r="BY133" s="104" t="s">
        <v>1176</v>
      </c>
      <c r="BZ133" s="104" t="s">
        <v>1176</v>
      </c>
      <c r="CA133" s="104" t="s">
        <v>1176</v>
      </c>
      <c r="CB133" s="104" t="s">
        <v>1176</v>
      </c>
      <c r="CC133" s="104" t="s">
        <v>1176</v>
      </c>
      <c r="CD133" s="104" t="s">
        <v>1176</v>
      </c>
      <c r="CE133" s="104" t="s">
        <v>1176</v>
      </c>
      <c r="CF133" s="104" t="s">
        <v>1176</v>
      </c>
      <c r="CG133" s="104" t="s">
        <v>1176</v>
      </c>
      <c r="CH133" s="104" t="s">
        <v>1176</v>
      </c>
      <c r="CI133" s="104" t="s">
        <v>1176</v>
      </c>
      <c r="CJ133" s="104" t="s">
        <v>1176</v>
      </c>
      <c r="CK133" s="104" t="s">
        <v>1176</v>
      </c>
      <c r="CL133" s="104" t="s">
        <v>1176</v>
      </c>
      <c r="CM133" s="104" t="s">
        <v>1176</v>
      </c>
      <c r="CN133" s="104" t="s">
        <v>1176</v>
      </c>
      <c r="CO133" s="104" t="s">
        <v>1176</v>
      </c>
    </row>
    <row r="134" s="102" customFormat="1" ht="15" spans="1:93">
      <c r="A134" s="104" t="s">
        <v>1259</v>
      </c>
      <c r="B134" s="104" t="s">
        <v>1146</v>
      </c>
      <c r="C134" s="104" t="s">
        <v>1147</v>
      </c>
      <c r="D134" s="104" t="s">
        <v>2296</v>
      </c>
      <c r="E134" s="104" t="s">
        <v>2297</v>
      </c>
      <c r="F134" s="104">
        <f t="shared" si="1"/>
        <v>2651</v>
      </c>
      <c r="G134" s="104" t="s">
        <v>2298</v>
      </c>
      <c r="H134" s="104" t="s">
        <v>1176</v>
      </c>
      <c r="I134" s="104" t="s">
        <v>1176</v>
      </c>
      <c r="J134" s="104" t="s">
        <v>1176</v>
      </c>
      <c r="K134" s="104" t="s">
        <v>1176</v>
      </c>
      <c r="L134" s="104" t="s">
        <v>1900</v>
      </c>
      <c r="M134" s="104" t="s">
        <v>1884</v>
      </c>
      <c r="N134" s="104" t="s">
        <v>1212</v>
      </c>
      <c r="O134" s="104" t="s">
        <v>1176</v>
      </c>
      <c r="P134" s="104" t="s">
        <v>1176</v>
      </c>
      <c r="Q134" s="104" t="s">
        <v>1176</v>
      </c>
      <c r="R134" s="104" t="s">
        <v>1176</v>
      </c>
      <c r="S134" s="104" t="s">
        <v>1176</v>
      </c>
      <c r="T134" s="104" t="s">
        <v>1176</v>
      </c>
      <c r="U134" s="104" t="s">
        <v>1201</v>
      </c>
      <c r="V134" s="104" t="s">
        <v>1481</v>
      </c>
      <c r="W134" s="104" t="s">
        <v>1176</v>
      </c>
      <c r="X134" s="104" t="s">
        <v>2299</v>
      </c>
      <c r="Y134" s="104" t="s">
        <v>1281</v>
      </c>
      <c r="Z134" s="104" t="s">
        <v>2300</v>
      </c>
      <c r="AA134" s="104" t="s">
        <v>1176</v>
      </c>
      <c r="AB134" s="104" t="s">
        <v>1176</v>
      </c>
      <c r="AC134" s="104" t="s">
        <v>1176</v>
      </c>
      <c r="AD134" s="104" t="s">
        <v>1176</v>
      </c>
      <c r="AE134" s="104" t="s">
        <v>1176</v>
      </c>
      <c r="AF134" s="104" t="s">
        <v>1176</v>
      </c>
      <c r="AG134" s="104" t="s">
        <v>1176</v>
      </c>
      <c r="AH134" s="104" t="s">
        <v>1176</v>
      </c>
      <c r="AI134" s="104" t="s">
        <v>1187</v>
      </c>
      <c r="AJ134" s="104" t="s">
        <v>1209</v>
      </c>
      <c r="AK134" s="104" t="s">
        <v>1586</v>
      </c>
      <c r="AL134" s="104" t="s">
        <v>1376</v>
      </c>
      <c r="AM134" s="104" t="s">
        <v>1176</v>
      </c>
      <c r="AN134" s="104" t="s">
        <v>1187</v>
      </c>
      <c r="AO134" s="104" t="s">
        <v>1176</v>
      </c>
      <c r="AP134" s="104" t="s">
        <v>1176</v>
      </c>
      <c r="AQ134" s="104" t="s">
        <v>1176</v>
      </c>
      <c r="AR134" s="104" t="s">
        <v>1176</v>
      </c>
      <c r="AS134" s="104" t="s">
        <v>1176</v>
      </c>
      <c r="AT134" s="104" t="s">
        <v>1176</v>
      </c>
      <c r="AU134" s="104" t="s">
        <v>1176</v>
      </c>
      <c r="AV134" s="104" t="s">
        <v>1176</v>
      </c>
      <c r="AW134" s="104" t="s">
        <v>1176</v>
      </c>
      <c r="AX134" s="104" t="s">
        <v>1176</v>
      </c>
      <c r="AY134" s="104" t="s">
        <v>1176</v>
      </c>
      <c r="AZ134" s="104" t="s">
        <v>1176</v>
      </c>
      <c r="BA134" s="104" t="s">
        <v>1176</v>
      </c>
      <c r="BB134" s="104" t="s">
        <v>1176</v>
      </c>
      <c r="BC134" s="104" t="s">
        <v>1176</v>
      </c>
      <c r="BD134" s="104" t="s">
        <v>1176</v>
      </c>
      <c r="BE134" s="104" t="s">
        <v>1176</v>
      </c>
      <c r="BF134" s="104" t="s">
        <v>1176</v>
      </c>
      <c r="BG134" s="104" t="s">
        <v>1323</v>
      </c>
      <c r="BH134" s="104" t="s">
        <v>1323</v>
      </c>
      <c r="BI134" s="104" t="s">
        <v>2301</v>
      </c>
      <c r="BJ134" s="104" t="s">
        <v>1176</v>
      </c>
      <c r="BK134" s="104" t="s">
        <v>1176</v>
      </c>
      <c r="BL134" s="104" t="s">
        <v>1176</v>
      </c>
      <c r="BM134" s="104" t="s">
        <v>1176</v>
      </c>
      <c r="BN134" s="104" t="s">
        <v>1176</v>
      </c>
      <c r="BO134" s="104" t="s">
        <v>1176</v>
      </c>
      <c r="BP134" s="104" t="s">
        <v>1176</v>
      </c>
      <c r="BQ134" s="104" t="s">
        <v>1176</v>
      </c>
      <c r="BR134" s="104" t="s">
        <v>1176</v>
      </c>
      <c r="BS134" s="104" t="s">
        <v>1176</v>
      </c>
      <c r="BT134" s="104" t="s">
        <v>1323</v>
      </c>
      <c r="BU134" s="104" t="s">
        <v>2301</v>
      </c>
      <c r="BV134" s="104" t="s">
        <v>1176</v>
      </c>
      <c r="BW134" s="104" t="s">
        <v>1176</v>
      </c>
      <c r="BX134" s="104" t="s">
        <v>1176</v>
      </c>
      <c r="BY134" s="104" t="s">
        <v>1176</v>
      </c>
      <c r="BZ134" s="104" t="s">
        <v>1176</v>
      </c>
      <c r="CA134" s="104" t="s">
        <v>1176</v>
      </c>
      <c r="CB134" s="104" t="s">
        <v>1176</v>
      </c>
      <c r="CC134" s="104" t="s">
        <v>1176</v>
      </c>
      <c r="CD134" s="104" t="s">
        <v>1176</v>
      </c>
      <c r="CE134" s="104" t="s">
        <v>1176</v>
      </c>
      <c r="CF134" s="104" t="s">
        <v>1176</v>
      </c>
      <c r="CG134" s="104" t="s">
        <v>1176</v>
      </c>
      <c r="CH134" s="104" t="s">
        <v>1176</v>
      </c>
      <c r="CI134" s="104" t="s">
        <v>1176</v>
      </c>
      <c r="CJ134" s="104" t="s">
        <v>1176</v>
      </c>
      <c r="CK134" s="104" t="s">
        <v>1176</v>
      </c>
      <c r="CL134" s="104" t="s">
        <v>1176</v>
      </c>
      <c r="CM134" s="104" t="s">
        <v>1176</v>
      </c>
      <c r="CN134" s="104" t="s">
        <v>1176</v>
      </c>
      <c r="CO134" s="104" t="s">
        <v>1176</v>
      </c>
    </row>
    <row r="135" s="102" customFormat="1" ht="15" spans="1:93">
      <c r="A135" s="104" t="s">
        <v>1986</v>
      </c>
      <c r="B135" s="104" t="s">
        <v>1146</v>
      </c>
      <c r="C135" s="104" t="s">
        <v>1147</v>
      </c>
      <c r="D135" s="104" t="s">
        <v>2302</v>
      </c>
      <c r="E135" s="104" t="s">
        <v>2303</v>
      </c>
      <c r="F135" s="104">
        <f t="shared" si="1"/>
        <v>2386</v>
      </c>
      <c r="G135" s="104" t="s">
        <v>1569</v>
      </c>
      <c r="H135" s="104" t="s">
        <v>1176</v>
      </c>
      <c r="I135" s="104" t="s">
        <v>1176</v>
      </c>
      <c r="J135" s="104" t="s">
        <v>1176</v>
      </c>
      <c r="K135" s="104" t="s">
        <v>1176</v>
      </c>
      <c r="L135" s="104" t="s">
        <v>1266</v>
      </c>
      <c r="M135" s="104" t="s">
        <v>2304</v>
      </c>
      <c r="N135" s="104" t="s">
        <v>1243</v>
      </c>
      <c r="O135" s="104" t="s">
        <v>1176</v>
      </c>
      <c r="P135" s="104" t="s">
        <v>1176</v>
      </c>
      <c r="Q135" s="104" t="s">
        <v>1176</v>
      </c>
      <c r="R135" s="104" t="s">
        <v>1176</v>
      </c>
      <c r="S135" s="104" t="s">
        <v>1176</v>
      </c>
      <c r="T135" s="104" t="s">
        <v>1176</v>
      </c>
      <c r="U135" s="104" t="s">
        <v>1179</v>
      </c>
      <c r="V135" s="104" t="s">
        <v>1464</v>
      </c>
      <c r="W135" s="104" t="s">
        <v>1176</v>
      </c>
      <c r="X135" s="104" t="s">
        <v>2305</v>
      </c>
      <c r="Y135" s="104" t="s">
        <v>1755</v>
      </c>
      <c r="Z135" s="104" t="s">
        <v>2306</v>
      </c>
      <c r="AA135" s="104" t="s">
        <v>1176</v>
      </c>
      <c r="AB135" s="104" t="s">
        <v>1176</v>
      </c>
      <c r="AC135" s="104" t="s">
        <v>1176</v>
      </c>
      <c r="AD135" s="104" t="s">
        <v>1176</v>
      </c>
      <c r="AE135" s="104" t="s">
        <v>1176</v>
      </c>
      <c r="AF135" s="104" t="s">
        <v>1176</v>
      </c>
      <c r="AG135" s="104" t="s">
        <v>1176</v>
      </c>
      <c r="AH135" s="104" t="s">
        <v>1176</v>
      </c>
      <c r="AI135" s="104" t="s">
        <v>1179</v>
      </c>
      <c r="AJ135" s="104" t="s">
        <v>1820</v>
      </c>
      <c r="AK135" s="104" t="s">
        <v>1334</v>
      </c>
      <c r="AL135" s="104" t="s">
        <v>2307</v>
      </c>
      <c r="AM135" s="104" t="s">
        <v>1176</v>
      </c>
      <c r="AN135" s="104" t="s">
        <v>1172</v>
      </c>
      <c r="AO135" s="104" t="s">
        <v>1176</v>
      </c>
      <c r="AP135" s="104" t="s">
        <v>1176</v>
      </c>
      <c r="AQ135" s="104" t="s">
        <v>1176</v>
      </c>
      <c r="AR135" s="104" t="s">
        <v>1176</v>
      </c>
      <c r="AS135" s="104" t="s">
        <v>1176</v>
      </c>
      <c r="AT135" s="104" t="s">
        <v>1176</v>
      </c>
      <c r="AU135" s="104" t="s">
        <v>1176</v>
      </c>
      <c r="AV135" s="104" t="s">
        <v>1176</v>
      </c>
      <c r="AW135" s="104" t="s">
        <v>1176</v>
      </c>
      <c r="AX135" s="104" t="s">
        <v>1176</v>
      </c>
      <c r="AY135" s="104" t="s">
        <v>1176</v>
      </c>
      <c r="AZ135" s="104" t="s">
        <v>1176</v>
      </c>
      <c r="BA135" s="104" t="s">
        <v>1176</v>
      </c>
      <c r="BB135" s="104" t="s">
        <v>1176</v>
      </c>
      <c r="BC135" s="104" t="s">
        <v>1176</v>
      </c>
      <c r="BD135" s="104" t="s">
        <v>1176</v>
      </c>
      <c r="BE135" s="104" t="s">
        <v>1176</v>
      </c>
      <c r="BF135" s="104" t="s">
        <v>1176</v>
      </c>
      <c r="BG135" s="104" t="s">
        <v>1601</v>
      </c>
      <c r="BH135" s="104" t="s">
        <v>1601</v>
      </c>
      <c r="BI135" s="104" t="s">
        <v>1202</v>
      </c>
      <c r="BJ135" s="104" t="s">
        <v>1201</v>
      </c>
      <c r="BK135" s="104" t="s">
        <v>1180</v>
      </c>
      <c r="BL135" s="104" t="s">
        <v>1176</v>
      </c>
      <c r="BM135" s="104" t="s">
        <v>1176</v>
      </c>
      <c r="BN135" s="104" t="s">
        <v>1176</v>
      </c>
      <c r="BO135" s="104" t="s">
        <v>1176</v>
      </c>
      <c r="BP135" s="104" t="s">
        <v>1176</v>
      </c>
      <c r="BQ135" s="104" t="s">
        <v>1176</v>
      </c>
      <c r="BR135" s="104" t="s">
        <v>1176</v>
      </c>
      <c r="BS135" s="104" t="s">
        <v>1176</v>
      </c>
      <c r="BT135" s="104" t="s">
        <v>1223</v>
      </c>
      <c r="BU135" s="104" t="s">
        <v>2308</v>
      </c>
      <c r="BV135" s="104" t="s">
        <v>1176</v>
      </c>
      <c r="BW135" s="104" t="s">
        <v>1176</v>
      </c>
      <c r="BX135" s="104" t="s">
        <v>1243</v>
      </c>
      <c r="BY135" s="104" t="s">
        <v>1323</v>
      </c>
      <c r="BZ135" s="104" t="s">
        <v>1176</v>
      </c>
      <c r="CA135" s="104" t="s">
        <v>1176</v>
      </c>
      <c r="CB135" s="104" t="s">
        <v>1176</v>
      </c>
      <c r="CC135" s="104" t="s">
        <v>1176</v>
      </c>
      <c r="CD135" s="104" t="s">
        <v>1176</v>
      </c>
      <c r="CE135" s="104" t="s">
        <v>1176</v>
      </c>
      <c r="CF135" s="104" t="s">
        <v>1176</v>
      </c>
      <c r="CG135" s="104" t="s">
        <v>1176</v>
      </c>
      <c r="CH135" s="104" t="s">
        <v>1176</v>
      </c>
      <c r="CI135" s="104" t="s">
        <v>1176</v>
      </c>
      <c r="CJ135" s="104" t="s">
        <v>1176</v>
      </c>
      <c r="CK135" s="104" t="s">
        <v>1176</v>
      </c>
      <c r="CL135" s="104" t="s">
        <v>1176</v>
      </c>
      <c r="CM135" s="104" t="s">
        <v>1176</v>
      </c>
      <c r="CN135" s="104" t="s">
        <v>1176</v>
      </c>
      <c r="CO135" s="104" t="s">
        <v>1176</v>
      </c>
    </row>
    <row r="136" s="102" customFormat="1" ht="15" spans="1:93">
      <c r="A136" s="104" t="s">
        <v>2309</v>
      </c>
      <c r="B136" s="104" t="s">
        <v>1146</v>
      </c>
      <c r="C136" s="104" t="s">
        <v>1147</v>
      </c>
      <c r="D136" s="104" t="s">
        <v>2310</v>
      </c>
      <c r="E136" s="104" t="s">
        <v>2311</v>
      </c>
      <c r="F136" s="104">
        <f t="shared" si="1"/>
        <v>406</v>
      </c>
      <c r="G136" s="104" t="s">
        <v>1606</v>
      </c>
      <c r="H136" s="104" t="s">
        <v>1176</v>
      </c>
      <c r="I136" s="104" t="s">
        <v>1176</v>
      </c>
      <c r="J136" s="104" t="s">
        <v>1176</v>
      </c>
      <c r="K136" s="104" t="s">
        <v>1176</v>
      </c>
      <c r="L136" s="104" t="s">
        <v>1211</v>
      </c>
      <c r="M136" s="104" t="s">
        <v>2312</v>
      </c>
      <c r="N136" s="104" t="s">
        <v>1176</v>
      </c>
      <c r="O136" s="104" t="s">
        <v>1176</v>
      </c>
      <c r="P136" s="104" t="s">
        <v>1176</v>
      </c>
      <c r="Q136" s="104" t="s">
        <v>1176</v>
      </c>
      <c r="R136" s="104" t="s">
        <v>1176</v>
      </c>
      <c r="S136" s="104" t="s">
        <v>1176</v>
      </c>
      <c r="T136" s="104" t="s">
        <v>1176</v>
      </c>
      <c r="U136" s="104" t="s">
        <v>1176</v>
      </c>
      <c r="V136" s="104" t="s">
        <v>1264</v>
      </c>
      <c r="W136" s="104" t="s">
        <v>1176</v>
      </c>
      <c r="X136" s="104" t="s">
        <v>2313</v>
      </c>
      <c r="Y136" s="104" t="s">
        <v>1620</v>
      </c>
      <c r="Z136" s="104" t="s">
        <v>2314</v>
      </c>
      <c r="AA136" s="104" t="s">
        <v>1176</v>
      </c>
      <c r="AB136" s="104" t="s">
        <v>1176</v>
      </c>
      <c r="AC136" s="104" t="s">
        <v>1176</v>
      </c>
      <c r="AD136" s="104" t="s">
        <v>1176</v>
      </c>
      <c r="AE136" s="104" t="s">
        <v>1176</v>
      </c>
      <c r="AF136" s="104" t="s">
        <v>1176</v>
      </c>
      <c r="AG136" s="104" t="s">
        <v>1176</v>
      </c>
      <c r="AH136" s="104" t="s">
        <v>1176</v>
      </c>
      <c r="AI136" s="104" t="s">
        <v>1212</v>
      </c>
      <c r="AJ136" s="104" t="s">
        <v>1730</v>
      </c>
      <c r="AK136" s="104" t="s">
        <v>1839</v>
      </c>
      <c r="AL136" s="104" t="s">
        <v>2315</v>
      </c>
      <c r="AM136" s="104" t="s">
        <v>1176</v>
      </c>
      <c r="AN136" s="104" t="s">
        <v>1176</v>
      </c>
      <c r="AO136" s="104" t="s">
        <v>1176</v>
      </c>
      <c r="AP136" s="104" t="s">
        <v>1176</v>
      </c>
      <c r="AQ136" s="104" t="s">
        <v>1176</v>
      </c>
      <c r="AR136" s="104" t="s">
        <v>1176</v>
      </c>
      <c r="AS136" s="104" t="s">
        <v>1176</v>
      </c>
      <c r="AT136" s="104" t="s">
        <v>1176</v>
      </c>
      <c r="AU136" s="104" t="s">
        <v>1176</v>
      </c>
      <c r="AV136" s="104" t="s">
        <v>1176</v>
      </c>
      <c r="AW136" s="104" t="s">
        <v>1176</v>
      </c>
      <c r="AX136" s="104" t="s">
        <v>1176</v>
      </c>
      <c r="AY136" s="104" t="s">
        <v>1176</v>
      </c>
      <c r="AZ136" s="104" t="s">
        <v>1176</v>
      </c>
      <c r="BA136" s="104" t="s">
        <v>1176</v>
      </c>
      <c r="BB136" s="104" t="s">
        <v>1176</v>
      </c>
      <c r="BC136" s="104" t="s">
        <v>1176</v>
      </c>
      <c r="BD136" s="104" t="s">
        <v>1176</v>
      </c>
      <c r="BE136" s="104" t="s">
        <v>1176</v>
      </c>
      <c r="BF136" s="104" t="s">
        <v>1176</v>
      </c>
      <c r="BG136" s="104" t="s">
        <v>1212</v>
      </c>
      <c r="BH136" s="104" t="s">
        <v>1212</v>
      </c>
      <c r="BI136" s="104" t="s">
        <v>2316</v>
      </c>
      <c r="BJ136" s="104" t="s">
        <v>1176</v>
      </c>
      <c r="BK136" s="104" t="s">
        <v>1176</v>
      </c>
      <c r="BL136" s="104" t="s">
        <v>1176</v>
      </c>
      <c r="BM136" s="104" t="s">
        <v>1176</v>
      </c>
      <c r="BN136" s="104" t="s">
        <v>1176</v>
      </c>
      <c r="BO136" s="104" t="s">
        <v>1176</v>
      </c>
      <c r="BP136" s="104" t="s">
        <v>1176</v>
      </c>
      <c r="BQ136" s="104" t="s">
        <v>1176</v>
      </c>
      <c r="BR136" s="104" t="s">
        <v>1176</v>
      </c>
      <c r="BS136" s="104" t="s">
        <v>1176</v>
      </c>
      <c r="BT136" s="104" t="s">
        <v>1212</v>
      </c>
      <c r="BU136" s="104" t="s">
        <v>2316</v>
      </c>
      <c r="BV136" s="104" t="s">
        <v>1176</v>
      </c>
      <c r="BW136" s="104" t="s">
        <v>1176</v>
      </c>
      <c r="BX136" s="104" t="s">
        <v>1176</v>
      </c>
      <c r="BY136" s="104" t="s">
        <v>1176</v>
      </c>
      <c r="BZ136" s="104" t="s">
        <v>1176</v>
      </c>
      <c r="CA136" s="104" t="s">
        <v>1176</v>
      </c>
      <c r="CB136" s="104" t="s">
        <v>1176</v>
      </c>
      <c r="CC136" s="104" t="s">
        <v>1176</v>
      </c>
      <c r="CD136" s="104" t="s">
        <v>1176</v>
      </c>
      <c r="CE136" s="104" t="s">
        <v>1176</v>
      </c>
      <c r="CF136" s="104" t="s">
        <v>1176</v>
      </c>
      <c r="CG136" s="104" t="s">
        <v>1176</v>
      </c>
      <c r="CH136" s="104" t="s">
        <v>1176</v>
      </c>
      <c r="CI136" s="104" t="s">
        <v>1176</v>
      </c>
      <c r="CJ136" s="104" t="s">
        <v>1176</v>
      </c>
      <c r="CK136" s="104" t="s">
        <v>1176</v>
      </c>
      <c r="CL136" s="104" t="s">
        <v>1176</v>
      </c>
      <c r="CM136" s="104" t="s">
        <v>1176</v>
      </c>
      <c r="CN136" s="104" t="s">
        <v>1176</v>
      </c>
      <c r="CO136" s="104" t="s">
        <v>1176</v>
      </c>
    </row>
    <row r="137" s="102" customFormat="1" ht="15" spans="1:93">
      <c r="A137" s="104" t="s">
        <v>1742</v>
      </c>
      <c r="B137" s="104" t="s">
        <v>1146</v>
      </c>
      <c r="C137" s="104" t="s">
        <v>1147</v>
      </c>
      <c r="D137" s="104" t="s">
        <v>2317</v>
      </c>
      <c r="E137" s="104" t="s">
        <v>2318</v>
      </c>
      <c r="F137" s="104">
        <f t="shared" ref="F137:F200" si="2">G137+Y137+BH137</f>
        <v>2756</v>
      </c>
      <c r="G137" s="104" t="s">
        <v>2273</v>
      </c>
      <c r="H137" s="104" t="s">
        <v>1176</v>
      </c>
      <c r="I137" s="104" t="s">
        <v>1176</v>
      </c>
      <c r="J137" s="104" t="s">
        <v>1176</v>
      </c>
      <c r="K137" s="104" t="s">
        <v>1176</v>
      </c>
      <c r="L137" s="104" t="s">
        <v>1631</v>
      </c>
      <c r="M137" s="104" t="s">
        <v>2215</v>
      </c>
      <c r="N137" s="104" t="s">
        <v>1232</v>
      </c>
      <c r="O137" s="104" t="s">
        <v>1176</v>
      </c>
      <c r="P137" s="104" t="s">
        <v>1176</v>
      </c>
      <c r="Q137" s="104" t="s">
        <v>1176</v>
      </c>
      <c r="R137" s="104" t="s">
        <v>1176</v>
      </c>
      <c r="S137" s="104" t="s">
        <v>1176</v>
      </c>
      <c r="T137" s="104" t="s">
        <v>1176</v>
      </c>
      <c r="U137" s="104" t="s">
        <v>1188</v>
      </c>
      <c r="V137" s="104" t="s">
        <v>1177</v>
      </c>
      <c r="W137" s="104" t="s">
        <v>1176</v>
      </c>
      <c r="X137" s="104" t="s">
        <v>2319</v>
      </c>
      <c r="Y137" s="104" t="s">
        <v>1889</v>
      </c>
      <c r="Z137" s="104" t="s">
        <v>2320</v>
      </c>
      <c r="AA137" s="104" t="s">
        <v>1176</v>
      </c>
      <c r="AB137" s="104" t="s">
        <v>1176</v>
      </c>
      <c r="AC137" s="104" t="s">
        <v>1180</v>
      </c>
      <c r="AD137" s="104" t="s">
        <v>1548</v>
      </c>
      <c r="AE137" s="104" t="s">
        <v>1176</v>
      </c>
      <c r="AF137" s="104" t="s">
        <v>1176</v>
      </c>
      <c r="AG137" s="104" t="s">
        <v>1176</v>
      </c>
      <c r="AH137" s="104" t="s">
        <v>1176</v>
      </c>
      <c r="AI137" s="104" t="s">
        <v>1612</v>
      </c>
      <c r="AJ137" s="104" t="s">
        <v>2321</v>
      </c>
      <c r="AK137" s="104" t="s">
        <v>1408</v>
      </c>
      <c r="AL137" s="104" t="s">
        <v>2322</v>
      </c>
      <c r="AM137" s="104" t="s">
        <v>1176</v>
      </c>
      <c r="AN137" s="104" t="s">
        <v>1187</v>
      </c>
      <c r="AO137" s="104" t="s">
        <v>1176</v>
      </c>
      <c r="AP137" s="104" t="s">
        <v>1176</v>
      </c>
      <c r="AQ137" s="104" t="s">
        <v>1176</v>
      </c>
      <c r="AR137" s="104" t="s">
        <v>1176</v>
      </c>
      <c r="AS137" s="104" t="s">
        <v>1176</v>
      </c>
      <c r="AT137" s="104" t="s">
        <v>1176</v>
      </c>
      <c r="AU137" s="104" t="s">
        <v>1176</v>
      </c>
      <c r="AV137" s="104" t="s">
        <v>1176</v>
      </c>
      <c r="AW137" s="104" t="s">
        <v>1176</v>
      </c>
      <c r="AX137" s="104" t="s">
        <v>1176</v>
      </c>
      <c r="AY137" s="104" t="s">
        <v>1176</v>
      </c>
      <c r="AZ137" s="104" t="s">
        <v>1176</v>
      </c>
      <c r="BA137" s="104" t="s">
        <v>1176</v>
      </c>
      <c r="BB137" s="104" t="s">
        <v>1176</v>
      </c>
      <c r="BC137" s="104" t="s">
        <v>1176</v>
      </c>
      <c r="BD137" s="104" t="s">
        <v>1176</v>
      </c>
      <c r="BE137" s="104" t="s">
        <v>1176</v>
      </c>
      <c r="BF137" s="104" t="s">
        <v>1176</v>
      </c>
      <c r="BG137" s="104" t="s">
        <v>2323</v>
      </c>
      <c r="BH137" s="104" t="s">
        <v>2323</v>
      </c>
      <c r="BI137" s="104" t="s">
        <v>2324</v>
      </c>
      <c r="BJ137" s="104" t="s">
        <v>1176</v>
      </c>
      <c r="BK137" s="104" t="s">
        <v>1176</v>
      </c>
      <c r="BL137" s="104" t="s">
        <v>1176</v>
      </c>
      <c r="BM137" s="104" t="s">
        <v>1176</v>
      </c>
      <c r="BN137" s="104" t="s">
        <v>1885</v>
      </c>
      <c r="BO137" s="104" t="s">
        <v>1885</v>
      </c>
      <c r="BP137" s="104" t="s">
        <v>1176</v>
      </c>
      <c r="BQ137" s="104" t="s">
        <v>1176</v>
      </c>
      <c r="BR137" s="104" t="s">
        <v>1176</v>
      </c>
      <c r="BS137" s="104" t="s">
        <v>1176</v>
      </c>
      <c r="BT137" s="104" t="s">
        <v>1328</v>
      </c>
      <c r="BU137" s="104" t="s">
        <v>2325</v>
      </c>
      <c r="BV137" s="104" t="s">
        <v>1176</v>
      </c>
      <c r="BW137" s="104" t="s">
        <v>1176</v>
      </c>
      <c r="BX137" s="104" t="s">
        <v>1176</v>
      </c>
      <c r="BY137" s="104" t="s">
        <v>1176</v>
      </c>
      <c r="BZ137" s="104" t="s">
        <v>1176</v>
      </c>
      <c r="CA137" s="104" t="s">
        <v>1176</v>
      </c>
      <c r="CB137" s="104" t="s">
        <v>1176</v>
      </c>
      <c r="CC137" s="104" t="s">
        <v>1176</v>
      </c>
      <c r="CD137" s="104" t="s">
        <v>1176</v>
      </c>
      <c r="CE137" s="104" t="s">
        <v>1176</v>
      </c>
      <c r="CF137" s="104" t="s">
        <v>1176</v>
      </c>
      <c r="CG137" s="104" t="s">
        <v>1176</v>
      </c>
      <c r="CH137" s="104" t="s">
        <v>1176</v>
      </c>
      <c r="CI137" s="104" t="s">
        <v>1176</v>
      </c>
      <c r="CJ137" s="104" t="s">
        <v>1176</v>
      </c>
      <c r="CK137" s="104" t="s">
        <v>1176</v>
      </c>
      <c r="CL137" s="104" t="s">
        <v>1176</v>
      </c>
      <c r="CM137" s="104" t="s">
        <v>1176</v>
      </c>
      <c r="CN137" s="104" t="s">
        <v>1176</v>
      </c>
      <c r="CO137" s="104" t="s">
        <v>1176</v>
      </c>
    </row>
    <row r="138" s="102" customFormat="1" ht="15" spans="1:93">
      <c r="A138" s="104" t="s">
        <v>1537</v>
      </c>
      <c r="B138" s="104" t="s">
        <v>1146</v>
      </c>
      <c r="C138" s="104" t="s">
        <v>1147</v>
      </c>
      <c r="D138" s="104" t="s">
        <v>2326</v>
      </c>
      <c r="E138" s="104" t="s">
        <v>2327</v>
      </c>
      <c r="F138" s="104">
        <f t="shared" si="2"/>
        <v>162</v>
      </c>
      <c r="G138" s="104" t="s">
        <v>2328</v>
      </c>
      <c r="H138" s="104" t="s">
        <v>1176</v>
      </c>
      <c r="I138" s="104" t="s">
        <v>1176</v>
      </c>
      <c r="J138" s="104" t="s">
        <v>1176</v>
      </c>
      <c r="K138" s="104" t="s">
        <v>1176</v>
      </c>
      <c r="L138" s="104" t="s">
        <v>1211</v>
      </c>
      <c r="M138" s="104" t="s">
        <v>1281</v>
      </c>
      <c r="N138" s="104" t="s">
        <v>1176</v>
      </c>
      <c r="O138" s="104" t="s">
        <v>1176</v>
      </c>
      <c r="P138" s="104" t="s">
        <v>1176</v>
      </c>
      <c r="Q138" s="104" t="s">
        <v>1176</v>
      </c>
      <c r="R138" s="104" t="s">
        <v>1176</v>
      </c>
      <c r="S138" s="104" t="s">
        <v>1176</v>
      </c>
      <c r="T138" s="104" t="s">
        <v>1176</v>
      </c>
      <c r="U138" s="104" t="s">
        <v>1176</v>
      </c>
      <c r="V138" s="104" t="s">
        <v>1212</v>
      </c>
      <c r="W138" s="104" t="s">
        <v>1176</v>
      </c>
      <c r="X138" s="104" t="s">
        <v>2139</v>
      </c>
      <c r="Y138" s="104" t="s">
        <v>1456</v>
      </c>
      <c r="Z138" s="104" t="s">
        <v>2329</v>
      </c>
      <c r="AA138" s="104" t="s">
        <v>1176</v>
      </c>
      <c r="AB138" s="104" t="s">
        <v>1176</v>
      </c>
      <c r="AC138" s="104" t="s">
        <v>1354</v>
      </c>
      <c r="AD138" s="104" t="s">
        <v>1355</v>
      </c>
      <c r="AE138" s="104" t="s">
        <v>1176</v>
      </c>
      <c r="AF138" s="104" t="s">
        <v>1176</v>
      </c>
      <c r="AG138" s="104" t="s">
        <v>1176</v>
      </c>
      <c r="AH138" s="104" t="s">
        <v>1176</v>
      </c>
      <c r="AI138" s="104" t="s">
        <v>1176</v>
      </c>
      <c r="AJ138" s="104" t="s">
        <v>1176</v>
      </c>
      <c r="AK138" s="104" t="s">
        <v>1201</v>
      </c>
      <c r="AL138" s="104" t="s">
        <v>1384</v>
      </c>
      <c r="AM138" s="104" t="s">
        <v>1176</v>
      </c>
      <c r="AN138" s="104" t="s">
        <v>1176</v>
      </c>
      <c r="AO138" s="104" t="s">
        <v>1176</v>
      </c>
      <c r="AP138" s="104" t="s">
        <v>1176</v>
      </c>
      <c r="AQ138" s="104" t="s">
        <v>1176</v>
      </c>
      <c r="AR138" s="104" t="s">
        <v>1176</v>
      </c>
      <c r="AS138" s="104" t="s">
        <v>1176</v>
      </c>
      <c r="AT138" s="104" t="s">
        <v>1176</v>
      </c>
      <c r="AU138" s="104" t="s">
        <v>1176</v>
      </c>
      <c r="AV138" s="104" t="s">
        <v>1176</v>
      </c>
      <c r="AW138" s="104" t="s">
        <v>1176</v>
      </c>
      <c r="AX138" s="104" t="s">
        <v>1176</v>
      </c>
      <c r="AY138" s="104" t="s">
        <v>1176</v>
      </c>
      <c r="AZ138" s="104" t="s">
        <v>1176</v>
      </c>
      <c r="BA138" s="104" t="s">
        <v>1176</v>
      </c>
      <c r="BB138" s="104" t="s">
        <v>1176</v>
      </c>
      <c r="BC138" s="104" t="s">
        <v>1176</v>
      </c>
      <c r="BD138" s="104" t="s">
        <v>1176</v>
      </c>
      <c r="BE138" s="104" t="s">
        <v>1176</v>
      </c>
      <c r="BF138" s="104" t="s">
        <v>1176</v>
      </c>
      <c r="BG138" s="104" t="s">
        <v>1176</v>
      </c>
      <c r="BH138" s="104" t="s">
        <v>1176</v>
      </c>
      <c r="BI138" s="104" t="s">
        <v>1176</v>
      </c>
      <c r="BJ138" s="104" t="s">
        <v>1176</v>
      </c>
      <c r="BK138" s="104" t="s">
        <v>1176</v>
      </c>
      <c r="BL138" s="104" t="s">
        <v>1176</v>
      </c>
      <c r="BM138" s="104" t="s">
        <v>1176</v>
      </c>
      <c r="BN138" s="104" t="s">
        <v>1176</v>
      </c>
      <c r="BO138" s="104" t="s">
        <v>1176</v>
      </c>
      <c r="BP138" s="104" t="s">
        <v>1176</v>
      </c>
      <c r="BQ138" s="104" t="s">
        <v>1176</v>
      </c>
      <c r="BR138" s="104" t="s">
        <v>1176</v>
      </c>
      <c r="BS138" s="104" t="s">
        <v>1176</v>
      </c>
      <c r="BT138" s="104" t="s">
        <v>1176</v>
      </c>
      <c r="BU138" s="104" t="s">
        <v>1176</v>
      </c>
      <c r="BV138" s="104" t="s">
        <v>1176</v>
      </c>
      <c r="BW138" s="104" t="s">
        <v>1176</v>
      </c>
      <c r="BX138" s="104" t="s">
        <v>1176</v>
      </c>
      <c r="BY138" s="104" t="s">
        <v>1176</v>
      </c>
      <c r="BZ138" s="104" t="s">
        <v>1176</v>
      </c>
      <c r="CA138" s="104" t="s">
        <v>1176</v>
      </c>
      <c r="CB138" s="104" t="s">
        <v>1176</v>
      </c>
      <c r="CC138" s="104" t="s">
        <v>1176</v>
      </c>
      <c r="CD138" s="104" t="s">
        <v>1176</v>
      </c>
      <c r="CE138" s="104" t="s">
        <v>1176</v>
      </c>
      <c r="CF138" s="104" t="s">
        <v>1176</v>
      </c>
      <c r="CG138" s="104" t="s">
        <v>1176</v>
      </c>
      <c r="CH138" s="104" t="s">
        <v>1176</v>
      </c>
      <c r="CI138" s="104" t="s">
        <v>1176</v>
      </c>
      <c r="CJ138" s="104" t="s">
        <v>1176</v>
      </c>
      <c r="CK138" s="104" t="s">
        <v>1176</v>
      </c>
      <c r="CL138" s="104" t="s">
        <v>1176</v>
      </c>
      <c r="CM138" s="104" t="s">
        <v>1176</v>
      </c>
      <c r="CN138" s="104" t="s">
        <v>1176</v>
      </c>
      <c r="CO138" s="104" t="s">
        <v>1176</v>
      </c>
    </row>
    <row r="139" s="102" customFormat="1" ht="15" spans="1:93">
      <c r="A139" s="104" t="s">
        <v>1535</v>
      </c>
      <c r="B139" s="104" t="s">
        <v>1146</v>
      </c>
      <c r="C139" s="104" t="s">
        <v>1147</v>
      </c>
      <c r="D139" s="104" t="s">
        <v>2330</v>
      </c>
      <c r="E139" s="104" t="s">
        <v>2331</v>
      </c>
      <c r="F139" s="104">
        <f t="shared" si="2"/>
        <v>2079</v>
      </c>
      <c r="G139" s="104" t="s">
        <v>2332</v>
      </c>
      <c r="H139" s="104" t="s">
        <v>1176</v>
      </c>
      <c r="I139" s="104" t="s">
        <v>1176</v>
      </c>
      <c r="J139" s="104" t="s">
        <v>1176</v>
      </c>
      <c r="K139" s="104" t="s">
        <v>1176</v>
      </c>
      <c r="L139" s="104" t="s">
        <v>1476</v>
      </c>
      <c r="M139" s="104" t="s">
        <v>2333</v>
      </c>
      <c r="N139" s="104" t="s">
        <v>1176</v>
      </c>
      <c r="O139" s="104" t="s">
        <v>1176</v>
      </c>
      <c r="P139" s="104" t="s">
        <v>1176</v>
      </c>
      <c r="Q139" s="104" t="s">
        <v>1176</v>
      </c>
      <c r="R139" s="104" t="s">
        <v>1176</v>
      </c>
      <c r="S139" s="104" t="s">
        <v>1176</v>
      </c>
      <c r="T139" s="104" t="s">
        <v>1176</v>
      </c>
      <c r="U139" s="104" t="s">
        <v>1172</v>
      </c>
      <c r="V139" s="104" t="s">
        <v>1312</v>
      </c>
      <c r="W139" s="104" t="s">
        <v>1176</v>
      </c>
      <c r="X139" s="104" t="s">
        <v>1176</v>
      </c>
      <c r="Y139" s="104" t="s">
        <v>1176</v>
      </c>
      <c r="Z139" s="104" t="s">
        <v>1176</v>
      </c>
      <c r="AA139" s="104" t="s">
        <v>1176</v>
      </c>
      <c r="AB139" s="104" t="s">
        <v>1176</v>
      </c>
      <c r="AC139" s="104" t="s">
        <v>1176</v>
      </c>
      <c r="AD139" s="104" t="s">
        <v>1176</v>
      </c>
      <c r="AE139" s="104" t="s">
        <v>1176</v>
      </c>
      <c r="AF139" s="104" t="s">
        <v>1176</v>
      </c>
      <c r="AG139" s="104" t="s">
        <v>1176</v>
      </c>
      <c r="AH139" s="104" t="s">
        <v>1176</v>
      </c>
      <c r="AI139" s="104" t="s">
        <v>1176</v>
      </c>
      <c r="AJ139" s="104" t="s">
        <v>1176</v>
      </c>
      <c r="AK139" s="104" t="s">
        <v>1176</v>
      </c>
      <c r="AL139" s="104" t="s">
        <v>1176</v>
      </c>
      <c r="AM139" s="104" t="s">
        <v>1176</v>
      </c>
      <c r="AN139" s="104" t="s">
        <v>1176</v>
      </c>
      <c r="AO139" s="104" t="s">
        <v>1176</v>
      </c>
      <c r="AP139" s="104" t="s">
        <v>1176</v>
      </c>
      <c r="AQ139" s="104" t="s">
        <v>1176</v>
      </c>
      <c r="AR139" s="104" t="s">
        <v>1176</v>
      </c>
      <c r="AS139" s="104" t="s">
        <v>1176</v>
      </c>
      <c r="AT139" s="104" t="s">
        <v>1176</v>
      </c>
      <c r="AU139" s="104" t="s">
        <v>1176</v>
      </c>
      <c r="AV139" s="104" t="s">
        <v>1176</v>
      </c>
      <c r="AW139" s="104" t="s">
        <v>1176</v>
      </c>
      <c r="AX139" s="104" t="s">
        <v>1176</v>
      </c>
      <c r="AY139" s="104" t="s">
        <v>1176</v>
      </c>
      <c r="AZ139" s="104" t="s">
        <v>1176</v>
      </c>
      <c r="BA139" s="104" t="s">
        <v>1176</v>
      </c>
      <c r="BB139" s="104" t="s">
        <v>1176</v>
      </c>
      <c r="BC139" s="104" t="s">
        <v>1176</v>
      </c>
      <c r="BD139" s="104" t="s">
        <v>1176</v>
      </c>
      <c r="BE139" s="104" t="s">
        <v>1176</v>
      </c>
      <c r="BF139" s="104" t="s">
        <v>1176</v>
      </c>
      <c r="BG139" s="104" t="s">
        <v>1472</v>
      </c>
      <c r="BH139" s="104" t="s">
        <v>1472</v>
      </c>
      <c r="BI139" s="104" t="s">
        <v>1472</v>
      </c>
      <c r="BJ139" s="104" t="s">
        <v>1176</v>
      </c>
      <c r="BK139" s="104" t="s">
        <v>1176</v>
      </c>
      <c r="BL139" s="104" t="s">
        <v>1176</v>
      </c>
      <c r="BM139" s="104" t="s">
        <v>1176</v>
      </c>
      <c r="BN139" s="104" t="s">
        <v>1176</v>
      </c>
      <c r="BO139" s="104" t="s">
        <v>1176</v>
      </c>
      <c r="BP139" s="104" t="s">
        <v>1176</v>
      </c>
      <c r="BQ139" s="104" t="s">
        <v>1176</v>
      </c>
      <c r="BR139" s="104" t="s">
        <v>1176</v>
      </c>
      <c r="BS139" s="104" t="s">
        <v>1176</v>
      </c>
      <c r="BT139" s="104" t="s">
        <v>1472</v>
      </c>
      <c r="BU139" s="104" t="s">
        <v>1472</v>
      </c>
      <c r="BV139" s="104" t="s">
        <v>1176</v>
      </c>
      <c r="BW139" s="104" t="s">
        <v>1176</v>
      </c>
      <c r="BX139" s="104" t="s">
        <v>1176</v>
      </c>
      <c r="BY139" s="104" t="s">
        <v>1176</v>
      </c>
      <c r="BZ139" s="104" t="s">
        <v>1176</v>
      </c>
      <c r="CA139" s="104" t="s">
        <v>1176</v>
      </c>
      <c r="CB139" s="104" t="s">
        <v>1176</v>
      </c>
      <c r="CC139" s="104" t="s">
        <v>1176</v>
      </c>
      <c r="CD139" s="104" t="s">
        <v>1176</v>
      </c>
      <c r="CE139" s="104" t="s">
        <v>1176</v>
      </c>
      <c r="CF139" s="104" t="s">
        <v>1176</v>
      </c>
      <c r="CG139" s="104" t="s">
        <v>1176</v>
      </c>
      <c r="CH139" s="104" t="s">
        <v>1176</v>
      </c>
      <c r="CI139" s="104" t="s">
        <v>1176</v>
      </c>
      <c r="CJ139" s="104" t="s">
        <v>1176</v>
      </c>
      <c r="CK139" s="104" t="s">
        <v>1176</v>
      </c>
      <c r="CL139" s="104" t="s">
        <v>1176</v>
      </c>
      <c r="CM139" s="104" t="s">
        <v>1176</v>
      </c>
      <c r="CN139" s="104" t="s">
        <v>1176</v>
      </c>
      <c r="CO139" s="104" t="s">
        <v>1176</v>
      </c>
    </row>
    <row r="140" s="102" customFormat="1" ht="15" spans="1:93">
      <c r="A140" s="104" t="s">
        <v>2216</v>
      </c>
      <c r="B140" s="104" t="s">
        <v>1146</v>
      </c>
      <c r="C140" s="104" t="s">
        <v>1147</v>
      </c>
      <c r="D140" s="104" t="s">
        <v>2334</v>
      </c>
      <c r="E140" s="104" t="s">
        <v>2335</v>
      </c>
      <c r="F140" s="104">
        <f t="shared" si="2"/>
        <v>6447</v>
      </c>
      <c r="G140" s="104" t="s">
        <v>2336</v>
      </c>
      <c r="H140" s="104" t="s">
        <v>1176</v>
      </c>
      <c r="I140" s="104" t="s">
        <v>1176</v>
      </c>
      <c r="J140" s="104" t="s">
        <v>1176</v>
      </c>
      <c r="K140" s="104" t="s">
        <v>1176</v>
      </c>
      <c r="L140" s="104" t="s">
        <v>1205</v>
      </c>
      <c r="M140" s="104" t="s">
        <v>2337</v>
      </c>
      <c r="N140" s="104" t="s">
        <v>1180</v>
      </c>
      <c r="O140" s="104" t="s">
        <v>1176</v>
      </c>
      <c r="P140" s="104" t="s">
        <v>1176</v>
      </c>
      <c r="Q140" s="104" t="s">
        <v>1176</v>
      </c>
      <c r="R140" s="104" t="s">
        <v>1176</v>
      </c>
      <c r="S140" s="104" t="s">
        <v>1176</v>
      </c>
      <c r="T140" s="104" t="s">
        <v>1176</v>
      </c>
      <c r="U140" s="104" t="s">
        <v>1187</v>
      </c>
      <c r="V140" s="104" t="s">
        <v>1384</v>
      </c>
      <c r="W140" s="104" t="s">
        <v>1176</v>
      </c>
      <c r="X140" s="104" t="s">
        <v>2338</v>
      </c>
      <c r="Y140" s="104" t="s">
        <v>1429</v>
      </c>
      <c r="Z140" s="104" t="s">
        <v>2339</v>
      </c>
      <c r="AA140" s="104" t="s">
        <v>1176</v>
      </c>
      <c r="AB140" s="104" t="s">
        <v>1176</v>
      </c>
      <c r="AC140" s="104" t="s">
        <v>1176</v>
      </c>
      <c r="AD140" s="104" t="s">
        <v>1176</v>
      </c>
      <c r="AE140" s="104" t="s">
        <v>1176</v>
      </c>
      <c r="AF140" s="104" t="s">
        <v>1176</v>
      </c>
      <c r="AG140" s="104" t="s">
        <v>1176</v>
      </c>
      <c r="AH140" s="104" t="s">
        <v>1176</v>
      </c>
      <c r="AI140" s="104" t="s">
        <v>1429</v>
      </c>
      <c r="AJ140" s="104" t="s">
        <v>2340</v>
      </c>
      <c r="AK140" s="104" t="s">
        <v>1176</v>
      </c>
      <c r="AL140" s="104" t="s">
        <v>1176</v>
      </c>
      <c r="AM140" s="104" t="s">
        <v>1176</v>
      </c>
      <c r="AN140" s="104" t="s">
        <v>1176</v>
      </c>
      <c r="AO140" s="104" t="s">
        <v>1176</v>
      </c>
      <c r="AP140" s="104" t="s">
        <v>1172</v>
      </c>
      <c r="AQ140" s="104" t="s">
        <v>1176</v>
      </c>
      <c r="AR140" s="104" t="s">
        <v>1176</v>
      </c>
      <c r="AS140" s="104" t="s">
        <v>1176</v>
      </c>
      <c r="AT140" s="104" t="s">
        <v>1176</v>
      </c>
      <c r="AU140" s="104" t="s">
        <v>1176</v>
      </c>
      <c r="AV140" s="104" t="s">
        <v>1176</v>
      </c>
      <c r="AW140" s="104" t="s">
        <v>1176</v>
      </c>
      <c r="AX140" s="104" t="s">
        <v>1176</v>
      </c>
      <c r="AY140" s="104" t="s">
        <v>1176</v>
      </c>
      <c r="AZ140" s="104" t="s">
        <v>1176</v>
      </c>
      <c r="BA140" s="104" t="s">
        <v>1176</v>
      </c>
      <c r="BB140" s="104" t="s">
        <v>1176</v>
      </c>
      <c r="BC140" s="104" t="s">
        <v>1176</v>
      </c>
      <c r="BD140" s="104" t="s">
        <v>1176</v>
      </c>
      <c r="BE140" s="104" t="s">
        <v>1176</v>
      </c>
      <c r="BF140" s="104" t="s">
        <v>1176</v>
      </c>
      <c r="BG140" s="104" t="s">
        <v>1188</v>
      </c>
      <c r="BH140" s="104" t="s">
        <v>1188</v>
      </c>
      <c r="BI140" s="104" t="s">
        <v>1822</v>
      </c>
      <c r="BJ140" s="104" t="s">
        <v>1176</v>
      </c>
      <c r="BK140" s="104" t="s">
        <v>1176</v>
      </c>
      <c r="BL140" s="104" t="s">
        <v>1176</v>
      </c>
      <c r="BM140" s="104" t="s">
        <v>1176</v>
      </c>
      <c r="BN140" s="104" t="s">
        <v>1176</v>
      </c>
      <c r="BO140" s="104" t="s">
        <v>1176</v>
      </c>
      <c r="BP140" s="104" t="s">
        <v>1176</v>
      </c>
      <c r="BQ140" s="104" t="s">
        <v>1176</v>
      </c>
      <c r="BR140" s="104" t="s">
        <v>1176</v>
      </c>
      <c r="BS140" s="104" t="s">
        <v>1176</v>
      </c>
      <c r="BT140" s="104" t="s">
        <v>1188</v>
      </c>
      <c r="BU140" s="104" t="s">
        <v>1822</v>
      </c>
      <c r="BV140" s="104" t="s">
        <v>1176</v>
      </c>
      <c r="BW140" s="104" t="s">
        <v>1176</v>
      </c>
      <c r="BX140" s="104" t="s">
        <v>1176</v>
      </c>
      <c r="BY140" s="104" t="s">
        <v>1176</v>
      </c>
      <c r="BZ140" s="104" t="s">
        <v>1176</v>
      </c>
      <c r="CA140" s="104" t="s">
        <v>1176</v>
      </c>
      <c r="CB140" s="104" t="s">
        <v>1176</v>
      </c>
      <c r="CC140" s="104" t="s">
        <v>1176</v>
      </c>
      <c r="CD140" s="104" t="s">
        <v>1176</v>
      </c>
      <c r="CE140" s="104" t="s">
        <v>1176</v>
      </c>
      <c r="CF140" s="104" t="s">
        <v>1176</v>
      </c>
      <c r="CG140" s="104" t="s">
        <v>1176</v>
      </c>
      <c r="CH140" s="104" t="s">
        <v>1176</v>
      </c>
      <c r="CI140" s="104" t="s">
        <v>1176</v>
      </c>
      <c r="CJ140" s="104" t="s">
        <v>1176</v>
      </c>
      <c r="CK140" s="104" t="s">
        <v>1176</v>
      </c>
      <c r="CL140" s="104" t="s">
        <v>1176</v>
      </c>
      <c r="CM140" s="104" t="s">
        <v>1176</v>
      </c>
      <c r="CN140" s="104" t="s">
        <v>1176</v>
      </c>
      <c r="CO140" s="104" t="s">
        <v>1176</v>
      </c>
    </row>
    <row r="141" s="102" customFormat="1" ht="15" spans="1:93">
      <c r="A141" s="104" t="s">
        <v>2341</v>
      </c>
      <c r="B141" s="104" t="s">
        <v>1146</v>
      </c>
      <c r="C141" s="104" t="s">
        <v>1147</v>
      </c>
      <c r="D141" s="104" t="s">
        <v>2342</v>
      </c>
      <c r="E141" s="104" t="s">
        <v>2343</v>
      </c>
      <c r="F141" s="104">
        <f t="shared" si="2"/>
        <v>2601</v>
      </c>
      <c r="G141" s="104" t="s">
        <v>2344</v>
      </c>
      <c r="H141" s="104" t="s">
        <v>1176</v>
      </c>
      <c r="I141" s="104" t="s">
        <v>1176</v>
      </c>
      <c r="J141" s="104" t="s">
        <v>1176</v>
      </c>
      <c r="K141" s="104" t="s">
        <v>1176</v>
      </c>
      <c r="L141" s="104" t="s">
        <v>1223</v>
      </c>
      <c r="M141" s="104" t="s">
        <v>2345</v>
      </c>
      <c r="N141" s="104" t="s">
        <v>1176</v>
      </c>
      <c r="O141" s="104" t="s">
        <v>1176</v>
      </c>
      <c r="P141" s="104" t="s">
        <v>1176</v>
      </c>
      <c r="Q141" s="104" t="s">
        <v>1176</v>
      </c>
      <c r="R141" s="104" t="s">
        <v>1176</v>
      </c>
      <c r="S141" s="104" t="s">
        <v>1176</v>
      </c>
      <c r="T141" s="104" t="s">
        <v>1176</v>
      </c>
      <c r="U141" s="104" t="s">
        <v>1176</v>
      </c>
      <c r="V141" s="104" t="s">
        <v>2346</v>
      </c>
      <c r="W141" s="104" t="s">
        <v>1176</v>
      </c>
      <c r="X141" s="104" t="s">
        <v>2347</v>
      </c>
      <c r="Y141" s="104" t="s">
        <v>1906</v>
      </c>
      <c r="Z141" s="104" t="s">
        <v>2348</v>
      </c>
      <c r="AA141" s="104" t="s">
        <v>1176</v>
      </c>
      <c r="AB141" s="104" t="s">
        <v>1176</v>
      </c>
      <c r="AC141" s="104" t="s">
        <v>1176</v>
      </c>
      <c r="AD141" s="104" t="s">
        <v>1176</v>
      </c>
      <c r="AE141" s="104" t="s">
        <v>1176</v>
      </c>
      <c r="AF141" s="104" t="s">
        <v>1176</v>
      </c>
      <c r="AG141" s="104" t="s">
        <v>1176</v>
      </c>
      <c r="AH141" s="104" t="s">
        <v>1176</v>
      </c>
      <c r="AI141" s="104" t="s">
        <v>1176</v>
      </c>
      <c r="AJ141" s="104" t="s">
        <v>1187</v>
      </c>
      <c r="AK141" s="104" t="s">
        <v>1906</v>
      </c>
      <c r="AL141" s="104" t="s">
        <v>2349</v>
      </c>
      <c r="AM141" s="104" t="s">
        <v>1176</v>
      </c>
      <c r="AN141" s="104" t="s">
        <v>1176</v>
      </c>
      <c r="AO141" s="104" t="s">
        <v>1176</v>
      </c>
      <c r="AP141" s="104" t="s">
        <v>1176</v>
      </c>
      <c r="AQ141" s="104" t="s">
        <v>1176</v>
      </c>
      <c r="AR141" s="104" t="s">
        <v>1176</v>
      </c>
      <c r="AS141" s="104" t="s">
        <v>1176</v>
      </c>
      <c r="AT141" s="104" t="s">
        <v>1176</v>
      </c>
      <c r="AU141" s="104" t="s">
        <v>1176</v>
      </c>
      <c r="AV141" s="104" t="s">
        <v>1176</v>
      </c>
      <c r="AW141" s="104" t="s">
        <v>1176</v>
      </c>
      <c r="AX141" s="104" t="s">
        <v>1176</v>
      </c>
      <c r="AY141" s="104" t="s">
        <v>1176</v>
      </c>
      <c r="AZ141" s="104" t="s">
        <v>1176</v>
      </c>
      <c r="BA141" s="104" t="s">
        <v>1176</v>
      </c>
      <c r="BB141" s="104" t="s">
        <v>1176</v>
      </c>
      <c r="BC141" s="104" t="s">
        <v>1176</v>
      </c>
      <c r="BD141" s="104" t="s">
        <v>1176</v>
      </c>
      <c r="BE141" s="104" t="s">
        <v>1176</v>
      </c>
      <c r="BF141" s="104" t="s">
        <v>1176</v>
      </c>
      <c r="BG141" s="104" t="s">
        <v>1176</v>
      </c>
      <c r="BH141" s="104" t="s">
        <v>1176</v>
      </c>
      <c r="BI141" s="104" t="s">
        <v>1176</v>
      </c>
      <c r="BJ141" s="104" t="s">
        <v>1176</v>
      </c>
      <c r="BK141" s="104" t="s">
        <v>1176</v>
      </c>
      <c r="BL141" s="104" t="s">
        <v>1176</v>
      </c>
      <c r="BM141" s="104" t="s">
        <v>1176</v>
      </c>
      <c r="BN141" s="104" t="s">
        <v>1176</v>
      </c>
      <c r="BO141" s="104" t="s">
        <v>1176</v>
      </c>
      <c r="BP141" s="104" t="s">
        <v>1176</v>
      </c>
      <c r="BQ141" s="104" t="s">
        <v>1176</v>
      </c>
      <c r="BR141" s="104" t="s">
        <v>1176</v>
      </c>
      <c r="BS141" s="104" t="s">
        <v>1176</v>
      </c>
      <c r="BT141" s="104" t="s">
        <v>1176</v>
      </c>
      <c r="BU141" s="104" t="s">
        <v>1176</v>
      </c>
      <c r="BV141" s="104" t="s">
        <v>1176</v>
      </c>
      <c r="BW141" s="104" t="s">
        <v>1176</v>
      </c>
      <c r="BX141" s="104" t="s">
        <v>1176</v>
      </c>
      <c r="BY141" s="104" t="s">
        <v>1176</v>
      </c>
      <c r="BZ141" s="104" t="s">
        <v>1176</v>
      </c>
      <c r="CA141" s="104" t="s">
        <v>1176</v>
      </c>
      <c r="CB141" s="104" t="s">
        <v>1176</v>
      </c>
      <c r="CC141" s="104" t="s">
        <v>1176</v>
      </c>
      <c r="CD141" s="104" t="s">
        <v>1176</v>
      </c>
      <c r="CE141" s="104" t="s">
        <v>1176</v>
      </c>
      <c r="CF141" s="104" t="s">
        <v>1176</v>
      </c>
      <c r="CG141" s="104" t="s">
        <v>1176</v>
      </c>
      <c r="CH141" s="104" t="s">
        <v>1176</v>
      </c>
      <c r="CI141" s="104" t="s">
        <v>1176</v>
      </c>
      <c r="CJ141" s="104" t="s">
        <v>1176</v>
      </c>
      <c r="CK141" s="104" t="s">
        <v>1176</v>
      </c>
      <c r="CL141" s="104" t="s">
        <v>1176</v>
      </c>
      <c r="CM141" s="104" t="s">
        <v>1176</v>
      </c>
      <c r="CN141" s="104" t="s">
        <v>1176</v>
      </c>
      <c r="CO141" s="104" t="s">
        <v>1176</v>
      </c>
    </row>
    <row r="142" s="102" customFormat="1" ht="15" spans="1:93">
      <c r="A142" s="104" t="s">
        <v>1507</v>
      </c>
      <c r="B142" s="104" t="s">
        <v>1146</v>
      </c>
      <c r="C142" s="104" t="s">
        <v>1147</v>
      </c>
      <c r="D142" s="104" t="s">
        <v>2350</v>
      </c>
      <c r="E142" s="104" t="s">
        <v>2351</v>
      </c>
      <c r="F142" s="104">
        <f t="shared" si="2"/>
        <v>1373</v>
      </c>
      <c r="G142" s="104" t="s">
        <v>2352</v>
      </c>
      <c r="H142" s="104" t="s">
        <v>1176</v>
      </c>
      <c r="I142" s="104" t="s">
        <v>1176</v>
      </c>
      <c r="J142" s="104" t="s">
        <v>1176</v>
      </c>
      <c r="K142" s="104" t="s">
        <v>1176</v>
      </c>
      <c r="L142" s="104" t="s">
        <v>1187</v>
      </c>
      <c r="M142" s="104" t="s">
        <v>2109</v>
      </c>
      <c r="N142" s="104" t="s">
        <v>1232</v>
      </c>
      <c r="O142" s="104" t="s">
        <v>1176</v>
      </c>
      <c r="P142" s="104" t="s">
        <v>1176</v>
      </c>
      <c r="Q142" s="104" t="s">
        <v>1176</v>
      </c>
      <c r="R142" s="104" t="s">
        <v>1176</v>
      </c>
      <c r="S142" s="104" t="s">
        <v>1176</v>
      </c>
      <c r="T142" s="104" t="s">
        <v>1176</v>
      </c>
      <c r="U142" s="104" t="s">
        <v>1180</v>
      </c>
      <c r="V142" s="104" t="s">
        <v>1860</v>
      </c>
      <c r="W142" s="104" t="s">
        <v>1176</v>
      </c>
      <c r="X142" s="104" t="s">
        <v>2353</v>
      </c>
      <c r="Y142" s="104" t="s">
        <v>2354</v>
      </c>
      <c r="Z142" s="104" t="s">
        <v>2355</v>
      </c>
      <c r="AA142" s="104" t="s">
        <v>1176</v>
      </c>
      <c r="AB142" s="104" t="s">
        <v>1176</v>
      </c>
      <c r="AC142" s="104" t="s">
        <v>1176</v>
      </c>
      <c r="AD142" s="104" t="s">
        <v>1176</v>
      </c>
      <c r="AE142" s="104" t="s">
        <v>1176</v>
      </c>
      <c r="AF142" s="104" t="s">
        <v>1176</v>
      </c>
      <c r="AG142" s="104" t="s">
        <v>1176</v>
      </c>
      <c r="AH142" s="104" t="s">
        <v>1176</v>
      </c>
      <c r="AI142" s="104" t="s">
        <v>1176</v>
      </c>
      <c r="AJ142" s="104" t="s">
        <v>1172</v>
      </c>
      <c r="AK142" s="104" t="s">
        <v>2354</v>
      </c>
      <c r="AL142" s="104" t="s">
        <v>2356</v>
      </c>
      <c r="AM142" s="104" t="s">
        <v>1176</v>
      </c>
      <c r="AN142" s="104" t="s">
        <v>1176</v>
      </c>
      <c r="AO142" s="104" t="s">
        <v>1176</v>
      </c>
      <c r="AP142" s="104" t="s">
        <v>1176</v>
      </c>
      <c r="AQ142" s="104" t="s">
        <v>1176</v>
      </c>
      <c r="AR142" s="104" t="s">
        <v>1176</v>
      </c>
      <c r="AS142" s="104" t="s">
        <v>1176</v>
      </c>
      <c r="AT142" s="104" t="s">
        <v>1176</v>
      </c>
      <c r="AU142" s="104" t="s">
        <v>1176</v>
      </c>
      <c r="AV142" s="104" t="s">
        <v>1176</v>
      </c>
      <c r="AW142" s="104" t="s">
        <v>1176</v>
      </c>
      <c r="AX142" s="104" t="s">
        <v>1176</v>
      </c>
      <c r="AY142" s="104" t="s">
        <v>1176</v>
      </c>
      <c r="AZ142" s="104" t="s">
        <v>1176</v>
      </c>
      <c r="BA142" s="104" t="s">
        <v>1176</v>
      </c>
      <c r="BB142" s="104" t="s">
        <v>1176</v>
      </c>
      <c r="BC142" s="104" t="s">
        <v>1176</v>
      </c>
      <c r="BD142" s="104" t="s">
        <v>1176</v>
      </c>
      <c r="BE142" s="104" t="s">
        <v>1176</v>
      </c>
      <c r="BF142" s="104" t="s">
        <v>1176</v>
      </c>
      <c r="BG142" s="104" t="s">
        <v>1176</v>
      </c>
      <c r="BH142" s="104" t="s">
        <v>1176</v>
      </c>
      <c r="BI142" s="104" t="s">
        <v>1176</v>
      </c>
      <c r="BJ142" s="104" t="s">
        <v>1176</v>
      </c>
      <c r="BK142" s="104" t="s">
        <v>1176</v>
      </c>
      <c r="BL142" s="104" t="s">
        <v>1176</v>
      </c>
      <c r="BM142" s="104" t="s">
        <v>1176</v>
      </c>
      <c r="BN142" s="104" t="s">
        <v>1176</v>
      </c>
      <c r="BO142" s="104" t="s">
        <v>1176</v>
      </c>
      <c r="BP142" s="104" t="s">
        <v>1176</v>
      </c>
      <c r="BQ142" s="104" t="s">
        <v>1176</v>
      </c>
      <c r="BR142" s="104" t="s">
        <v>1176</v>
      </c>
      <c r="BS142" s="104" t="s">
        <v>1176</v>
      </c>
      <c r="BT142" s="104" t="s">
        <v>1176</v>
      </c>
      <c r="BU142" s="104" t="s">
        <v>1176</v>
      </c>
      <c r="BV142" s="104" t="s">
        <v>1176</v>
      </c>
      <c r="BW142" s="104" t="s">
        <v>1176</v>
      </c>
      <c r="BX142" s="104" t="s">
        <v>1176</v>
      </c>
      <c r="BY142" s="104" t="s">
        <v>1176</v>
      </c>
      <c r="BZ142" s="104" t="s">
        <v>1176</v>
      </c>
      <c r="CA142" s="104" t="s">
        <v>1176</v>
      </c>
      <c r="CB142" s="104" t="s">
        <v>1176</v>
      </c>
      <c r="CC142" s="104" t="s">
        <v>1176</v>
      </c>
      <c r="CD142" s="104" t="s">
        <v>1176</v>
      </c>
      <c r="CE142" s="104" t="s">
        <v>1176</v>
      </c>
      <c r="CF142" s="104" t="s">
        <v>1176</v>
      </c>
      <c r="CG142" s="104" t="s">
        <v>1176</v>
      </c>
      <c r="CH142" s="104" t="s">
        <v>1176</v>
      </c>
      <c r="CI142" s="104" t="s">
        <v>1176</v>
      </c>
      <c r="CJ142" s="104" t="s">
        <v>1176</v>
      </c>
      <c r="CK142" s="104" t="s">
        <v>1176</v>
      </c>
      <c r="CL142" s="104" t="s">
        <v>1176</v>
      </c>
      <c r="CM142" s="104" t="s">
        <v>1176</v>
      </c>
      <c r="CN142" s="104" t="s">
        <v>1176</v>
      </c>
      <c r="CO142" s="104" t="s">
        <v>1176</v>
      </c>
    </row>
    <row r="143" s="102" customFormat="1" ht="15" spans="1:93">
      <c r="A143" s="104" t="s">
        <v>2260</v>
      </c>
      <c r="B143" s="104" t="s">
        <v>1146</v>
      </c>
      <c r="C143" s="104" t="s">
        <v>1147</v>
      </c>
      <c r="D143" s="104" t="s">
        <v>2357</v>
      </c>
      <c r="E143" s="104" t="s">
        <v>2358</v>
      </c>
      <c r="F143" s="104">
        <f t="shared" si="2"/>
        <v>3773</v>
      </c>
      <c r="G143" s="104" t="s">
        <v>2359</v>
      </c>
      <c r="H143" s="104" t="s">
        <v>1176</v>
      </c>
      <c r="I143" s="104" t="s">
        <v>1176</v>
      </c>
      <c r="J143" s="104" t="s">
        <v>1176</v>
      </c>
      <c r="K143" s="104" t="s">
        <v>1176</v>
      </c>
      <c r="L143" s="104" t="s">
        <v>1701</v>
      </c>
      <c r="M143" s="104" t="s">
        <v>2360</v>
      </c>
      <c r="N143" s="104" t="s">
        <v>1179</v>
      </c>
      <c r="O143" s="104" t="s">
        <v>1176</v>
      </c>
      <c r="P143" s="104" t="s">
        <v>1176</v>
      </c>
      <c r="Q143" s="104" t="s">
        <v>1176</v>
      </c>
      <c r="R143" s="104" t="s">
        <v>1176</v>
      </c>
      <c r="S143" s="104" t="s">
        <v>1176</v>
      </c>
      <c r="T143" s="104" t="s">
        <v>1176</v>
      </c>
      <c r="U143" s="104" t="s">
        <v>1201</v>
      </c>
      <c r="V143" s="104" t="s">
        <v>2177</v>
      </c>
      <c r="W143" s="104" t="s">
        <v>1176</v>
      </c>
      <c r="X143" s="104" t="s">
        <v>2361</v>
      </c>
      <c r="Y143" s="104" t="s">
        <v>1294</v>
      </c>
      <c r="Z143" s="104" t="s">
        <v>2362</v>
      </c>
      <c r="AA143" s="104" t="s">
        <v>1176</v>
      </c>
      <c r="AB143" s="104" t="s">
        <v>1176</v>
      </c>
      <c r="AC143" s="104" t="s">
        <v>1176</v>
      </c>
      <c r="AD143" s="104" t="s">
        <v>1176</v>
      </c>
      <c r="AE143" s="104" t="s">
        <v>1176</v>
      </c>
      <c r="AF143" s="104" t="s">
        <v>1176</v>
      </c>
      <c r="AG143" s="104" t="s">
        <v>1176</v>
      </c>
      <c r="AH143" s="104" t="s">
        <v>1176</v>
      </c>
      <c r="AI143" s="104" t="s">
        <v>1232</v>
      </c>
      <c r="AJ143" s="104" t="s">
        <v>1730</v>
      </c>
      <c r="AK143" s="104" t="s">
        <v>1900</v>
      </c>
      <c r="AL143" s="104" t="s">
        <v>2363</v>
      </c>
      <c r="AM143" s="104" t="s">
        <v>1176</v>
      </c>
      <c r="AN143" s="104" t="s">
        <v>1172</v>
      </c>
      <c r="AO143" s="104" t="s">
        <v>1176</v>
      </c>
      <c r="AP143" s="104" t="s">
        <v>1176</v>
      </c>
      <c r="AQ143" s="104" t="s">
        <v>1176</v>
      </c>
      <c r="AR143" s="104" t="s">
        <v>1176</v>
      </c>
      <c r="AS143" s="104" t="s">
        <v>1176</v>
      </c>
      <c r="AT143" s="104" t="s">
        <v>1176</v>
      </c>
      <c r="AU143" s="104" t="s">
        <v>1176</v>
      </c>
      <c r="AV143" s="104" t="s">
        <v>1176</v>
      </c>
      <c r="AW143" s="104" t="s">
        <v>1176</v>
      </c>
      <c r="AX143" s="104" t="s">
        <v>1176</v>
      </c>
      <c r="AY143" s="104" t="s">
        <v>1176</v>
      </c>
      <c r="AZ143" s="104" t="s">
        <v>1176</v>
      </c>
      <c r="BA143" s="104" t="s">
        <v>1176</v>
      </c>
      <c r="BB143" s="104" t="s">
        <v>1176</v>
      </c>
      <c r="BC143" s="104" t="s">
        <v>1176</v>
      </c>
      <c r="BD143" s="104" t="s">
        <v>1176</v>
      </c>
      <c r="BE143" s="104" t="s">
        <v>1176</v>
      </c>
      <c r="BF143" s="104" t="s">
        <v>1176</v>
      </c>
      <c r="BG143" s="104" t="s">
        <v>1839</v>
      </c>
      <c r="BH143" s="104" t="s">
        <v>1839</v>
      </c>
      <c r="BI143" s="104" t="s">
        <v>2364</v>
      </c>
      <c r="BJ143" s="104" t="s">
        <v>1176</v>
      </c>
      <c r="BK143" s="104" t="s">
        <v>1176</v>
      </c>
      <c r="BL143" s="104" t="s">
        <v>1176</v>
      </c>
      <c r="BM143" s="104" t="s">
        <v>1176</v>
      </c>
      <c r="BN143" s="104" t="s">
        <v>1176</v>
      </c>
      <c r="BO143" s="104" t="s">
        <v>1176</v>
      </c>
      <c r="BP143" s="104" t="s">
        <v>1176</v>
      </c>
      <c r="BQ143" s="104" t="s">
        <v>1176</v>
      </c>
      <c r="BR143" s="104" t="s">
        <v>1176</v>
      </c>
      <c r="BS143" s="104" t="s">
        <v>1176</v>
      </c>
      <c r="BT143" s="104" t="s">
        <v>1839</v>
      </c>
      <c r="BU143" s="104" t="s">
        <v>2364</v>
      </c>
      <c r="BV143" s="104" t="s">
        <v>1176</v>
      </c>
      <c r="BW143" s="104" t="s">
        <v>1176</v>
      </c>
      <c r="BX143" s="104" t="s">
        <v>1176</v>
      </c>
      <c r="BY143" s="104" t="s">
        <v>1176</v>
      </c>
      <c r="BZ143" s="104" t="s">
        <v>1176</v>
      </c>
      <c r="CA143" s="104" t="s">
        <v>1176</v>
      </c>
      <c r="CB143" s="104" t="s">
        <v>1176</v>
      </c>
      <c r="CC143" s="104" t="s">
        <v>1176</v>
      </c>
      <c r="CD143" s="104" t="s">
        <v>1176</v>
      </c>
      <c r="CE143" s="104" t="s">
        <v>1176</v>
      </c>
      <c r="CF143" s="104" t="s">
        <v>1176</v>
      </c>
      <c r="CG143" s="104" t="s">
        <v>1176</v>
      </c>
      <c r="CH143" s="104" t="s">
        <v>1176</v>
      </c>
      <c r="CI143" s="104" t="s">
        <v>1176</v>
      </c>
      <c r="CJ143" s="104" t="s">
        <v>1176</v>
      </c>
      <c r="CK143" s="104" t="s">
        <v>1176</v>
      </c>
      <c r="CL143" s="104" t="s">
        <v>1176</v>
      </c>
      <c r="CM143" s="104" t="s">
        <v>1176</v>
      </c>
      <c r="CN143" s="104" t="s">
        <v>1176</v>
      </c>
      <c r="CO143" s="104" t="s">
        <v>1176</v>
      </c>
    </row>
    <row r="144" s="102" customFormat="1" ht="15" spans="1:93">
      <c r="A144" s="104" t="s">
        <v>1926</v>
      </c>
      <c r="B144" s="104" t="s">
        <v>1146</v>
      </c>
      <c r="C144" s="104" t="s">
        <v>1147</v>
      </c>
      <c r="D144" s="104" t="s">
        <v>2365</v>
      </c>
      <c r="E144" s="104" t="s">
        <v>2366</v>
      </c>
      <c r="F144" s="104">
        <f t="shared" si="2"/>
        <v>2631</v>
      </c>
      <c r="G144" s="104" t="s">
        <v>2367</v>
      </c>
      <c r="H144" s="104" t="s">
        <v>1176</v>
      </c>
      <c r="I144" s="104" t="s">
        <v>1176</v>
      </c>
      <c r="J144" s="104" t="s">
        <v>1176</v>
      </c>
      <c r="K144" s="104" t="s">
        <v>1176</v>
      </c>
      <c r="L144" s="104" t="s">
        <v>2119</v>
      </c>
      <c r="M144" s="104" t="s">
        <v>2368</v>
      </c>
      <c r="N144" s="104" t="s">
        <v>1180</v>
      </c>
      <c r="O144" s="104" t="s">
        <v>1176</v>
      </c>
      <c r="P144" s="104" t="s">
        <v>1172</v>
      </c>
      <c r="Q144" s="104" t="s">
        <v>1176</v>
      </c>
      <c r="R144" s="104" t="s">
        <v>1176</v>
      </c>
      <c r="S144" s="104" t="s">
        <v>1176</v>
      </c>
      <c r="T144" s="104" t="s">
        <v>1176</v>
      </c>
      <c r="U144" s="104" t="s">
        <v>1212</v>
      </c>
      <c r="V144" s="104" t="s">
        <v>1414</v>
      </c>
      <c r="W144" s="104" t="s">
        <v>1176</v>
      </c>
      <c r="X144" s="104" t="s">
        <v>2369</v>
      </c>
      <c r="Y144" s="104" t="s">
        <v>2218</v>
      </c>
      <c r="Z144" s="104" t="s">
        <v>2370</v>
      </c>
      <c r="AA144" s="104" t="s">
        <v>1176</v>
      </c>
      <c r="AB144" s="104" t="s">
        <v>1176</v>
      </c>
      <c r="AC144" s="104" t="s">
        <v>1176</v>
      </c>
      <c r="AD144" s="104" t="s">
        <v>1176</v>
      </c>
      <c r="AE144" s="104" t="s">
        <v>1176</v>
      </c>
      <c r="AF144" s="104" t="s">
        <v>1176</v>
      </c>
      <c r="AG144" s="104" t="s">
        <v>1176</v>
      </c>
      <c r="AH144" s="104" t="s">
        <v>1176</v>
      </c>
      <c r="AI144" s="104" t="s">
        <v>1601</v>
      </c>
      <c r="AJ144" s="104" t="s">
        <v>2371</v>
      </c>
      <c r="AK144" s="104" t="s">
        <v>1189</v>
      </c>
      <c r="AL144" s="104" t="s">
        <v>2372</v>
      </c>
      <c r="AM144" s="104" t="s">
        <v>1176</v>
      </c>
      <c r="AN144" s="104" t="s">
        <v>1180</v>
      </c>
      <c r="AO144" s="104" t="s">
        <v>1176</v>
      </c>
      <c r="AP144" s="104" t="s">
        <v>1176</v>
      </c>
      <c r="AQ144" s="104" t="s">
        <v>1176</v>
      </c>
      <c r="AR144" s="104" t="s">
        <v>1176</v>
      </c>
      <c r="AS144" s="104" t="s">
        <v>1176</v>
      </c>
      <c r="AT144" s="104" t="s">
        <v>1176</v>
      </c>
      <c r="AU144" s="104" t="s">
        <v>1176</v>
      </c>
      <c r="AV144" s="104" t="s">
        <v>1176</v>
      </c>
      <c r="AW144" s="104" t="s">
        <v>1176</v>
      </c>
      <c r="AX144" s="104" t="s">
        <v>1176</v>
      </c>
      <c r="AY144" s="104" t="s">
        <v>1176</v>
      </c>
      <c r="AZ144" s="104" t="s">
        <v>1176</v>
      </c>
      <c r="BA144" s="104" t="s">
        <v>1176</v>
      </c>
      <c r="BB144" s="104" t="s">
        <v>1176</v>
      </c>
      <c r="BC144" s="104" t="s">
        <v>1176</v>
      </c>
      <c r="BD144" s="104" t="s">
        <v>1176</v>
      </c>
      <c r="BE144" s="104" t="s">
        <v>1176</v>
      </c>
      <c r="BF144" s="104" t="s">
        <v>1176</v>
      </c>
      <c r="BG144" s="104" t="s">
        <v>1238</v>
      </c>
      <c r="BH144" s="104" t="s">
        <v>1238</v>
      </c>
      <c r="BI144" s="104" t="s">
        <v>1717</v>
      </c>
      <c r="BJ144" s="104" t="s">
        <v>1176</v>
      </c>
      <c r="BK144" s="104" t="s">
        <v>1176</v>
      </c>
      <c r="BL144" s="104" t="s">
        <v>1176</v>
      </c>
      <c r="BM144" s="104" t="s">
        <v>1176</v>
      </c>
      <c r="BN144" s="104" t="s">
        <v>1176</v>
      </c>
      <c r="BO144" s="104" t="s">
        <v>1176</v>
      </c>
      <c r="BP144" s="104" t="s">
        <v>1176</v>
      </c>
      <c r="BQ144" s="104" t="s">
        <v>1176</v>
      </c>
      <c r="BR144" s="104" t="s">
        <v>1176</v>
      </c>
      <c r="BS144" s="104" t="s">
        <v>1176</v>
      </c>
      <c r="BT144" s="104" t="s">
        <v>1238</v>
      </c>
      <c r="BU144" s="104" t="s">
        <v>1717</v>
      </c>
      <c r="BV144" s="104" t="s">
        <v>1176</v>
      </c>
      <c r="BW144" s="104" t="s">
        <v>1176</v>
      </c>
      <c r="BX144" s="104" t="s">
        <v>1176</v>
      </c>
      <c r="BY144" s="104" t="s">
        <v>1176</v>
      </c>
      <c r="BZ144" s="104" t="s">
        <v>1176</v>
      </c>
      <c r="CA144" s="104" t="s">
        <v>1176</v>
      </c>
      <c r="CB144" s="104" t="s">
        <v>1176</v>
      </c>
      <c r="CC144" s="104" t="s">
        <v>1176</v>
      </c>
      <c r="CD144" s="104" t="s">
        <v>1176</v>
      </c>
      <c r="CE144" s="104" t="s">
        <v>1176</v>
      </c>
      <c r="CF144" s="104" t="s">
        <v>1176</v>
      </c>
      <c r="CG144" s="104" t="s">
        <v>1176</v>
      </c>
      <c r="CH144" s="104" t="s">
        <v>1176</v>
      </c>
      <c r="CI144" s="104" t="s">
        <v>1176</v>
      </c>
      <c r="CJ144" s="104" t="s">
        <v>1176</v>
      </c>
      <c r="CK144" s="104" t="s">
        <v>1176</v>
      </c>
      <c r="CL144" s="104" t="s">
        <v>1176</v>
      </c>
      <c r="CM144" s="104" t="s">
        <v>1176</v>
      </c>
      <c r="CN144" s="104" t="s">
        <v>1176</v>
      </c>
      <c r="CO144" s="104" t="s">
        <v>1176</v>
      </c>
    </row>
    <row r="145" s="102" customFormat="1" ht="15" spans="1:93">
      <c r="A145" s="104" t="s">
        <v>2027</v>
      </c>
      <c r="B145" s="104" t="s">
        <v>1146</v>
      </c>
      <c r="C145" s="104" t="s">
        <v>1147</v>
      </c>
      <c r="D145" s="104" t="s">
        <v>2373</v>
      </c>
      <c r="E145" s="104" t="s">
        <v>2374</v>
      </c>
      <c r="F145" s="104">
        <f t="shared" si="2"/>
        <v>3387</v>
      </c>
      <c r="G145" s="104" t="s">
        <v>2374</v>
      </c>
      <c r="H145" s="104" t="s">
        <v>1176</v>
      </c>
      <c r="I145" s="104" t="s">
        <v>1176</v>
      </c>
      <c r="J145" s="104" t="s">
        <v>1176</v>
      </c>
      <c r="K145" s="104" t="s">
        <v>1176</v>
      </c>
      <c r="L145" s="104" t="s">
        <v>1598</v>
      </c>
      <c r="M145" s="104" t="s">
        <v>2375</v>
      </c>
      <c r="N145" s="104" t="s">
        <v>1176</v>
      </c>
      <c r="O145" s="104" t="s">
        <v>1176</v>
      </c>
      <c r="P145" s="104" t="s">
        <v>1176</v>
      </c>
      <c r="Q145" s="104" t="s">
        <v>1176</v>
      </c>
      <c r="R145" s="104" t="s">
        <v>1176</v>
      </c>
      <c r="S145" s="104" t="s">
        <v>1176</v>
      </c>
      <c r="T145" s="104" t="s">
        <v>1176</v>
      </c>
      <c r="U145" s="104" t="s">
        <v>1176</v>
      </c>
      <c r="V145" s="104" t="s">
        <v>2376</v>
      </c>
      <c r="W145" s="104" t="s">
        <v>1176</v>
      </c>
      <c r="X145" s="104" t="s">
        <v>1176</v>
      </c>
      <c r="Y145" s="104" t="s">
        <v>1176</v>
      </c>
      <c r="Z145" s="104" t="s">
        <v>1176</v>
      </c>
      <c r="AA145" s="104" t="s">
        <v>1176</v>
      </c>
      <c r="AB145" s="104" t="s">
        <v>1176</v>
      </c>
      <c r="AC145" s="104" t="s">
        <v>1176</v>
      </c>
      <c r="AD145" s="104" t="s">
        <v>1176</v>
      </c>
      <c r="AE145" s="104" t="s">
        <v>1176</v>
      </c>
      <c r="AF145" s="104" t="s">
        <v>1176</v>
      </c>
      <c r="AG145" s="104" t="s">
        <v>1176</v>
      </c>
      <c r="AH145" s="104" t="s">
        <v>1176</v>
      </c>
      <c r="AI145" s="104" t="s">
        <v>1176</v>
      </c>
      <c r="AJ145" s="104" t="s">
        <v>1176</v>
      </c>
      <c r="AK145" s="104" t="s">
        <v>1176</v>
      </c>
      <c r="AL145" s="104" t="s">
        <v>1176</v>
      </c>
      <c r="AM145" s="104" t="s">
        <v>1176</v>
      </c>
      <c r="AN145" s="104" t="s">
        <v>1176</v>
      </c>
      <c r="AO145" s="104" t="s">
        <v>1176</v>
      </c>
      <c r="AP145" s="104" t="s">
        <v>1176</v>
      </c>
      <c r="AQ145" s="104" t="s">
        <v>1176</v>
      </c>
      <c r="AR145" s="104" t="s">
        <v>1176</v>
      </c>
      <c r="AS145" s="104" t="s">
        <v>1176</v>
      </c>
      <c r="AT145" s="104" t="s">
        <v>1176</v>
      </c>
      <c r="AU145" s="104" t="s">
        <v>1176</v>
      </c>
      <c r="AV145" s="104" t="s">
        <v>1176</v>
      </c>
      <c r="AW145" s="104" t="s">
        <v>1176</v>
      </c>
      <c r="AX145" s="104" t="s">
        <v>1176</v>
      </c>
      <c r="AY145" s="104" t="s">
        <v>1176</v>
      </c>
      <c r="AZ145" s="104" t="s">
        <v>1176</v>
      </c>
      <c r="BA145" s="104" t="s">
        <v>1176</v>
      </c>
      <c r="BB145" s="104" t="s">
        <v>1176</v>
      </c>
      <c r="BC145" s="104" t="s">
        <v>1176</v>
      </c>
      <c r="BD145" s="104" t="s">
        <v>1176</v>
      </c>
      <c r="BE145" s="104" t="s">
        <v>1176</v>
      </c>
      <c r="BF145" s="104" t="s">
        <v>1176</v>
      </c>
      <c r="BG145" s="104" t="s">
        <v>1176</v>
      </c>
      <c r="BH145" s="104" t="s">
        <v>1176</v>
      </c>
      <c r="BI145" s="104" t="s">
        <v>1176</v>
      </c>
      <c r="BJ145" s="104" t="s">
        <v>1176</v>
      </c>
      <c r="BK145" s="104" t="s">
        <v>1176</v>
      </c>
      <c r="BL145" s="104" t="s">
        <v>1176</v>
      </c>
      <c r="BM145" s="104" t="s">
        <v>1176</v>
      </c>
      <c r="BN145" s="104" t="s">
        <v>1176</v>
      </c>
      <c r="BO145" s="104" t="s">
        <v>1176</v>
      </c>
      <c r="BP145" s="104" t="s">
        <v>1176</v>
      </c>
      <c r="BQ145" s="104" t="s">
        <v>1176</v>
      </c>
      <c r="BR145" s="104" t="s">
        <v>1176</v>
      </c>
      <c r="BS145" s="104" t="s">
        <v>1176</v>
      </c>
      <c r="BT145" s="104" t="s">
        <v>1176</v>
      </c>
      <c r="BU145" s="104" t="s">
        <v>1176</v>
      </c>
      <c r="BV145" s="104" t="s">
        <v>1176</v>
      </c>
      <c r="BW145" s="104" t="s">
        <v>1176</v>
      </c>
      <c r="BX145" s="104" t="s">
        <v>1176</v>
      </c>
      <c r="BY145" s="104" t="s">
        <v>1176</v>
      </c>
      <c r="BZ145" s="104" t="s">
        <v>1176</v>
      </c>
      <c r="CA145" s="104" t="s">
        <v>1176</v>
      </c>
      <c r="CB145" s="104" t="s">
        <v>1176</v>
      </c>
      <c r="CC145" s="104" t="s">
        <v>1176</v>
      </c>
      <c r="CD145" s="104" t="s">
        <v>1176</v>
      </c>
      <c r="CE145" s="104" t="s">
        <v>1176</v>
      </c>
      <c r="CF145" s="104" t="s">
        <v>1176</v>
      </c>
      <c r="CG145" s="104" t="s">
        <v>1176</v>
      </c>
      <c r="CH145" s="104" t="s">
        <v>1176</v>
      </c>
      <c r="CI145" s="104" t="s">
        <v>1176</v>
      </c>
      <c r="CJ145" s="104" t="s">
        <v>1176</v>
      </c>
      <c r="CK145" s="104" t="s">
        <v>1176</v>
      </c>
      <c r="CL145" s="104" t="s">
        <v>1176</v>
      </c>
      <c r="CM145" s="104" t="s">
        <v>1176</v>
      </c>
      <c r="CN145" s="104" t="s">
        <v>1176</v>
      </c>
      <c r="CO145" s="104" t="s">
        <v>1176</v>
      </c>
    </row>
    <row r="146" s="102" customFormat="1" ht="15" spans="1:93">
      <c r="A146" s="104" t="s">
        <v>1261</v>
      </c>
      <c r="B146" s="104" t="s">
        <v>1146</v>
      </c>
      <c r="C146" s="104" t="s">
        <v>1147</v>
      </c>
      <c r="D146" s="104" t="s">
        <v>2377</v>
      </c>
      <c r="E146" s="104" t="s">
        <v>2378</v>
      </c>
      <c r="F146" s="104">
        <f t="shared" si="2"/>
        <v>2478</v>
      </c>
      <c r="G146" s="104" t="s">
        <v>2379</v>
      </c>
      <c r="H146" s="104" t="s">
        <v>1176</v>
      </c>
      <c r="I146" s="104" t="s">
        <v>1176</v>
      </c>
      <c r="J146" s="104" t="s">
        <v>1176</v>
      </c>
      <c r="K146" s="104" t="s">
        <v>1176</v>
      </c>
      <c r="L146" s="104" t="s">
        <v>2380</v>
      </c>
      <c r="M146" s="104" t="s">
        <v>2381</v>
      </c>
      <c r="N146" s="104" t="s">
        <v>1172</v>
      </c>
      <c r="O146" s="104" t="s">
        <v>1176</v>
      </c>
      <c r="P146" s="104" t="s">
        <v>1176</v>
      </c>
      <c r="Q146" s="104" t="s">
        <v>1176</v>
      </c>
      <c r="R146" s="104" t="s">
        <v>1176</v>
      </c>
      <c r="S146" s="104" t="s">
        <v>1176</v>
      </c>
      <c r="T146" s="104" t="s">
        <v>1176</v>
      </c>
      <c r="U146" s="104" t="s">
        <v>1172</v>
      </c>
      <c r="V146" s="104" t="s">
        <v>2013</v>
      </c>
      <c r="W146" s="104" t="s">
        <v>1176</v>
      </c>
      <c r="X146" s="104" t="s">
        <v>2382</v>
      </c>
      <c r="Y146" s="104" t="s">
        <v>1839</v>
      </c>
      <c r="Z146" s="104" t="s">
        <v>2383</v>
      </c>
      <c r="AA146" s="104" t="s">
        <v>1176</v>
      </c>
      <c r="AB146" s="104" t="s">
        <v>1176</v>
      </c>
      <c r="AC146" s="104" t="s">
        <v>1176</v>
      </c>
      <c r="AD146" s="104" t="s">
        <v>1176</v>
      </c>
      <c r="AE146" s="104" t="s">
        <v>1176</v>
      </c>
      <c r="AF146" s="104" t="s">
        <v>1176</v>
      </c>
      <c r="AG146" s="104" t="s">
        <v>1176</v>
      </c>
      <c r="AH146" s="104" t="s">
        <v>1176</v>
      </c>
      <c r="AI146" s="104" t="s">
        <v>1187</v>
      </c>
      <c r="AJ146" s="104" t="s">
        <v>1187</v>
      </c>
      <c r="AK146" s="104" t="s">
        <v>1241</v>
      </c>
      <c r="AL146" s="104" t="s">
        <v>2384</v>
      </c>
      <c r="AM146" s="104" t="s">
        <v>1176</v>
      </c>
      <c r="AN146" s="104" t="s">
        <v>1176</v>
      </c>
      <c r="AO146" s="104" t="s">
        <v>1176</v>
      </c>
      <c r="AP146" s="104" t="s">
        <v>1176</v>
      </c>
      <c r="AQ146" s="104" t="s">
        <v>1176</v>
      </c>
      <c r="AR146" s="104" t="s">
        <v>1176</v>
      </c>
      <c r="AS146" s="104" t="s">
        <v>1176</v>
      </c>
      <c r="AT146" s="104" t="s">
        <v>1176</v>
      </c>
      <c r="AU146" s="104" t="s">
        <v>1176</v>
      </c>
      <c r="AV146" s="104" t="s">
        <v>1176</v>
      </c>
      <c r="AW146" s="104" t="s">
        <v>1176</v>
      </c>
      <c r="AX146" s="104" t="s">
        <v>1176</v>
      </c>
      <c r="AY146" s="104" t="s">
        <v>1176</v>
      </c>
      <c r="AZ146" s="104" t="s">
        <v>1176</v>
      </c>
      <c r="BA146" s="104" t="s">
        <v>1176</v>
      </c>
      <c r="BB146" s="104" t="s">
        <v>1176</v>
      </c>
      <c r="BC146" s="104" t="s">
        <v>1176</v>
      </c>
      <c r="BD146" s="104" t="s">
        <v>1176</v>
      </c>
      <c r="BE146" s="104" t="s">
        <v>1176</v>
      </c>
      <c r="BF146" s="104" t="s">
        <v>1176</v>
      </c>
      <c r="BG146" s="104" t="s">
        <v>1176</v>
      </c>
      <c r="BH146" s="104" t="s">
        <v>1176</v>
      </c>
      <c r="BI146" s="104" t="s">
        <v>1176</v>
      </c>
      <c r="BJ146" s="104" t="s">
        <v>1176</v>
      </c>
      <c r="BK146" s="104" t="s">
        <v>1176</v>
      </c>
      <c r="BL146" s="104" t="s">
        <v>1176</v>
      </c>
      <c r="BM146" s="104" t="s">
        <v>1176</v>
      </c>
      <c r="BN146" s="104" t="s">
        <v>1176</v>
      </c>
      <c r="BO146" s="104" t="s">
        <v>1176</v>
      </c>
      <c r="BP146" s="104" t="s">
        <v>1176</v>
      </c>
      <c r="BQ146" s="104" t="s">
        <v>1176</v>
      </c>
      <c r="BR146" s="104" t="s">
        <v>1176</v>
      </c>
      <c r="BS146" s="104" t="s">
        <v>1176</v>
      </c>
      <c r="BT146" s="104" t="s">
        <v>1176</v>
      </c>
      <c r="BU146" s="104" t="s">
        <v>1176</v>
      </c>
      <c r="BV146" s="104" t="s">
        <v>1176</v>
      </c>
      <c r="BW146" s="104" t="s">
        <v>1176</v>
      </c>
      <c r="BX146" s="104" t="s">
        <v>1176</v>
      </c>
      <c r="BY146" s="104" t="s">
        <v>1176</v>
      </c>
      <c r="BZ146" s="104" t="s">
        <v>1176</v>
      </c>
      <c r="CA146" s="104" t="s">
        <v>1176</v>
      </c>
      <c r="CB146" s="104" t="s">
        <v>1176</v>
      </c>
      <c r="CC146" s="104" t="s">
        <v>1176</v>
      </c>
      <c r="CD146" s="104" t="s">
        <v>1176</v>
      </c>
      <c r="CE146" s="104" t="s">
        <v>1176</v>
      </c>
      <c r="CF146" s="104" t="s">
        <v>1176</v>
      </c>
      <c r="CG146" s="104" t="s">
        <v>1176</v>
      </c>
      <c r="CH146" s="104" t="s">
        <v>1176</v>
      </c>
      <c r="CI146" s="104" t="s">
        <v>1176</v>
      </c>
      <c r="CJ146" s="104" t="s">
        <v>1176</v>
      </c>
      <c r="CK146" s="104" t="s">
        <v>1176</v>
      </c>
      <c r="CL146" s="104" t="s">
        <v>1176</v>
      </c>
      <c r="CM146" s="104" t="s">
        <v>1176</v>
      </c>
      <c r="CN146" s="104" t="s">
        <v>1176</v>
      </c>
      <c r="CO146" s="104" t="s">
        <v>1176</v>
      </c>
    </row>
    <row r="147" s="102" customFormat="1" ht="15" spans="1:93">
      <c r="A147" s="104" t="s">
        <v>1595</v>
      </c>
      <c r="B147" s="104" t="s">
        <v>1146</v>
      </c>
      <c r="C147" s="104" t="s">
        <v>1147</v>
      </c>
      <c r="D147" s="104" t="s">
        <v>2385</v>
      </c>
      <c r="E147" s="104" t="s">
        <v>2386</v>
      </c>
      <c r="F147" s="104">
        <f t="shared" si="2"/>
        <v>4544</v>
      </c>
      <c r="G147" s="104" t="s">
        <v>1392</v>
      </c>
      <c r="H147" s="104" t="s">
        <v>1176</v>
      </c>
      <c r="I147" s="104" t="s">
        <v>1176</v>
      </c>
      <c r="J147" s="104" t="s">
        <v>1176</v>
      </c>
      <c r="K147" s="104" t="s">
        <v>1176</v>
      </c>
      <c r="L147" s="104" t="s">
        <v>2387</v>
      </c>
      <c r="M147" s="104" t="s">
        <v>2388</v>
      </c>
      <c r="N147" s="104" t="s">
        <v>1521</v>
      </c>
      <c r="O147" s="104" t="s">
        <v>1176</v>
      </c>
      <c r="P147" s="104" t="s">
        <v>1176</v>
      </c>
      <c r="Q147" s="104" t="s">
        <v>1176</v>
      </c>
      <c r="R147" s="104" t="s">
        <v>1176</v>
      </c>
      <c r="S147" s="104" t="s">
        <v>1176</v>
      </c>
      <c r="T147" s="104" t="s">
        <v>1176</v>
      </c>
      <c r="U147" s="104" t="s">
        <v>1211</v>
      </c>
      <c r="V147" s="104" t="s">
        <v>1667</v>
      </c>
      <c r="W147" s="104" t="s">
        <v>1176</v>
      </c>
      <c r="X147" s="104" t="s">
        <v>2389</v>
      </c>
      <c r="Y147" s="104" t="s">
        <v>2390</v>
      </c>
      <c r="Z147" s="104" t="s">
        <v>2391</v>
      </c>
      <c r="AA147" s="104" t="s">
        <v>1176</v>
      </c>
      <c r="AB147" s="104" t="s">
        <v>1176</v>
      </c>
      <c r="AC147" s="104" t="s">
        <v>1176</v>
      </c>
      <c r="AD147" s="104" t="s">
        <v>1176</v>
      </c>
      <c r="AE147" s="104" t="s">
        <v>1176</v>
      </c>
      <c r="AF147" s="104" t="s">
        <v>1176</v>
      </c>
      <c r="AG147" s="104" t="s">
        <v>1176</v>
      </c>
      <c r="AH147" s="104" t="s">
        <v>1176</v>
      </c>
      <c r="AI147" s="104" t="s">
        <v>1442</v>
      </c>
      <c r="AJ147" s="104" t="s">
        <v>2152</v>
      </c>
      <c r="AK147" s="104" t="s">
        <v>2392</v>
      </c>
      <c r="AL147" s="104" t="s">
        <v>2393</v>
      </c>
      <c r="AM147" s="104" t="s">
        <v>1176</v>
      </c>
      <c r="AN147" s="104" t="s">
        <v>1201</v>
      </c>
      <c r="AO147" s="104" t="s">
        <v>1176</v>
      </c>
      <c r="AP147" s="104" t="s">
        <v>1176</v>
      </c>
      <c r="AQ147" s="104" t="s">
        <v>1176</v>
      </c>
      <c r="AR147" s="104" t="s">
        <v>1176</v>
      </c>
      <c r="AS147" s="104" t="s">
        <v>1176</v>
      </c>
      <c r="AT147" s="104" t="s">
        <v>1176</v>
      </c>
      <c r="AU147" s="104" t="s">
        <v>1176</v>
      </c>
      <c r="AV147" s="104" t="s">
        <v>1176</v>
      </c>
      <c r="AW147" s="104" t="s">
        <v>1176</v>
      </c>
      <c r="AX147" s="104" t="s">
        <v>1176</v>
      </c>
      <c r="AY147" s="104" t="s">
        <v>1176</v>
      </c>
      <c r="AZ147" s="104" t="s">
        <v>1176</v>
      </c>
      <c r="BA147" s="104" t="s">
        <v>1176</v>
      </c>
      <c r="BB147" s="104" t="s">
        <v>1176</v>
      </c>
      <c r="BC147" s="104" t="s">
        <v>1176</v>
      </c>
      <c r="BD147" s="104" t="s">
        <v>1176</v>
      </c>
      <c r="BE147" s="104" t="s">
        <v>1176</v>
      </c>
      <c r="BF147" s="104" t="s">
        <v>1176</v>
      </c>
      <c r="BG147" s="104" t="s">
        <v>1187</v>
      </c>
      <c r="BH147" s="104" t="s">
        <v>1187</v>
      </c>
      <c r="BI147" s="104" t="s">
        <v>1470</v>
      </c>
      <c r="BJ147" s="104" t="s">
        <v>1176</v>
      </c>
      <c r="BK147" s="104" t="s">
        <v>1176</v>
      </c>
      <c r="BL147" s="104" t="s">
        <v>1176</v>
      </c>
      <c r="BM147" s="104" t="s">
        <v>1176</v>
      </c>
      <c r="BN147" s="104" t="s">
        <v>1176</v>
      </c>
      <c r="BO147" s="104" t="s">
        <v>1176</v>
      </c>
      <c r="BP147" s="104" t="s">
        <v>1176</v>
      </c>
      <c r="BQ147" s="104" t="s">
        <v>1176</v>
      </c>
      <c r="BR147" s="104" t="s">
        <v>1176</v>
      </c>
      <c r="BS147" s="104" t="s">
        <v>1176</v>
      </c>
      <c r="BT147" s="104" t="s">
        <v>1176</v>
      </c>
      <c r="BU147" s="104" t="s">
        <v>1176</v>
      </c>
      <c r="BV147" s="104" t="s">
        <v>1176</v>
      </c>
      <c r="BW147" s="104" t="s">
        <v>1176</v>
      </c>
      <c r="BX147" s="104" t="s">
        <v>1187</v>
      </c>
      <c r="BY147" s="104" t="s">
        <v>1470</v>
      </c>
      <c r="BZ147" s="104" t="s">
        <v>1176</v>
      </c>
      <c r="CA147" s="104" t="s">
        <v>1176</v>
      </c>
      <c r="CB147" s="104" t="s">
        <v>1176</v>
      </c>
      <c r="CC147" s="104" t="s">
        <v>1176</v>
      </c>
      <c r="CD147" s="104" t="s">
        <v>1176</v>
      </c>
      <c r="CE147" s="104" t="s">
        <v>1176</v>
      </c>
      <c r="CF147" s="104" t="s">
        <v>1176</v>
      </c>
      <c r="CG147" s="104" t="s">
        <v>1176</v>
      </c>
      <c r="CH147" s="104" t="s">
        <v>1176</v>
      </c>
      <c r="CI147" s="104" t="s">
        <v>1176</v>
      </c>
      <c r="CJ147" s="104" t="s">
        <v>1176</v>
      </c>
      <c r="CK147" s="104" t="s">
        <v>1176</v>
      </c>
      <c r="CL147" s="104" t="s">
        <v>1176</v>
      </c>
      <c r="CM147" s="104" t="s">
        <v>1176</v>
      </c>
      <c r="CN147" s="104" t="s">
        <v>1176</v>
      </c>
      <c r="CO147" s="104" t="s">
        <v>1176</v>
      </c>
    </row>
    <row r="148" s="102" customFormat="1" ht="15" spans="1:93">
      <c r="A148" s="104" t="s">
        <v>1494</v>
      </c>
      <c r="B148" s="104" t="s">
        <v>1146</v>
      </c>
      <c r="C148" s="104" t="s">
        <v>1147</v>
      </c>
      <c r="D148" s="104" t="s">
        <v>2394</v>
      </c>
      <c r="E148" s="104" t="s">
        <v>2395</v>
      </c>
      <c r="F148" s="104">
        <f t="shared" si="2"/>
        <v>6471</v>
      </c>
      <c r="G148" s="104" t="s">
        <v>2396</v>
      </c>
      <c r="H148" s="104" t="s">
        <v>1176</v>
      </c>
      <c r="I148" s="104" t="s">
        <v>1176</v>
      </c>
      <c r="J148" s="104" t="s">
        <v>1176</v>
      </c>
      <c r="K148" s="104" t="s">
        <v>1176</v>
      </c>
      <c r="L148" s="104" t="s">
        <v>1400</v>
      </c>
      <c r="M148" s="104" t="s">
        <v>2397</v>
      </c>
      <c r="N148" s="104" t="s">
        <v>1201</v>
      </c>
      <c r="O148" s="104" t="s">
        <v>1176</v>
      </c>
      <c r="P148" s="104" t="s">
        <v>1176</v>
      </c>
      <c r="Q148" s="104" t="s">
        <v>1176</v>
      </c>
      <c r="R148" s="104" t="s">
        <v>1176</v>
      </c>
      <c r="S148" s="104" t="s">
        <v>1176</v>
      </c>
      <c r="T148" s="104" t="s">
        <v>1176</v>
      </c>
      <c r="U148" s="104" t="s">
        <v>1238</v>
      </c>
      <c r="V148" s="104" t="s">
        <v>1988</v>
      </c>
      <c r="W148" s="104" t="s">
        <v>1176</v>
      </c>
      <c r="X148" s="104" t="s">
        <v>2398</v>
      </c>
      <c r="Y148" s="104" t="s">
        <v>2399</v>
      </c>
      <c r="Z148" s="104" t="s">
        <v>2400</v>
      </c>
      <c r="AA148" s="104" t="s">
        <v>1176</v>
      </c>
      <c r="AB148" s="104" t="s">
        <v>1176</v>
      </c>
      <c r="AC148" s="104" t="s">
        <v>1176</v>
      </c>
      <c r="AD148" s="104" t="s">
        <v>1176</v>
      </c>
      <c r="AE148" s="104" t="s">
        <v>1176</v>
      </c>
      <c r="AF148" s="104" t="s">
        <v>1176</v>
      </c>
      <c r="AG148" s="104" t="s">
        <v>1176</v>
      </c>
      <c r="AH148" s="104" t="s">
        <v>1176</v>
      </c>
      <c r="AI148" s="104" t="s">
        <v>1807</v>
      </c>
      <c r="AJ148" s="104" t="s">
        <v>2401</v>
      </c>
      <c r="AK148" s="104" t="s">
        <v>1999</v>
      </c>
      <c r="AL148" s="104" t="s">
        <v>2402</v>
      </c>
      <c r="AM148" s="104" t="s">
        <v>1176</v>
      </c>
      <c r="AN148" s="104" t="s">
        <v>1238</v>
      </c>
      <c r="AO148" s="104" t="s">
        <v>1176</v>
      </c>
      <c r="AP148" s="104" t="s">
        <v>1176</v>
      </c>
      <c r="AQ148" s="104" t="s">
        <v>1176</v>
      </c>
      <c r="AR148" s="104" t="s">
        <v>1176</v>
      </c>
      <c r="AS148" s="104" t="s">
        <v>1176</v>
      </c>
      <c r="AT148" s="104" t="s">
        <v>1176</v>
      </c>
      <c r="AU148" s="104" t="s">
        <v>1218</v>
      </c>
      <c r="AV148" s="104" t="s">
        <v>1421</v>
      </c>
      <c r="AW148" s="104" t="s">
        <v>1176</v>
      </c>
      <c r="AX148" s="104" t="s">
        <v>1176</v>
      </c>
      <c r="AY148" s="104" t="s">
        <v>1176</v>
      </c>
      <c r="AZ148" s="104" t="s">
        <v>1176</v>
      </c>
      <c r="BA148" s="104" t="s">
        <v>1176</v>
      </c>
      <c r="BB148" s="104" t="s">
        <v>1176</v>
      </c>
      <c r="BC148" s="104" t="s">
        <v>1176</v>
      </c>
      <c r="BD148" s="104" t="s">
        <v>1176</v>
      </c>
      <c r="BE148" s="104" t="s">
        <v>1176</v>
      </c>
      <c r="BF148" s="104" t="s">
        <v>1176</v>
      </c>
      <c r="BG148" s="104" t="s">
        <v>1176</v>
      </c>
      <c r="BH148" s="104" t="s">
        <v>1176</v>
      </c>
      <c r="BI148" s="104" t="s">
        <v>1176</v>
      </c>
      <c r="BJ148" s="104" t="s">
        <v>1176</v>
      </c>
      <c r="BK148" s="104" t="s">
        <v>1176</v>
      </c>
      <c r="BL148" s="104" t="s">
        <v>1176</v>
      </c>
      <c r="BM148" s="104" t="s">
        <v>1176</v>
      </c>
      <c r="BN148" s="104" t="s">
        <v>1176</v>
      </c>
      <c r="BO148" s="104" t="s">
        <v>1176</v>
      </c>
      <c r="BP148" s="104" t="s">
        <v>1176</v>
      </c>
      <c r="BQ148" s="104" t="s">
        <v>1176</v>
      </c>
      <c r="BR148" s="104" t="s">
        <v>1176</v>
      </c>
      <c r="BS148" s="104" t="s">
        <v>1176</v>
      </c>
      <c r="BT148" s="104" t="s">
        <v>1176</v>
      </c>
      <c r="BU148" s="104" t="s">
        <v>1176</v>
      </c>
      <c r="BV148" s="104" t="s">
        <v>1176</v>
      </c>
      <c r="BW148" s="104" t="s">
        <v>1176</v>
      </c>
      <c r="BX148" s="104" t="s">
        <v>1176</v>
      </c>
      <c r="BY148" s="104" t="s">
        <v>1176</v>
      </c>
      <c r="BZ148" s="104" t="s">
        <v>1176</v>
      </c>
      <c r="CA148" s="104" t="s">
        <v>1176</v>
      </c>
      <c r="CB148" s="104" t="s">
        <v>1176</v>
      </c>
      <c r="CC148" s="104" t="s">
        <v>1176</v>
      </c>
      <c r="CD148" s="104" t="s">
        <v>1176</v>
      </c>
      <c r="CE148" s="104" t="s">
        <v>1176</v>
      </c>
      <c r="CF148" s="104" t="s">
        <v>1176</v>
      </c>
      <c r="CG148" s="104" t="s">
        <v>1176</v>
      </c>
      <c r="CH148" s="104" t="s">
        <v>1176</v>
      </c>
      <c r="CI148" s="104" t="s">
        <v>1176</v>
      </c>
      <c r="CJ148" s="104" t="s">
        <v>1176</v>
      </c>
      <c r="CK148" s="104" t="s">
        <v>1176</v>
      </c>
      <c r="CL148" s="104" t="s">
        <v>1176</v>
      </c>
      <c r="CM148" s="104" t="s">
        <v>1176</v>
      </c>
      <c r="CN148" s="104" t="s">
        <v>1176</v>
      </c>
      <c r="CO148" s="104" t="s">
        <v>1176</v>
      </c>
    </row>
    <row r="149" s="102" customFormat="1" ht="15" spans="1:93">
      <c r="A149" s="104" t="s">
        <v>1283</v>
      </c>
      <c r="B149" s="104" t="s">
        <v>1146</v>
      </c>
      <c r="C149" s="104" t="s">
        <v>1147</v>
      </c>
      <c r="D149" s="104" t="s">
        <v>2403</v>
      </c>
      <c r="E149" s="104" t="s">
        <v>2404</v>
      </c>
      <c r="F149" s="104">
        <f t="shared" si="2"/>
        <v>3859</v>
      </c>
      <c r="G149" s="104" t="s">
        <v>2405</v>
      </c>
      <c r="H149" s="104" t="s">
        <v>1176</v>
      </c>
      <c r="I149" s="104" t="s">
        <v>1176</v>
      </c>
      <c r="J149" s="104" t="s">
        <v>1176</v>
      </c>
      <c r="K149" s="104" t="s">
        <v>1176</v>
      </c>
      <c r="L149" s="104" t="s">
        <v>1455</v>
      </c>
      <c r="M149" s="104" t="s">
        <v>2406</v>
      </c>
      <c r="N149" s="104" t="s">
        <v>1211</v>
      </c>
      <c r="O149" s="104" t="s">
        <v>1176</v>
      </c>
      <c r="P149" s="104" t="s">
        <v>1176</v>
      </c>
      <c r="Q149" s="104" t="s">
        <v>1176</v>
      </c>
      <c r="R149" s="104" t="s">
        <v>1176</v>
      </c>
      <c r="S149" s="104" t="s">
        <v>1176</v>
      </c>
      <c r="T149" s="104" t="s">
        <v>1176</v>
      </c>
      <c r="U149" s="104" t="s">
        <v>1172</v>
      </c>
      <c r="V149" s="104" t="s">
        <v>1190</v>
      </c>
      <c r="W149" s="104" t="s">
        <v>1176</v>
      </c>
      <c r="X149" s="104" t="s">
        <v>2407</v>
      </c>
      <c r="Y149" s="104" t="s">
        <v>2408</v>
      </c>
      <c r="Z149" s="104" t="s">
        <v>2409</v>
      </c>
      <c r="AA149" s="104" t="s">
        <v>1176</v>
      </c>
      <c r="AB149" s="104" t="s">
        <v>1176</v>
      </c>
      <c r="AC149" s="104" t="s">
        <v>1176</v>
      </c>
      <c r="AD149" s="104" t="s">
        <v>1176</v>
      </c>
      <c r="AE149" s="104" t="s">
        <v>1176</v>
      </c>
      <c r="AF149" s="104" t="s">
        <v>1176</v>
      </c>
      <c r="AG149" s="104" t="s">
        <v>1176</v>
      </c>
      <c r="AH149" s="104" t="s">
        <v>1176</v>
      </c>
      <c r="AI149" s="104" t="s">
        <v>1201</v>
      </c>
      <c r="AJ149" s="104" t="s">
        <v>1456</v>
      </c>
      <c r="AK149" s="104" t="s">
        <v>1554</v>
      </c>
      <c r="AL149" s="104" t="s">
        <v>2410</v>
      </c>
      <c r="AM149" s="104" t="s">
        <v>1176</v>
      </c>
      <c r="AN149" s="104" t="s">
        <v>1172</v>
      </c>
      <c r="AO149" s="104" t="s">
        <v>1176</v>
      </c>
      <c r="AP149" s="104" t="s">
        <v>1176</v>
      </c>
      <c r="AQ149" s="104" t="s">
        <v>1176</v>
      </c>
      <c r="AR149" s="104" t="s">
        <v>1176</v>
      </c>
      <c r="AS149" s="104" t="s">
        <v>1176</v>
      </c>
      <c r="AT149" s="104" t="s">
        <v>1176</v>
      </c>
      <c r="AU149" s="104" t="s">
        <v>1176</v>
      </c>
      <c r="AV149" s="104" t="s">
        <v>1176</v>
      </c>
      <c r="AW149" s="104" t="s">
        <v>1176</v>
      </c>
      <c r="AX149" s="104" t="s">
        <v>1176</v>
      </c>
      <c r="AY149" s="104" t="s">
        <v>1176</v>
      </c>
      <c r="AZ149" s="104" t="s">
        <v>1176</v>
      </c>
      <c r="BA149" s="104" t="s">
        <v>1176</v>
      </c>
      <c r="BB149" s="104" t="s">
        <v>1176</v>
      </c>
      <c r="BC149" s="104" t="s">
        <v>1176</v>
      </c>
      <c r="BD149" s="104" t="s">
        <v>1176</v>
      </c>
      <c r="BE149" s="104" t="s">
        <v>1176</v>
      </c>
      <c r="BF149" s="104" t="s">
        <v>1176</v>
      </c>
      <c r="BG149" s="104" t="s">
        <v>1421</v>
      </c>
      <c r="BH149" s="104" t="s">
        <v>1421</v>
      </c>
      <c r="BI149" s="104" t="s">
        <v>1189</v>
      </c>
      <c r="BJ149" s="104" t="s">
        <v>1176</v>
      </c>
      <c r="BK149" s="104" t="s">
        <v>1176</v>
      </c>
      <c r="BL149" s="104" t="s">
        <v>1176</v>
      </c>
      <c r="BM149" s="104" t="s">
        <v>1176</v>
      </c>
      <c r="BN149" s="104" t="s">
        <v>1176</v>
      </c>
      <c r="BO149" s="104" t="s">
        <v>1176</v>
      </c>
      <c r="BP149" s="104" t="s">
        <v>1176</v>
      </c>
      <c r="BQ149" s="104" t="s">
        <v>1176</v>
      </c>
      <c r="BR149" s="104" t="s">
        <v>1176</v>
      </c>
      <c r="BS149" s="104" t="s">
        <v>1176</v>
      </c>
      <c r="BT149" s="104" t="s">
        <v>1176</v>
      </c>
      <c r="BU149" s="104" t="s">
        <v>1176</v>
      </c>
      <c r="BV149" s="104" t="s">
        <v>1176</v>
      </c>
      <c r="BW149" s="104" t="s">
        <v>1176</v>
      </c>
      <c r="BX149" s="104" t="s">
        <v>1306</v>
      </c>
      <c r="BY149" s="104" t="s">
        <v>2411</v>
      </c>
      <c r="BZ149" s="104" t="s">
        <v>1176</v>
      </c>
      <c r="CA149" s="104" t="s">
        <v>1176</v>
      </c>
      <c r="CB149" s="104" t="s">
        <v>1176</v>
      </c>
      <c r="CC149" s="104" t="s">
        <v>1176</v>
      </c>
      <c r="CD149" s="104" t="s">
        <v>1176</v>
      </c>
      <c r="CE149" s="104" t="s">
        <v>1176</v>
      </c>
      <c r="CF149" s="104" t="s">
        <v>1176</v>
      </c>
      <c r="CG149" s="104" t="s">
        <v>1176</v>
      </c>
      <c r="CH149" s="104" t="s">
        <v>1176</v>
      </c>
      <c r="CI149" s="104" t="s">
        <v>1176</v>
      </c>
      <c r="CJ149" s="104" t="s">
        <v>1176</v>
      </c>
      <c r="CK149" s="104" t="s">
        <v>1176</v>
      </c>
      <c r="CL149" s="104" t="s">
        <v>1176</v>
      </c>
      <c r="CM149" s="104" t="s">
        <v>1176</v>
      </c>
      <c r="CN149" s="104" t="s">
        <v>1172</v>
      </c>
      <c r="CO149" s="104" t="s">
        <v>1296</v>
      </c>
    </row>
    <row r="150" s="102" customFormat="1" ht="15" spans="1:93">
      <c r="A150" s="104" t="s">
        <v>1366</v>
      </c>
      <c r="B150" s="104" t="s">
        <v>1146</v>
      </c>
      <c r="C150" s="104" t="s">
        <v>1147</v>
      </c>
      <c r="D150" s="104" t="s">
        <v>2412</v>
      </c>
      <c r="E150" s="104" t="s">
        <v>2413</v>
      </c>
      <c r="F150" s="104">
        <f t="shared" si="2"/>
        <v>1190</v>
      </c>
      <c r="G150" s="104" t="s">
        <v>1744</v>
      </c>
      <c r="H150" s="104" t="s">
        <v>1176</v>
      </c>
      <c r="I150" s="104" t="s">
        <v>1176</v>
      </c>
      <c r="J150" s="104" t="s">
        <v>1176</v>
      </c>
      <c r="K150" s="104" t="s">
        <v>1176</v>
      </c>
      <c r="L150" s="104" t="s">
        <v>1306</v>
      </c>
      <c r="M150" s="104" t="s">
        <v>2414</v>
      </c>
      <c r="N150" s="104" t="s">
        <v>1232</v>
      </c>
      <c r="O150" s="104" t="s">
        <v>1176</v>
      </c>
      <c r="P150" s="104" t="s">
        <v>1176</v>
      </c>
      <c r="Q150" s="104" t="s">
        <v>1176</v>
      </c>
      <c r="R150" s="104" t="s">
        <v>1176</v>
      </c>
      <c r="S150" s="104" t="s">
        <v>1176</v>
      </c>
      <c r="T150" s="104" t="s">
        <v>1176</v>
      </c>
      <c r="U150" s="104" t="s">
        <v>1176</v>
      </c>
      <c r="V150" s="104" t="s">
        <v>2415</v>
      </c>
      <c r="W150" s="104" t="s">
        <v>1176</v>
      </c>
      <c r="X150" s="104" t="s">
        <v>2416</v>
      </c>
      <c r="Y150" s="104" t="s">
        <v>1274</v>
      </c>
      <c r="Z150" s="104" t="s">
        <v>2417</v>
      </c>
      <c r="AA150" s="104" t="s">
        <v>1176</v>
      </c>
      <c r="AB150" s="104" t="s">
        <v>1176</v>
      </c>
      <c r="AC150" s="104" t="s">
        <v>1176</v>
      </c>
      <c r="AD150" s="104" t="s">
        <v>1176</v>
      </c>
      <c r="AE150" s="104" t="s">
        <v>1176</v>
      </c>
      <c r="AF150" s="104" t="s">
        <v>1176</v>
      </c>
      <c r="AG150" s="104" t="s">
        <v>1176</v>
      </c>
      <c r="AH150" s="104" t="s">
        <v>1176</v>
      </c>
      <c r="AI150" s="104" t="s">
        <v>1176</v>
      </c>
      <c r="AJ150" s="104" t="s">
        <v>1421</v>
      </c>
      <c r="AK150" s="104" t="s">
        <v>2418</v>
      </c>
      <c r="AL150" s="104" t="s">
        <v>2419</v>
      </c>
      <c r="AM150" s="104" t="s">
        <v>1176</v>
      </c>
      <c r="AN150" s="104" t="s">
        <v>1218</v>
      </c>
      <c r="AO150" s="104" t="s">
        <v>1176</v>
      </c>
      <c r="AP150" s="104" t="s">
        <v>1176</v>
      </c>
      <c r="AQ150" s="104" t="s">
        <v>1176</v>
      </c>
      <c r="AR150" s="104" t="s">
        <v>1176</v>
      </c>
      <c r="AS150" s="104" t="s">
        <v>1176</v>
      </c>
      <c r="AT150" s="104" t="s">
        <v>1176</v>
      </c>
      <c r="AU150" s="104" t="s">
        <v>1176</v>
      </c>
      <c r="AV150" s="104" t="s">
        <v>1176</v>
      </c>
      <c r="AW150" s="104" t="s">
        <v>1176</v>
      </c>
      <c r="AX150" s="104" t="s">
        <v>1176</v>
      </c>
      <c r="AY150" s="104" t="s">
        <v>1176</v>
      </c>
      <c r="AZ150" s="104" t="s">
        <v>1176</v>
      </c>
      <c r="BA150" s="104" t="s">
        <v>1176</v>
      </c>
      <c r="BB150" s="104" t="s">
        <v>1176</v>
      </c>
      <c r="BC150" s="104" t="s">
        <v>1232</v>
      </c>
      <c r="BD150" s="104" t="s">
        <v>1218</v>
      </c>
      <c r="BE150" s="104" t="s">
        <v>1176</v>
      </c>
      <c r="BF150" s="104" t="s">
        <v>1176</v>
      </c>
      <c r="BG150" s="104" t="s">
        <v>1176</v>
      </c>
      <c r="BH150" s="104" t="s">
        <v>1176</v>
      </c>
      <c r="BI150" s="104" t="s">
        <v>1176</v>
      </c>
      <c r="BJ150" s="104" t="s">
        <v>1176</v>
      </c>
      <c r="BK150" s="104" t="s">
        <v>1176</v>
      </c>
      <c r="BL150" s="104" t="s">
        <v>1176</v>
      </c>
      <c r="BM150" s="104" t="s">
        <v>1176</v>
      </c>
      <c r="BN150" s="104" t="s">
        <v>1176</v>
      </c>
      <c r="BO150" s="104" t="s">
        <v>1176</v>
      </c>
      <c r="BP150" s="104" t="s">
        <v>1176</v>
      </c>
      <c r="BQ150" s="104" t="s">
        <v>1176</v>
      </c>
      <c r="BR150" s="104" t="s">
        <v>1176</v>
      </c>
      <c r="BS150" s="104" t="s">
        <v>1176</v>
      </c>
      <c r="BT150" s="104" t="s">
        <v>1176</v>
      </c>
      <c r="BU150" s="104" t="s">
        <v>1176</v>
      </c>
      <c r="BV150" s="104" t="s">
        <v>1176</v>
      </c>
      <c r="BW150" s="104" t="s">
        <v>1176</v>
      </c>
      <c r="BX150" s="104" t="s">
        <v>1176</v>
      </c>
      <c r="BY150" s="104" t="s">
        <v>1176</v>
      </c>
      <c r="BZ150" s="104" t="s">
        <v>1176</v>
      </c>
      <c r="CA150" s="104" t="s">
        <v>1176</v>
      </c>
      <c r="CB150" s="104" t="s">
        <v>1176</v>
      </c>
      <c r="CC150" s="104" t="s">
        <v>1176</v>
      </c>
      <c r="CD150" s="104" t="s">
        <v>1176</v>
      </c>
      <c r="CE150" s="104" t="s">
        <v>1176</v>
      </c>
      <c r="CF150" s="104" t="s">
        <v>1176</v>
      </c>
      <c r="CG150" s="104" t="s">
        <v>1176</v>
      </c>
      <c r="CH150" s="104" t="s">
        <v>1176</v>
      </c>
      <c r="CI150" s="104" t="s">
        <v>1176</v>
      </c>
      <c r="CJ150" s="104" t="s">
        <v>1176</v>
      </c>
      <c r="CK150" s="104" t="s">
        <v>1176</v>
      </c>
      <c r="CL150" s="104" t="s">
        <v>1176</v>
      </c>
      <c r="CM150" s="104" t="s">
        <v>1176</v>
      </c>
      <c r="CN150" s="104" t="s">
        <v>1176</v>
      </c>
      <c r="CO150" s="104" t="s">
        <v>1176</v>
      </c>
    </row>
    <row r="151" s="102" customFormat="1" ht="15" spans="1:93">
      <c r="A151" s="104" t="s">
        <v>1586</v>
      </c>
      <c r="B151" s="104" t="s">
        <v>1146</v>
      </c>
      <c r="C151" s="104" t="s">
        <v>1147</v>
      </c>
      <c r="D151" s="104" t="s">
        <v>2420</v>
      </c>
      <c r="E151" s="104" t="s">
        <v>2421</v>
      </c>
      <c r="F151" s="104">
        <f t="shared" si="2"/>
        <v>4306</v>
      </c>
      <c r="G151" s="104" t="s">
        <v>2422</v>
      </c>
      <c r="H151" s="104" t="s">
        <v>1176</v>
      </c>
      <c r="I151" s="104" t="s">
        <v>1176</v>
      </c>
      <c r="J151" s="104" t="s">
        <v>1176</v>
      </c>
      <c r="K151" s="104" t="s">
        <v>1176</v>
      </c>
      <c r="L151" s="104" t="s">
        <v>2312</v>
      </c>
      <c r="M151" s="104" t="s">
        <v>2423</v>
      </c>
      <c r="N151" s="104" t="s">
        <v>1201</v>
      </c>
      <c r="O151" s="104" t="s">
        <v>1176</v>
      </c>
      <c r="P151" s="104" t="s">
        <v>1176</v>
      </c>
      <c r="Q151" s="104" t="s">
        <v>1176</v>
      </c>
      <c r="R151" s="104" t="s">
        <v>1176</v>
      </c>
      <c r="S151" s="104" t="s">
        <v>1176</v>
      </c>
      <c r="T151" s="104" t="s">
        <v>1176</v>
      </c>
      <c r="U151" s="104" t="s">
        <v>1243</v>
      </c>
      <c r="V151" s="104" t="s">
        <v>2424</v>
      </c>
      <c r="W151" s="104" t="s">
        <v>1176</v>
      </c>
      <c r="X151" s="104" t="s">
        <v>2425</v>
      </c>
      <c r="Y151" s="104" t="s">
        <v>1849</v>
      </c>
      <c r="Z151" s="104" t="s">
        <v>2426</v>
      </c>
      <c r="AA151" s="104" t="s">
        <v>1176</v>
      </c>
      <c r="AB151" s="104" t="s">
        <v>1176</v>
      </c>
      <c r="AC151" s="104" t="s">
        <v>1176</v>
      </c>
      <c r="AD151" s="104" t="s">
        <v>1176</v>
      </c>
      <c r="AE151" s="104" t="s">
        <v>1176</v>
      </c>
      <c r="AF151" s="104" t="s">
        <v>1176</v>
      </c>
      <c r="AG151" s="104" t="s">
        <v>1176</v>
      </c>
      <c r="AH151" s="104" t="s">
        <v>1176</v>
      </c>
      <c r="AI151" s="104" t="s">
        <v>1232</v>
      </c>
      <c r="AJ151" s="104" t="s">
        <v>2328</v>
      </c>
      <c r="AK151" s="104" t="s">
        <v>2427</v>
      </c>
      <c r="AL151" s="104" t="s">
        <v>2428</v>
      </c>
      <c r="AM151" s="104" t="s">
        <v>1176</v>
      </c>
      <c r="AN151" s="104" t="s">
        <v>1187</v>
      </c>
      <c r="AO151" s="104" t="s">
        <v>1176</v>
      </c>
      <c r="AP151" s="104" t="s">
        <v>1176</v>
      </c>
      <c r="AQ151" s="104" t="s">
        <v>1176</v>
      </c>
      <c r="AR151" s="104" t="s">
        <v>1176</v>
      </c>
      <c r="AS151" s="104" t="s">
        <v>1176</v>
      </c>
      <c r="AT151" s="104" t="s">
        <v>1176</v>
      </c>
      <c r="AU151" s="104" t="s">
        <v>1176</v>
      </c>
      <c r="AV151" s="104" t="s">
        <v>1176</v>
      </c>
      <c r="AW151" s="104" t="s">
        <v>1176</v>
      </c>
      <c r="AX151" s="104" t="s">
        <v>1176</v>
      </c>
      <c r="AY151" s="104" t="s">
        <v>1176</v>
      </c>
      <c r="AZ151" s="104" t="s">
        <v>1176</v>
      </c>
      <c r="BA151" s="104" t="s">
        <v>1176</v>
      </c>
      <c r="BB151" s="104" t="s">
        <v>1176</v>
      </c>
      <c r="BC151" s="104" t="s">
        <v>1176</v>
      </c>
      <c r="BD151" s="104" t="s">
        <v>1176</v>
      </c>
      <c r="BE151" s="104" t="s">
        <v>1176</v>
      </c>
      <c r="BF151" s="104" t="s">
        <v>1176</v>
      </c>
      <c r="BG151" s="104" t="s">
        <v>1767</v>
      </c>
      <c r="BH151" s="104" t="s">
        <v>1767</v>
      </c>
      <c r="BI151" s="104" t="s">
        <v>2429</v>
      </c>
      <c r="BJ151" s="104" t="s">
        <v>1232</v>
      </c>
      <c r="BK151" s="104" t="s">
        <v>1176</v>
      </c>
      <c r="BL151" s="104" t="s">
        <v>1176</v>
      </c>
      <c r="BM151" s="104" t="s">
        <v>1176</v>
      </c>
      <c r="BN151" s="104" t="s">
        <v>1172</v>
      </c>
      <c r="BO151" s="104" t="s">
        <v>1172</v>
      </c>
      <c r="BP151" s="104" t="s">
        <v>1176</v>
      </c>
      <c r="BQ151" s="104" t="s">
        <v>1176</v>
      </c>
      <c r="BR151" s="104" t="s">
        <v>1176</v>
      </c>
      <c r="BS151" s="104" t="s">
        <v>1176</v>
      </c>
      <c r="BT151" s="104" t="s">
        <v>1402</v>
      </c>
      <c r="BU151" s="104" t="s">
        <v>2430</v>
      </c>
      <c r="BV151" s="104" t="s">
        <v>1176</v>
      </c>
      <c r="BW151" s="104" t="s">
        <v>1176</v>
      </c>
      <c r="BX151" s="104" t="s">
        <v>1180</v>
      </c>
      <c r="BY151" s="104" t="s">
        <v>1456</v>
      </c>
      <c r="BZ151" s="104" t="s">
        <v>1176</v>
      </c>
      <c r="CA151" s="104" t="s">
        <v>1176</v>
      </c>
      <c r="CB151" s="104" t="s">
        <v>1176</v>
      </c>
      <c r="CC151" s="104" t="s">
        <v>1176</v>
      </c>
      <c r="CD151" s="104" t="s">
        <v>1176</v>
      </c>
      <c r="CE151" s="104" t="s">
        <v>1176</v>
      </c>
      <c r="CF151" s="104" t="s">
        <v>1176</v>
      </c>
      <c r="CG151" s="104" t="s">
        <v>1176</v>
      </c>
      <c r="CH151" s="104" t="s">
        <v>1176</v>
      </c>
      <c r="CI151" s="104" t="s">
        <v>1176</v>
      </c>
      <c r="CJ151" s="104" t="s">
        <v>1176</v>
      </c>
      <c r="CK151" s="104" t="s">
        <v>1176</v>
      </c>
      <c r="CL151" s="104" t="s">
        <v>1176</v>
      </c>
      <c r="CM151" s="104" t="s">
        <v>1176</v>
      </c>
      <c r="CN151" s="104" t="s">
        <v>1176</v>
      </c>
      <c r="CO151" s="104" t="s">
        <v>1176</v>
      </c>
    </row>
    <row r="152" s="102" customFormat="1" ht="15" spans="1:93">
      <c r="A152" s="104" t="s">
        <v>1835</v>
      </c>
      <c r="B152" s="104" t="s">
        <v>1146</v>
      </c>
      <c r="C152" s="104" t="s">
        <v>1147</v>
      </c>
      <c r="D152" s="104" t="s">
        <v>2431</v>
      </c>
      <c r="E152" s="104" t="s">
        <v>2432</v>
      </c>
      <c r="F152" s="104">
        <f t="shared" si="2"/>
        <v>1269</v>
      </c>
      <c r="G152" s="104" t="s">
        <v>2433</v>
      </c>
      <c r="H152" s="104" t="s">
        <v>1176</v>
      </c>
      <c r="I152" s="104" t="s">
        <v>1176</v>
      </c>
      <c r="J152" s="104" t="s">
        <v>1176</v>
      </c>
      <c r="K152" s="104" t="s">
        <v>1176</v>
      </c>
      <c r="L152" s="104" t="s">
        <v>1182</v>
      </c>
      <c r="M152" s="104" t="s">
        <v>2434</v>
      </c>
      <c r="N152" s="104" t="s">
        <v>1201</v>
      </c>
      <c r="O152" s="104" t="s">
        <v>1176</v>
      </c>
      <c r="P152" s="104" t="s">
        <v>1176</v>
      </c>
      <c r="Q152" s="104" t="s">
        <v>1176</v>
      </c>
      <c r="R152" s="104" t="s">
        <v>1176</v>
      </c>
      <c r="S152" s="104" t="s">
        <v>1176</v>
      </c>
      <c r="T152" s="104" t="s">
        <v>1176</v>
      </c>
      <c r="U152" s="104" t="s">
        <v>1176</v>
      </c>
      <c r="V152" s="104" t="s">
        <v>1885</v>
      </c>
      <c r="W152" s="104" t="s">
        <v>1176</v>
      </c>
      <c r="X152" s="104" t="s">
        <v>2435</v>
      </c>
      <c r="Y152" s="104" t="s">
        <v>1909</v>
      </c>
      <c r="Z152" s="104" t="s">
        <v>2436</v>
      </c>
      <c r="AA152" s="104" t="s">
        <v>1176</v>
      </c>
      <c r="AB152" s="104" t="s">
        <v>1176</v>
      </c>
      <c r="AC152" s="104" t="s">
        <v>1176</v>
      </c>
      <c r="AD152" s="104" t="s">
        <v>1176</v>
      </c>
      <c r="AE152" s="104" t="s">
        <v>1176</v>
      </c>
      <c r="AF152" s="104" t="s">
        <v>1176</v>
      </c>
      <c r="AG152" s="104" t="s">
        <v>1176</v>
      </c>
      <c r="AH152" s="104" t="s">
        <v>1176</v>
      </c>
      <c r="AI152" s="104" t="s">
        <v>1187</v>
      </c>
      <c r="AJ152" s="104" t="s">
        <v>1730</v>
      </c>
      <c r="AK152" s="104" t="s">
        <v>1897</v>
      </c>
      <c r="AL152" s="104" t="s">
        <v>2437</v>
      </c>
      <c r="AM152" s="104" t="s">
        <v>1176</v>
      </c>
      <c r="AN152" s="104" t="s">
        <v>1172</v>
      </c>
      <c r="AO152" s="104" t="s">
        <v>1176</v>
      </c>
      <c r="AP152" s="104" t="s">
        <v>1176</v>
      </c>
      <c r="AQ152" s="104" t="s">
        <v>1176</v>
      </c>
      <c r="AR152" s="104" t="s">
        <v>1176</v>
      </c>
      <c r="AS152" s="104" t="s">
        <v>1176</v>
      </c>
      <c r="AT152" s="104" t="s">
        <v>1176</v>
      </c>
      <c r="AU152" s="104" t="s">
        <v>1176</v>
      </c>
      <c r="AV152" s="104" t="s">
        <v>1176</v>
      </c>
      <c r="AW152" s="104" t="s">
        <v>1176</v>
      </c>
      <c r="AX152" s="104" t="s">
        <v>1176</v>
      </c>
      <c r="AY152" s="104" t="s">
        <v>1176</v>
      </c>
      <c r="AZ152" s="104" t="s">
        <v>1176</v>
      </c>
      <c r="BA152" s="104" t="s">
        <v>1176</v>
      </c>
      <c r="BB152" s="104" t="s">
        <v>1176</v>
      </c>
      <c r="BC152" s="104" t="s">
        <v>1176</v>
      </c>
      <c r="BD152" s="104" t="s">
        <v>1176</v>
      </c>
      <c r="BE152" s="104" t="s">
        <v>1176</v>
      </c>
      <c r="BF152" s="104" t="s">
        <v>1176</v>
      </c>
      <c r="BG152" s="104" t="s">
        <v>1470</v>
      </c>
      <c r="BH152" s="104" t="s">
        <v>1470</v>
      </c>
      <c r="BI152" s="104" t="s">
        <v>1228</v>
      </c>
      <c r="BJ152" s="104" t="s">
        <v>1172</v>
      </c>
      <c r="BK152" s="104" t="s">
        <v>1176</v>
      </c>
      <c r="BL152" s="104" t="s">
        <v>1176</v>
      </c>
      <c r="BM152" s="104" t="s">
        <v>1176</v>
      </c>
      <c r="BN152" s="104" t="s">
        <v>1187</v>
      </c>
      <c r="BO152" s="104" t="s">
        <v>1187</v>
      </c>
      <c r="BP152" s="104" t="s">
        <v>1176</v>
      </c>
      <c r="BQ152" s="104" t="s">
        <v>1176</v>
      </c>
      <c r="BR152" s="104" t="s">
        <v>1176</v>
      </c>
      <c r="BS152" s="104" t="s">
        <v>1176</v>
      </c>
      <c r="BT152" s="104" t="s">
        <v>1207</v>
      </c>
      <c r="BU152" s="104" t="s">
        <v>2438</v>
      </c>
      <c r="BV152" s="104" t="s">
        <v>1176</v>
      </c>
      <c r="BW152" s="104" t="s">
        <v>1176</v>
      </c>
      <c r="BX152" s="104" t="s">
        <v>1187</v>
      </c>
      <c r="BY152" s="104" t="s">
        <v>1232</v>
      </c>
      <c r="BZ152" s="104" t="s">
        <v>1176</v>
      </c>
      <c r="CA152" s="104" t="s">
        <v>1176</v>
      </c>
      <c r="CB152" s="104" t="s">
        <v>1176</v>
      </c>
      <c r="CC152" s="104" t="s">
        <v>1176</v>
      </c>
      <c r="CD152" s="104" t="s">
        <v>1176</v>
      </c>
      <c r="CE152" s="104" t="s">
        <v>1176</v>
      </c>
      <c r="CF152" s="104" t="s">
        <v>1176</v>
      </c>
      <c r="CG152" s="104" t="s">
        <v>1176</v>
      </c>
      <c r="CH152" s="104" t="s">
        <v>1176</v>
      </c>
      <c r="CI152" s="104" t="s">
        <v>1176</v>
      </c>
      <c r="CJ152" s="104" t="s">
        <v>1176</v>
      </c>
      <c r="CK152" s="104" t="s">
        <v>1176</v>
      </c>
      <c r="CL152" s="104" t="s">
        <v>1176</v>
      </c>
      <c r="CM152" s="104" t="s">
        <v>1176</v>
      </c>
      <c r="CN152" s="104" t="s">
        <v>1176</v>
      </c>
      <c r="CO152" s="104" t="s">
        <v>1176</v>
      </c>
    </row>
    <row r="153" s="102" customFormat="1" ht="15" spans="1:93">
      <c r="A153" s="104" t="s">
        <v>1281</v>
      </c>
      <c r="B153" s="104" t="s">
        <v>1146</v>
      </c>
      <c r="C153" s="104" t="s">
        <v>1147</v>
      </c>
      <c r="D153" s="104" t="s">
        <v>2439</v>
      </c>
      <c r="E153" s="104" t="s">
        <v>2440</v>
      </c>
      <c r="F153" s="104">
        <f t="shared" si="2"/>
        <v>2812</v>
      </c>
      <c r="G153" s="104" t="s">
        <v>2441</v>
      </c>
      <c r="H153" s="104" t="s">
        <v>1176</v>
      </c>
      <c r="I153" s="104" t="s">
        <v>1176</v>
      </c>
      <c r="J153" s="104" t="s">
        <v>1176</v>
      </c>
      <c r="K153" s="104" t="s">
        <v>1176</v>
      </c>
      <c r="L153" s="104" t="s">
        <v>1595</v>
      </c>
      <c r="M153" s="104" t="s">
        <v>1943</v>
      </c>
      <c r="N153" s="104" t="s">
        <v>1180</v>
      </c>
      <c r="O153" s="104" t="s">
        <v>1176</v>
      </c>
      <c r="P153" s="104" t="s">
        <v>1176</v>
      </c>
      <c r="Q153" s="104" t="s">
        <v>1176</v>
      </c>
      <c r="R153" s="104" t="s">
        <v>1176</v>
      </c>
      <c r="S153" s="104" t="s">
        <v>1176</v>
      </c>
      <c r="T153" s="104" t="s">
        <v>1176</v>
      </c>
      <c r="U153" s="104" t="s">
        <v>1232</v>
      </c>
      <c r="V153" s="104" t="s">
        <v>1961</v>
      </c>
      <c r="W153" s="104" t="s">
        <v>1176</v>
      </c>
      <c r="X153" s="104" t="s">
        <v>2442</v>
      </c>
      <c r="Y153" s="104" t="s">
        <v>1184</v>
      </c>
      <c r="Z153" s="104" t="s">
        <v>2443</v>
      </c>
      <c r="AA153" s="104" t="s">
        <v>1176</v>
      </c>
      <c r="AB153" s="104" t="s">
        <v>1176</v>
      </c>
      <c r="AC153" s="104" t="s">
        <v>1179</v>
      </c>
      <c r="AD153" s="104" t="s">
        <v>2016</v>
      </c>
      <c r="AE153" s="104" t="s">
        <v>1176</v>
      </c>
      <c r="AF153" s="104" t="s">
        <v>1176</v>
      </c>
      <c r="AG153" s="104" t="s">
        <v>1176</v>
      </c>
      <c r="AH153" s="104" t="s">
        <v>1176</v>
      </c>
      <c r="AI153" s="104" t="s">
        <v>1243</v>
      </c>
      <c r="AJ153" s="104" t="s">
        <v>2444</v>
      </c>
      <c r="AK153" s="104" t="s">
        <v>2058</v>
      </c>
      <c r="AL153" s="104" t="s">
        <v>2445</v>
      </c>
      <c r="AM153" s="104" t="s">
        <v>1176</v>
      </c>
      <c r="AN153" s="104" t="s">
        <v>1187</v>
      </c>
      <c r="AO153" s="104" t="s">
        <v>1176</v>
      </c>
      <c r="AP153" s="104" t="s">
        <v>1176</v>
      </c>
      <c r="AQ153" s="104" t="s">
        <v>1176</v>
      </c>
      <c r="AR153" s="104" t="s">
        <v>1176</v>
      </c>
      <c r="AS153" s="104" t="s">
        <v>1176</v>
      </c>
      <c r="AT153" s="104" t="s">
        <v>1176</v>
      </c>
      <c r="AU153" s="104" t="s">
        <v>1176</v>
      </c>
      <c r="AV153" s="104" t="s">
        <v>1176</v>
      </c>
      <c r="AW153" s="104" t="s">
        <v>1176</v>
      </c>
      <c r="AX153" s="104" t="s">
        <v>1176</v>
      </c>
      <c r="AY153" s="104" t="s">
        <v>1176</v>
      </c>
      <c r="AZ153" s="104" t="s">
        <v>1176</v>
      </c>
      <c r="BA153" s="104" t="s">
        <v>1176</v>
      </c>
      <c r="BB153" s="104" t="s">
        <v>1176</v>
      </c>
      <c r="BC153" s="104" t="s">
        <v>1176</v>
      </c>
      <c r="BD153" s="104" t="s">
        <v>1176</v>
      </c>
      <c r="BE153" s="104" t="s">
        <v>1176</v>
      </c>
      <c r="BF153" s="104" t="s">
        <v>1176</v>
      </c>
      <c r="BG153" s="104" t="s">
        <v>1897</v>
      </c>
      <c r="BH153" s="104" t="s">
        <v>1897</v>
      </c>
      <c r="BI153" s="104" t="s">
        <v>2446</v>
      </c>
      <c r="BJ153" s="104" t="s">
        <v>1172</v>
      </c>
      <c r="BK153" s="104" t="s">
        <v>1176</v>
      </c>
      <c r="BL153" s="104" t="s">
        <v>1176</v>
      </c>
      <c r="BM153" s="104" t="s">
        <v>1176</v>
      </c>
      <c r="BN153" s="104" t="s">
        <v>1172</v>
      </c>
      <c r="BO153" s="104" t="s">
        <v>1172</v>
      </c>
      <c r="BP153" s="104" t="s">
        <v>1176</v>
      </c>
      <c r="BQ153" s="104" t="s">
        <v>1176</v>
      </c>
      <c r="BR153" s="104" t="s">
        <v>1176</v>
      </c>
      <c r="BS153" s="104" t="s">
        <v>1176</v>
      </c>
      <c r="BT153" s="104" t="s">
        <v>1299</v>
      </c>
      <c r="BU153" s="104" t="s">
        <v>2447</v>
      </c>
      <c r="BV153" s="104" t="s">
        <v>1176</v>
      </c>
      <c r="BW153" s="104" t="s">
        <v>1176</v>
      </c>
      <c r="BX153" s="104" t="s">
        <v>1188</v>
      </c>
      <c r="BY153" s="104" t="s">
        <v>1863</v>
      </c>
      <c r="BZ153" s="104" t="s">
        <v>1176</v>
      </c>
      <c r="CA153" s="104" t="s">
        <v>1176</v>
      </c>
      <c r="CB153" s="104" t="s">
        <v>1176</v>
      </c>
      <c r="CC153" s="104" t="s">
        <v>1176</v>
      </c>
      <c r="CD153" s="104" t="s">
        <v>1176</v>
      </c>
      <c r="CE153" s="104" t="s">
        <v>1176</v>
      </c>
      <c r="CF153" s="104" t="s">
        <v>1176</v>
      </c>
      <c r="CG153" s="104" t="s">
        <v>1176</v>
      </c>
      <c r="CH153" s="104" t="s">
        <v>1176</v>
      </c>
      <c r="CI153" s="104" t="s">
        <v>1176</v>
      </c>
      <c r="CJ153" s="104" t="s">
        <v>1176</v>
      </c>
      <c r="CK153" s="104" t="s">
        <v>1176</v>
      </c>
      <c r="CL153" s="104" t="s">
        <v>1176</v>
      </c>
      <c r="CM153" s="104" t="s">
        <v>1176</v>
      </c>
      <c r="CN153" s="104" t="s">
        <v>1176</v>
      </c>
      <c r="CO153" s="104" t="s">
        <v>1176</v>
      </c>
    </row>
    <row r="154" s="102" customFormat="1" ht="15" spans="1:93">
      <c r="A154" s="104" t="s">
        <v>1566</v>
      </c>
      <c r="B154" s="104" t="s">
        <v>1146</v>
      </c>
      <c r="C154" s="104" t="s">
        <v>1147</v>
      </c>
      <c r="D154" s="104" t="s">
        <v>2448</v>
      </c>
      <c r="E154" s="104" t="s">
        <v>2449</v>
      </c>
      <c r="F154" s="104">
        <f t="shared" si="2"/>
        <v>1306</v>
      </c>
      <c r="G154" s="104" t="s">
        <v>2450</v>
      </c>
      <c r="H154" s="104" t="s">
        <v>1176</v>
      </c>
      <c r="I154" s="104" t="s">
        <v>1176</v>
      </c>
      <c r="J154" s="104" t="s">
        <v>1176</v>
      </c>
      <c r="K154" s="104" t="s">
        <v>1176</v>
      </c>
      <c r="L154" s="104" t="s">
        <v>1807</v>
      </c>
      <c r="M154" s="104" t="s">
        <v>2451</v>
      </c>
      <c r="N154" s="104" t="s">
        <v>1176</v>
      </c>
      <c r="O154" s="104" t="s">
        <v>1176</v>
      </c>
      <c r="P154" s="104" t="s">
        <v>1176</v>
      </c>
      <c r="Q154" s="104" t="s">
        <v>1176</v>
      </c>
      <c r="R154" s="104" t="s">
        <v>1176</v>
      </c>
      <c r="S154" s="104" t="s">
        <v>1176</v>
      </c>
      <c r="T154" s="104" t="s">
        <v>1176</v>
      </c>
      <c r="U154" s="104" t="s">
        <v>1176</v>
      </c>
      <c r="V154" s="104" t="s">
        <v>1897</v>
      </c>
      <c r="W154" s="104" t="s">
        <v>1176</v>
      </c>
      <c r="X154" s="104" t="s">
        <v>2452</v>
      </c>
      <c r="Y154" s="104" t="s">
        <v>1492</v>
      </c>
      <c r="Z154" s="104" t="s">
        <v>2453</v>
      </c>
      <c r="AA154" s="104" t="s">
        <v>1176</v>
      </c>
      <c r="AB154" s="104" t="s">
        <v>1176</v>
      </c>
      <c r="AC154" s="104" t="s">
        <v>1176</v>
      </c>
      <c r="AD154" s="104" t="s">
        <v>1176</v>
      </c>
      <c r="AE154" s="104" t="s">
        <v>1176</v>
      </c>
      <c r="AF154" s="104" t="s">
        <v>1176</v>
      </c>
      <c r="AG154" s="104" t="s">
        <v>1176</v>
      </c>
      <c r="AH154" s="104" t="s">
        <v>1176</v>
      </c>
      <c r="AI154" s="104" t="s">
        <v>1201</v>
      </c>
      <c r="AJ154" s="104" t="s">
        <v>2454</v>
      </c>
      <c r="AK154" s="104" t="s">
        <v>2455</v>
      </c>
      <c r="AL154" s="104" t="s">
        <v>2456</v>
      </c>
      <c r="AM154" s="104" t="s">
        <v>1176</v>
      </c>
      <c r="AN154" s="104" t="s">
        <v>1172</v>
      </c>
      <c r="AO154" s="104" t="s">
        <v>1176</v>
      </c>
      <c r="AP154" s="104" t="s">
        <v>1176</v>
      </c>
      <c r="AQ154" s="104" t="s">
        <v>1176</v>
      </c>
      <c r="AR154" s="104" t="s">
        <v>1176</v>
      </c>
      <c r="AS154" s="104" t="s">
        <v>1176</v>
      </c>
      <c r="AT154" s="104" t="s">
        <v>1176</v>
      </c>
      <c r="AU154" s="104" t="s">
        <v>1176</v>
      </c>
      <c r="AV154" s="104" t="s">
        <v>1176</v>
      </c>
      <c r="AW154" s="104" t="s">
        <v>1176</v>
      </c>
      <c r="AX154" s="104" t="s">
        <v>1176</v>
      </c>
      <c r="AY154" s="104" t="s">
        <v>1176</v>
      </c>
      <c r="AZ154" s="104" t="s">
        <v>1176</v>
      </c>
      <c r="BA154" s="104" t="s">
        <v>1176</v>
      </c>
      <c r="BB154" s="104" t="s">
        <v>1176</v>
      </c>
      <c r="BC154" s="104" t="s">
        <v>1176</v>
      </c>
      <c r="BD154" s="104" t="s">
        <v>1176</v>
      </c>
      <c r="BE154" s="104" t="s">
        <v>1176</v>
      </c>
      <c r="BF154" s="104" t="s">
        <v>1176</v>
      </c>
      <c r="BG154" s="104" t="s">
        <v>1187</v>
      </c>
      <c r="BH154" s="104" t="s">
        <v>1187</v>
      </c>
      <c r="BI154" s="104" t="s">
        <v>1209</v>
      </c>
      <c r="BJ154" s="104" t="s">
        <v>1172</v>
      </c>
      <c r="BK154" s="104" t="s">
        <v>1176</v>
      </c>
      <c r="BL154" s="104" t="s">
        <v>1176</v>
      </c>
      <c r="BM154" s="104" t="s">
        <v>1176</v>
      </c>
      <c r="BN154" s="104" t="s">
        <v>1176</v>
      </c>
      <c r="BO154" s="104" t="s">
        <v>1176</v>
      </c>
      <c r="BP154" s="104" t="s">
        <v>1176</v>
      </c>
      <c r="BQ154" s="104" t="s">
        <v>1176</v>
      </c>
      <c r="BR154" s="104" t="s">
        <v>1176</v>
      </c>
      <c r="BS154" s="104" t="s">
        <v>1176</v>
      </c>
      <c r="BT154" s="104" t="s">
        <v>1172</v>
      </c>
      <c r="BU154" s="104" t="s">
        <v>1209</v>
      </c>
      <c r="BV154" s="104" t="s">
        <v>1176</v>
      </c>
      <c r="BW154" s="104" t="s">
        <v>1176</v>
      </c>
      <c r="BX154" s="104" t="s">
        <v>1176</v>
      </c>
      <c r="BY154" s="104" t="s">
        <v>1176</v>
      </c>
      <c r="BZ154" s="104" t="s">
        <v>1176</v>
      </c>
      <c r="CA154" s="104" t="s">
        <v>1176</v>
      </c>
      <c r="CB154" s="104" t="s">
        <v>1176</v>
      </c>
      <c r="CC154" s="104" t="s">
        <v>1176</v>
      </c>
      <c r="CD154" s="104" t="s">
        <v>1176</v>
      </c>
      <c r="CE154" s="104" t="s">
        <v>1176</v>
      </c>
      <c r="CF154" s="104" t="s">
        <v>1176</v>
      </c>
      <c r="CG154" s="104" t="s">
        <v>1176</v>
      </c>
      <c r="CH154" s="104" t="s">
        <v>1176</v>
      </c>
      <c r="CI154" s="104" t="s">
        <v>1176</v>
      </c>
      <c r="CJ154" s="104" t="s">
        <v>1176</v>
      </c>
      <c r="CK154" s="104" t="s">
        <v>1176</v>
      </c>
      <c r="CL154" s="104" t="s">
        <v>1176</v>
      </c>
      <c r="CM154" s="104" t="s">
        <v>1176</v>
      </c>
      <c r="CN154" s="104" t="s">
        <v>1176</v>
      </c>
      <c r="CO154" s="104" t="s">
        <v>1176</v>
      </c>
    </row>
    <row r="155" s="102" customFormat="1" ht="15" spans="1:93">
      <c r="A155" s="104" t="s">
        <v>2455</v>
      </c>
      <c r="B155" s="104" t="s">
        <v>1146</v>
      </c>
      <c r="C155" s="104" t="s">
        <v>1147</v>
      </c>
      <c r="D155" s="104" t="s">
        <v>2457</v>
      </c>
      <c r="E155" s="104" t="s">
        <v>2458</v>
      </c>
      <c r="F155" s="104">
        <f t="shared" si="2"/>
        <v>2813</v>
      </c>
      <c r="G155" s="104" t="s">
        <v>2459</v>
      </c>
      <c r="H155" s="104" t="s">
        <v>1176</v>
      </c>
      <c r="I155" s="104" t="s">
        <v>1176</v>
      </c>
      <c r="J155" s="104" t="s">
        <v>1176</v>
      </c>
      <c r="K155" s="104" t="s">
        <v>1176</v>
      </c>
      <c r="L155" s="104" t="s">
        <v>2460</v>
      </c>
      <c r="M155" s="104" t="s">
        <v>2461</v>
      </c>
      <c r="N155" s="104" t="s">
        <v>1176</v>
      </c>
      <c r="O155" s="104" t="s">
        <v>1187</v>
      </c>
      <c r="P155" s="104" t="s">
        <v>1172</v>
      </c>
      <c r="Q155" s="104" t="s">
        <v>1176</v>
      </c>
      <c r="R155" s="104" t="s">
        <v>1176</v>
      </c>
      <c r="S155" s="104" t="s">
        <v>1176</v>
      </c>
      <c r="T155" s="104" t="s">
        <v>1176</v>
      </c>
      <c r="U155" s="104" t="s">
        <v>1172</v>
      </c>
      <c r="V155" s="104" t="s">
        <v>1906</v>
      </c>
      <c r="W155" s="104" t="s">
        <v>1176</v>
      </c>
      <c r="X155" s="104" t="s">
        <v>1334</v>
      </c>
      <c r="Y155" s="104" t="s">
        <v>1188</v>
      </c>
      <c r="Z155" s="104" t="s">
        <v>1370</v>
      </c>
      <c r="AA155" s="104" t="s">
        <v>1176</v>
      </c>
      <c r="AB155" s="104" t="s">
        <v>1176</v>
      </c>
      <c r="AC155" s="104" t="s">
        <v>1176</v>
      </c>
      <c r="AD155" s="104" t="s">
        <v>1176</v>
      </c>
      <c r="AE155" s="104" t="s">
        <v>1176</v>
      </c>
      <c r="AF155" s="104" t="s">
        <v>1176</v>
      </c>
      <c r="AG155" s="104" t="s">
        <v>1176</v>
      </c>
      <c r="AH155" s="104" t="s">
        <v>1176</v>
      </c>
      <c r="AI155" s="104" t="s">
        <v>1188</v>
      </c>
      <c r="AJ155" s="104" t="s">
        <v>1370</v>
      </c>
      <c r="AK155" s="104" t="s">
        <v>1176</v>
      </c>
      <c r="AL155" s="104" t="s">
        <v>1176</v>
      </c>
      <c r="AM155" s="104" t="s">
        <v>1176</v>
      </c>
      <c r="AN155" s="104" t="s">
        <v>1176</v>
      </c>
      <c r="AO155" s="104" t="s">
        <v>1176</v>
      </c>
      <c r="AP155" s="104" t="s">
        <v>1176</v>
      </c>
      <c r="AQ155" s="104" t="s">
        <v>1176</v>
      </c>
      <c r="AR155" s="104" t="s">
        <v>1176</v>
      </c>
      <c r="AS155" s="104" t="s">
        <v>1176</v>
      </c>
      <c r="AT155" s="104" t="s">
        <v>1176</v>
      </c>
      <c r="AU155" s="104" t="s">
        <v>1176</v>
      </c>
      <c r="AV155" s="104" t="s">
        <v>1176</v>
      </c>
      <c r="AW155" s="104" t="s">
        <v>1176</v>
      </c>
      <c r="AX155" s="104" t="s">
        <v>1176</v>
      </c>
      <c r="AY155" s="104" t="s">
        <v>1176</v>
      </c>
      <c r="AZ155" s="104" t="s">
        <v>1176</v>
      </c>
      <c r="BA155" s="104" t="s">
        <v>1176</v>
      </c>
      <c r="BB155" s="104" t="s">
        <v>1176</v>
      </c>
      <c r="BC155" s="104" t="s">
        <v>1176</v>
      </c>
      <c r="BD155" s="104" t="s">
        <v>1176</v>
      </c>
      <c r="BE155" s="104" t="s">
        <v>1176</v>
      </c>
      <c r="BF155" s="104" t="s">
        <v>1176</v>
      </c>
      <c r="BG155" s="104" t="s">
        <v>1354</v>
      </c>
      <c r="BH155" s="104" t="s">
        <v>1354</v>
      </c>
      <c r="BI155" s="104" t="s">
        <v>1986</v>
      </c>
      <c r="BJ155" s="104" t="s">
        <v>1176</v>
      </c>
      <c r="BK155" s="104" t="s">
        <v>1176</v>
      </c>
      <c r="BL155" s="104" t="s">
        <v>1176</v>
      </c>
      <c r="BM155" s="104" t="s">
        <v>1176</v>
      </c>
      <c r="BN155" s="104" t="s">
        <v>1172</v>
      </c>
      <c r="BO155" s="104" t="s">
        <v>1172</v>
      </c>
      <c r="BP155" s="104" t="s">
        <v>1176</v>
      </c>
      <c r="BQ155" s="104" t="s">
        <v>1176</v>
      </c>
      <c r="BR155" s="104" t="s">
        <v>1176</v>
      </c>
      <c r="BS155" s="104" t="s">
        <v>1176</v>
      </c>
      <c r="BT155" s="104" t="s">
        <v>1201</v>
      </c>
      <c r="BU155" s="104" t="s">
        <v>1201</v>
      </c>
      <c r="BV155" s="104" t="s">
        <v>1176</v>
      </c>
      <c r="BW155" s="104" t="s">
        <v>1176</v>
      </c>
      <c r="BX155" s="104" t="s">
        <v>1232</v>
      </c>
      <c r="BY155" s="104" t="s">
        <v>1780</v>
      </c>
      <c r="BZ155" s="104" t="s">
        <v>1176</v>
      </c>
      <c r="CA155" s="104" t="s">
        <v>1176</v>
      </c>
      <c r="CB155" s="104" t="s">
        <v>1176</v>
      </c>
      <c r="CC155" s="104" t="s">
        <v>1176</v>
      </c>
      <c r="CD155" s="104" t="s">
        <v>1176</v>
      </c>
      <c r="CE155" s="104" t="s">
        <v>1176</v>
      </c>
      <c r="CF155" s="104" t="s">
        <v>1176</v>
      </c>
      <c r="CG155" s="104" t="s">
        <v>1176</v>
      </c>
      <c r="CH155" s="104" t="s">
        <v>1176</v>
      </c>
      <c r="CI155" s="104" t="s">
        <v>1176</v>
      </c>
      <c r="CJ155" s="104" t="s">
        <v>1176</v>
      </c>
      <c r="CK155" s="104" t="s">
        <v>1176</v>
      </c>
      <c r="CL155" s="104" t="s">
        <v>1176</v>
      </c>
      <c r="CM155" s="104" t="s">
        <v>1176</v>
      </c>
      <c r="CN155" s="104" t="s">
        <v>1176</v>
      </c>
      <c r="CO155" s="104" t="s">
        <v>1176</v>
      </c>
    </row>
    <row r="156" s="102" customFormat="1" ht="15" spans="1:93">
      <c r="A156" s="104" t="s">
        <v>1735</v>
      </c>
      <c r="B156" s="104" t="s">
        <v>1146</v>
      </c>
      <c r="C156" s="104" t="s">
        <v>1147</v>
      </c>
      <c r="D156" s="104" t="s">
        <v>2462</v>
      </c>
      <c r="E156" s="104" t="s">
        <v>2463</v>
      </c>
      <c r="F156" s="104">
        <f t="shared" si="2"/>
        <v>3938</v>
      </c>
      <c r="G156" s="104" t="s">
        <v>2464</v>
      </c>
      <c r="H156" s="104" t="s">
        <v>1176</v>
      </c>
      <c r="I156" s="104" t="s">
        <v>1176</v>
      </c>
      <c r="J156" s="104" t="s">
        <v>1176</v>
      </c>
      <c r="K156" s="104" t="s">
        <v>1176</v>
      </c>
      <c r="L156" s="104" t="s">
        <v>2199</v>
      </c>
      <c r="M156" s="104" t="s">
        <v>2465</v>
      </c>
      <c r="N156" s="104" t="s">
        <v>1188</v>
      </c>
      <c r="O156" s="104" t="s">
        <v>1176</v>
      </c>
      <c r="P156" s="104" t="s">
        <v>1176</v>
      </c>
      <c r="Q156" s="104" t="s">
        <v>1176</v>
      </c>
      <c r="R156" s="104" t="s">
        <v>1176</v>
      </c>
      <c r="S156" s="104" t="s">
        <v>1176</v>
      </c>
      <c r="T156" s="104" t="s">
        <v>1176</v>
      </c>
      <c r="U156" s="104" t="s">
        <v>1218</v>
      </c>
      <c r="V156" s="104" t="s">
        <v>2466</v>
      </c>
      <c r="W156" s="104" t="s">
        <v>1176</v>
      </c>
      <c r="X156" s="104" t="s">
        <v>2467</v>
      </c>
      <c r="Y156" s="104" t="s">
        <v>1410</v>
      </c>
      <c r="Z156" s="104" t="s">
        <v>2468</v>
      </c>
      <c r="AA156" s="104" t="s">
        <v>1176</v>
      </c>
      <c r="AB156" s="104" t="s">
        <v>1176</v>
      </c>
      <c r="AC156" s="104" t="s">
        <v>1232</v>
      </c>
      <c r="AD156" s="104" t="s">
        <v>1466</v>
      </c>
      <c r="AE156" s="104" t="s">
        <v>1176</v>
      </c>
      <c r="AF156" s="104" t="s">
        <v>1176</v>
      </c>
      <c r="AG156" s="104" t="s">
        <v>1176</v>
      </c>
      <c r="AH156" s="104" t="s">
        <v>1176</v>
      </c>
      <c r="AI156" s="104" t="s">
        <v>1494</v>
      </c>
      <c r="AJ156" s="104" t="s">
        <v>2469</v>
      </c>
      <c r="AK156" s="104" t="s">
        <v>2470</v>
      </c>
      <c r="AL156" s="104" t="s">
        <v>2471</v>
      </c>
      <c r="AM156" s="104" t="s">
        <v>1176</v>
      </c>
      <c r="AN156" s="104" t="s">
        <v>1172</v>
      </c>
      <c r="AO156" s="104" t="s">
        <v>1176</v>
      </c>
      <c r="AP156" s="104" t="s">
        <v>1176</v>
      </c>
      <c r="AQ156" s="104" t="s">
        <v>1176</v>
      </c>
      <c r="AR156" s="104" t="s">
        <v>1176</v>
      </c>
      <c r="AS156" s="104" t="s">
        <v>1176</v>
      </c>
      <c r="AT156" s="104" t="s">
        <v>1176</v>
      </c>
      <c r="AU156" s="104" t="s">
        <v>1176</v>
      </c>
      <c r="AV156" s="104" t="s">
        <v>1176</v>
      </c>
      <c r="AW156" s="104" t="s">
        <v>1176</v>
      </c>
      <c r="AX156" s="104" t="s">
        <v>1176</v>
      </c>
      <c r="AY156" s="104" t="s">
        <v>1176</v>
      </c>
      <c r="AZ156" s="104" t="s">
        <v>1176</v>
      </c>
      <c r="BA156" s="104" t="s">
        <v>1176</v>
      </c>
      <c r="BB156" s="104" t="s">
        <v>1176</v>
      </c>
      <c r="BC156" s="104" t="s">
        <v>1176</v>
      </c>
      <c r="BD156" s="104" t="s">
        <v>1176</v>
      </c>
      <c r="BE156" s="104" t="s">
        <v>1176</v>
      </c>
      <c r="BF156" s="104" t="s">
        <v>1176</v>
      </c>
      <c r="BG156" s="104" t="s">
        <v>1521</v>
      </c>
      <c r="BH156" s="104" t="s">
        <v>1521</v>
      </c>
      <c r="BI156" s="104" t="s">
        <v>2472</v>
      </c>
      <c r="BJ156" s="104" t="s">
        <v>1176</v>
      </c>
      <c r="BK156" s="104" t="s">
        <v>1176</v>
      </c>
      <c r="BL156" s="104" t="s">
        <v>1176</v>
      </c>
      <c r="BM156" s="104" t="s">
        <v>1176</v>
      </c>
      <c r="BN156" s="104" t="s">
        <v>1176</v>
      </c>
      <c r="BO156" s="104" t="s">
        <v>1176</v>
      </c>
      <c r="BP156" s="104" t="s">
        <v>1176</v>
      </c>
      <c r="BQ156" s="104" t="s">
        <v>1176</v>
      </c>
      <c r="BR156" s="104" t="s">
        <v>1176</v>
      </c>
      <c r="BS156" s="104" t="s">
        <v>1176</v>
      </c>
      <c r="BT156" s="104" t="s">
        <v>1249</v>
      </c>
      <c r="BU156" s="104" t="s">
        <v>2473</v>
      </c>
      <c r="BV156" s="104" t="s">
        <v>1176</v>
      </c>
      <c r="BW156" s="104" t="s">
        <v>1176</v>
      </c>
      <c r="BX156" s="104" t="s">
        <v>1212</v>
      </c>
      <c r="BY156" s="104" t="s">
        <v>1212</v>
      </c>
      <c r="BZ156" s="104" t="s">
        <v>1176</v>
      </c>
      <c r="CA156" s="104" t="s">
        <v>1176</v>
      </c>
      <c r="CB156" s="104" t="s">
        <v>1176</v>
      </c>
      <c r="CC156" s="104" t="s">
        <v>1176</v>
      </c>
      <c r="CD156" s="104" t="s">
        <v>1176</v>
      </c>
      <c r="CE156" s="104" t="s">
        <v>1176</v>
      </c>
      <c r="CF156" s="104" t="s">
        <v>1176</v>
      </c>
      <c r="CG156" s="104" t="s">
        <v>1176</v>
      </c>
      <c r="CH156" s="104" t="s">
        <v>1176</v>
      </c>
      <c r="CI156" s="104" t="s">
        <v>1176</v>
      </c>
      <c r="CJ156" s="104" t="s">
        <v>1176</v>
      </c>
      <c r="CK156" s="104" t="s">
        <v>1176</v>
      </c>
      <c r="CL156" s="104" t="s">
        <v>1176</v>
      </c>
      <c r="CM156" s="104" t="s">
        <v>1176</v>
      </c>
      <c r="CN156" s="104" t="s">
        <v>1176</v>
      </c>
      <c r="CO156" s="104" t="s">
        <v>1176</v>
      </c>
    </row>
    <row r="157" s="102" customFormat="1" ht="15" spans="1:93">
      <c r="A157" s="104" t="s">
        <v>2474</v>
      </c>
      <c r="B157" s="104" t="s">
        <v>1146</v>
      </c>
      <c r="C157" s="104" t="s">
        <v>1147</v>
      </c>
      <c r="D157" s="104" t="s">
        <v>2475</v>
      </c>
      <c r="E157" s="104" t="s">
        <v>2476</v>
      </c>
      <c r="F157" s="104">
        <f t="shared" si="2"/>
        <v>1756</v>
      </c>
      <c r="G157" s="104" t="s">
        <v>2477</v>
      </c>
      <c r="H157" s="104" t="s">
        <v>1176</v>
      </c>
      <c r="I157" s="104" t="s">
        <v>1176</v>
      </c>
      <c r="J157" s="104" t="s">
        <v>1176</v>
      </c>
      <c r="K157" s="104" t="s">
        <v>1176</v>
      </c>
      <c r="L157" s="104" t="s">
        <v>1285</v>
      </c>
      <c r="M157" s="104" t="s">
        <v>2478</v>
      </c>
      <c r="N157" s="104" t="s">
        <v>1180</v>
      </c>
      <c r="O157" s="104" t="s">
        <v>1176</v>
      </c>
      <c r="P157" s="104" t="s">
        <v>1176</v>
      </c>
      <c r="Q157" s="104" t="s">
        <v>1176</v>
      </c>
      <c r="R157" s="104" t="s">
        <v>1176</v>
      </c>
      <c r="S157" s="104" t="s">
        <v>1176</v>
      </c>
      <c r="T157" s="104" t="s">
        <v>1176</v>
      </c>
      <c r="U157" s="104" t="s">
        <v>1187</v>
      </c>
      <c r="V157" s="104" t="s">
        <v>2479</v>
      </c>
      <c r="W157" s="104" t="s">
        <v>1176</v>
      </c>
      <c r="X157" s="104" t="s">
        <v>2480</v>
      </c>
      <c r="Y157" s="104" t="s">
        <v>2444</v>
      </c>
      <c r="Z157" s="104" t="s">
        <v>2481</v>
      </c>
      <c r="AA157" s="104" t="s">
        <v>1176</v>
      </c>
      <c r="AB157" s="104" t="s">
        <v>1176</v>
      </c>
      <c r="AC157" s="104" t="s">
        <v>1172</v>
      </c>
      <c r="AD157" s="104" t="s">
        <v>1366</v>
      </c>
      <c r="AE157" s="104" t="s">
        <v>1176</v>
      </c>
      <c r="AF157" s="104" t="s">
        <v>1176</v>
      </c>
      <c r="AG157" s="104" t="s">
        <v>1176</v>
      </c>
      <c r="AH157" s="104" t="s">
        <v>1176</v>
      </c>
      <c r="AI157" s="104" t="s">
        <v>1591</v>
      </c>
      <c r="AJ157" s="104" t="s">
        <v>2482</v>
      </c>
      <c r="AK157" s="104" t="s">
        <v>2483</v>
      </c>
      <c r="AL157" s="104" t="s">
        <v>2484</v>
      </c>
      <c r="AM157" s="104" t="s">
        <v>1176</v>
      </c>
      <c r="AN157" s="104" t="s">
        <v>1172</v>
      </c>
      <c r="AO157" s="104" t="s">
        <v>1176</v>
      </c>
      <c r="AP157" s="104" t="s">
        <v>1176</v>
      </c>
      <c r="AQ157" s="104" t="s">
        <v>1176</v>
      </c>
      <c r="AR157" s="104" t="s">
        <v>1176</v>
      </c>
      <c r="AS157" s="104" t="s">
        <v>1176</v>
      </c>
      <c r="AT157" s="104" t="s">
        <v>1176</v>
      </c>
      <c r="AU157" s="104" t="s">
        <v>1176</v>
      </c>
      <c r="AV157" s="104" t="s">
        <v>1176</v>
      </c>
      <c r="AW157" s="104" t="s">
        <v>1176</v>
      </c>
      <c r="AX157" s="104" t="s">
        <v>1176</v>
      </c>
      <c r="AY157" s="104" t="s">
        <v>1176</v>
      </c>
      <c r="AZ157" s="104" t="s">
        <v>1176</v>
      </c>
      <c r="BA157" s="104" t="s">
        <v>1176</v>
      </c>
      <c r="BB157" s="104" t="s">
        <v>1176</v>
      </c>
      <c r="BC157" s="104" t="s">
        <v>1176</v>
      </c>
      <c r="BD157" s="104" t="s">
        <v>1176</v>
      </c>
      <c r="BE157" s="104" t="s">
        <v>1176</v>
      </c>
      <c r="BF157" s="104" t="s">
        <v>1176</v>
      </c>
      <c r="BG157" s="104" t="s">
        <v>1314</v>
      </c>
      <c r="BH157" s="104" t="s">
        <v>1314</v>
      </c>
      <c r="BI157" s="104" t="s">
        <v>1958</v>
      </c>
      <c r="BJ157" s="104" t="s">
        <v>1176</v>
      </c>
      <c r="BK157" s="104" t="s">
        <v>1176</v>
      </c>
      <c r="BL157" s="104" t="s">
        <v>1176</v>
      </c>
      <c r="BM157" s="104" t="s">
        <v>1176</v>
      </c>
      <c r="BN157" s="104" t="s">
        <v>1429</v>
      </c>
      <c r="BO157" s="104" t="s">
        <v>1556</v>
      </c>
      <c r="BP157" s="104" t="s">
        <v>1176</v>
      </c>
      <c r="BQ157" s="104" t="s">
        <v>1176</v>
      </c>
      <c r="BR157" s="104" t="s">
        <v>1176</v>
      </c>
      <c r="BS157" s="104" t="s">
        <v>1176</v>
      </c>
      <c r="BT157" s="104" t="s">
        <v>1201</v>
      </c>
      <c r="BU157" s="104" t="s">
        <v>2485</v>
      </c>
      <c r="BV157" s="104" t="s">
        <v>1176</v>
      </c>
      <c r="BW157" s="104" t="s">
        <v>1176</v>
      </c>
      <c r="BX157" s="104" t="s">
        <v>1172</v>
      </c>
      <c r="BY157" s="104" t="s">
        <v>1172</v>
      </c>
      <c r="BZ157" s="104" t="s">
        <v>1176</v>
      </c>
      <c r="CA157" s="104" t="s">
        <v>1176</v>
      </c>
      <c r="CB157" s="104" t="s">
        <v>1176</v>
      </c>
      <c r="CC157" s="104" t="s">
        <v>1176</v>
      </c>
      <c r="CD157" s="104" t="s">
        <v>1176</v>
      </c>
      <c r="CE157" s="104" t="s">
        <v>1176</v>
      </c>
      <c r="CF157" s="104" t="s">
        <v>1176</v>
      </c>
      <c r="CG157" s="104" t="s">
        <v>1176</v>
      </c>
      <c r="CH157" s="104" t="s">
        <v>1176</v>
      </c>
      <c r="CI157" s="104" t="s">
        <v>1176</v>
      </c>
      <c r="CJ157" s="104" t="s">
        <v>1176</v>
      </c>
      <c r="CK157" s="104" t="s">
        <v>1176</v>
      </c>
      <c r="CL157" s="104" t="s">
        <v>1176</v>
      </c>
      <c r="CM157" s="104" t="s">
        <v>1176</v>
      </c>
      <c r="CN157" s="104" t="s">
        <v>1176</v>
      </c>
      <c r="CO157" s="104" t="s">
        <v>1176</v>
      </c>
    </row>
    <row r="158" s="102" customFormat="1" ht="15" spans="1:93">
      <c r="A158" s="104" t="s">
        <v>1284</v>
      </c>
      <c r="B158" s="104" t="s">
        <v>1146</v>
      </c>
      <c r="C158" s="104" t="s">
        <v>1147</v>
      </c>
      <c r="D158" s="104" t="s">
        <v>2486</v>
      </c>
      <c r="E158" s="104" t="s">
        <v>2487</v>
      </c>
      <c r="F158" s="104">
        <f t="shared" si="2"/>
        <v>1125</v>
      </c>
      <c r="G158" s="104" t="s">
        <v>2186</v>
      </c>
      <c r="H158" s="104" t="s">
        <v>1176</v>
      </c>
      <c r="I158" s="104" t="s">
        <v>1176</v>
      </c>
      <c r="J158" s="104" t="s">
        <v>1176</v>
      </c>
      <c r="K158" s="104" t="s">
        <v>1176</v>
      </c>
      <c r="L158" s="104" t="s">
        <v>1290</v>
      </c>
      <c r="M158" s="104" t="s">
        <v>2488</v>
      </c>
      <c r="N158" s="104" t="s">
        <v>1176</v>
      </c>
      <c r="O158" s="104" t="s">
        <v>1176</v>
      </c>
      <c r="P158" s="104" t="s">
        <v>1176</v>
      </c>
      <c r="Q158" s="104" t="s">
        <v>1176</v>
      </c>
      <c r="R158" s="104" t="s">
        <v>1176</v>
      </c>
      <c r="S158" s="104" t="s">
        <v>1176</v>
      </c>
      <c r="T158" s="104" t="s">
        <v>1176</v>
      </c>
      <c r="U158" s="104" t="s">
        <v>1176</v>
      </c>
      <c r="V158" s="104" t="s">
        <v>2489</v>
      </c>
      <c r="W158" s="104" t="s">
        <v>1176</v>
      </c>
      <c r="X158" s="104" t="s">
        <v>1176</v>
      </c>
      <c r="Y158" s="104" t="s">
        <v>1176</v>
      </c>
      <c r="Z158" s="104" t="s">
        <v>1176</v>
      </c>
      <c r="AA158" s="104" t="s">
        <v>1176</v>
      </c>
      <c r="AB158" s="104" t="s">
        <v>1176</v>
      </c>
      <c r="AC158" s="104" t="s">
        <v>1176</v>
      </c>
      <c r="AD158" s="104" t="s">
        <v>1176</v>
      </c>
      <c r="AE158" s="104" t="s">
        <v>1176</v>
      </c>
      <c r="AF158" s="104" t="s">
        <v>1176</v>
      </c>
      <c r="AG158" s="104" t="s">
        <v>1176</v>
      </c>
      <c r="AH158" s="104" t="s">
        <v>1176</v>
      </c>
      <c r="AI158" s="104" t="s">
        <v>1176</v>
      </c>
      <c r="AJ158" s="104" t="s">
        <v>1176</v>
      </c>
      <c r="AK158" s="104" t="s">
        <v>1176</v>
      </c>
      <c r="AL158" s="104" t="s">
        <v>1176</v>
      </c>
      <c r="AM158" s="104" t="s">
        <v>1176</v>
      </c>
      <c r="AN158" s="104" t="s">
        <v>1176</v>
      </c>
      <c r="AO158" s="104" t="s">
        <v>1176</v>
      </c>
      <c r="AP158" s="104" t="s">
        <v>1176</v>
      </c>
      <c r="AQ158" s="104" t="s">
        <v>1176</v>
      </c>
      <c r="AR158" s="104" t="s">
        <v>1176</v>
      </c>
      <c r="AS158" s="104" t="s">
        <v>1176</v>
      </c>
      <c r="AT158" s="104" t="s">
        <v>1176</v>
      </c>
      <c r="AU158" s="104" t="s">
        <v>1176</v>
      </c>
      <c r="AV158" s="104" t="s">
        <v>1176</v>
      </c>
      <c r="AW158" s="104" t="s">
        <v>1176</v>
      </c>
      <c r="AX158" s="104" t="s">
        <v>1176</v>
      </c>
      <c r="AY158" s="104" t="s">
        <v>1176</v>
      </c>
      <c r="AZ158" s="104" t="s">
        <v>1176</v>
      </c>
      <c r="BA158" s="104" t="s">
        <v>1176</v>
      </c>
      <c r="BB158" s="104" t="s">
        <v>1176</v>
      </c>
      <c r="BC158" s="104" t="s">
        <v>1176</v>
      </c>
      <c r="BD158" s="104" t="s">
        <v>1176</v>
      </c>
      <c r="BE158" s="104" t="s">
        <v>1176</v>
      </c>
      <c r="BF158" s="104" t="s">
        <v>1176</v>
      </c>
      <c r="BG158" s="104" t="s">
        <v>1314</v>
      </c>
      <c r="BH158" s="104" t="s">
        <v>1314</v>
      </c>
      <c r="BI158" s="104" t="s">
        <v>1314</v>
      </c>
      <c r="BJ158" s="104" t="s">
        <v>1176</v>
      </c>
      <c r="BK158" s="104" t="s">
        <v>1176</v>
      </c>
      <c r="BL158" s="104" t="s">
        <v>1176</v>
      </c>
      <c r="BM158" s="104" t="s">
        <v>1176</v>
      </c>
      <c r="BN158" s="104" t="s">
        <v>1314</v>
      </c>
      <c r="BO158" s="104" t="s">
        <v>1314</v>
      </c>
      <c r="BP158" s="104" t="s">
        <v>1176</v>
      </c>
      <c r="BQ158" s="104" t="s">
        <v>1176</v>
      </c>
      <c r="BR158" s="104" t="s">
        <v>1176</v>
      </c>
      <c r="BS158" s="104" t="s">
        <v>1176</v>
      </c>
      <c r="BT158" s="104" t="s">
        <v>1176</v>
      </c>
      <c r="BU158" s="104" t="s">
        <v>1176</v>
      </c>
      <c r="BV158" s="104" t="s">
        <v>1176</v>
      </c>
      <c r="BW158" s="104" t="s">
        <v>1176</v>
      </c>
      <c r="BX158" s="104" t="s">
        <v>1176</v>
      </c>
      <c r="BY158" s="104" t="s">
        <v>1176</v>
      </c>
      <c r="BZ158" s="104" t="s">
        <v>1176</v>
      </c>
      <c r="CA158" s="104" t="s">
        <v>1176</v>
      </c>
      <c r="CB158" s="104" t="s">
        <v>1176</v>
      </c>
      <c r="CC158" s="104" t="s">
        <v>1176</v>
      </c>
      <c r="CD158" s="104" t="s">
        <v>1176</v>
      </c>
      <c r="CE158" s="104" t="s">
        <v>1176</v>
      </c>
      <c r="CF158" s="104" t="s">
        <v>1176</v>
      </c>
      <c r="CG158" s="104" t="s">
        <v>1176</v>
      </c>
      <c r="CH158" s="104" t="s">
        <v>1176</v>
      </c>
      <c r="CI158" s="104" t="s">
        <v>1176</v>
      </c>
      <c r="CJ158" s="104" t="s">
        <v>1176</v>
      </c>
      <c r="CK158" s="104" t="s">
        <v>1176</v>
      </c>
      <c r="CL158" s="104" t="s">
        <v>1176</v>
      </c>
      <c r="CM158" s="104" t="s">
        <v>1176</v>
      </c>
      <c r="CN158" s="104" t="s">
        <v>1176</v>
      </c>
      <c r="CO158" s="104" t="s">
        <v>1176</v>
      </c>
    </row>
    <row r="159" s="102" customFormat="1" ht="15" spans="1:93">
      <c r="A159" s="104" t="s">
        <v>2237</v>
      </c>
      <c r="B159" s="104" t="s">
        <v>1146</v>
      </c>
      <c r="C159" s="104" t="s">
        <v>1147</v>
      </c>
      <c r="D159" s="104" t="s">
        <v>2490</v>
      </c>
      <c r="E159" s="104" t="s">
        <v>2491</v>
      </c>
      <c r="F159" s="104">
        <f t="shared" si="2"/>
        <v>995</v>
      </c>
      <c r="G159" s="104" t="s">
        <v>2492</v>
      </c>
      <c r="H159" s="104" t="s">
        <v>1176</v>
      </c>
      <c r="I159" s="104" t="s">
        <v>1176</v>
      </c>
      <c r="J159" s="104" t="s">
        <v>1176</v>
      </c>
      <c r="K159" s="104" t="s">
        <v>1176</v>
      </c>
      <c r="L159" s="104" t="s">
        <v>1326</v>
      </c>
      <c r="M159" s="104" t="s">
        <v>2493</v>
      </c>
      <c r="N159" s="104" t="s">
        <v>1180</v>
      </c>
      <c r="O159" s="104" t="s">
        <v>1176</v>
      </c>
      <c r="P159" s="104" t="s">
        <v>1176</v>
      </c>
      <c r="Q159" s="104" t="s">
        <v>1176</v>
      </c>
      <c r="R159" s="104" t="s">
        <v>1176</v>
      </c>
      <c r="S159" s="104" t="s">
        <v>1176</v>
      </c>
      <c r="T159" s="104" t="s">
        <v>1176</v>
      </c>
      <c r="U159" s="104" t="s">
        <v>1176</v>
      </c>
      <c r="V159" s="104" t="s">
        <v>2494</v>
      </c>
      <c r="W159" s="104" t="s">
        <v>1176</v>
      </c>
      <c r="X159" s="104" t="s">
        <v>1176</v>
      </c>
      <c r="Y159" s="104" t="s">
        <v>1176</v>
      </c>
      <c r="Z159" s="104" t="s">
        <v>1176</v>
      </c>
      <c r="AA159" s="104" t="s">
        <v>1176</v>
      </c>
      <c r="AB159" s="104" t="s">
        <v>1176</v>
      </c>
      <c r="AC159" s="104" t="s">
        <v>1176</v>
      </c>
      <c r="AD159" s="104" t="s">
        <v>1176</v>
      </c>
      <c r="AE159" s="104" t="s">
        <v>1176</v>
      </c>
      <c r="AF159" s="104" t="s">
        <v>1176</v>
      </c>
      <c r="AG159" s="104" t="s">
        <v>1176</v>
      </c>
      <c r="AH159" s="104" t="s">
        <v>1176</v>
      </c>
      <c r="AI159" s="104" t="s">
        <v>1176</v>
      </c>
      <c r="AJ159" s="104" t="s">
        <v>1176</v>
      </c>
      <c r="AK159" s="104" t="s">
        <v>1176</v>
      </c>
      <c r="AL159" s="104" t="s">
        <v>1176</v>
      </c>
      <c r="AM159" s="104" t="s">
        <v>1176</v>
      </c>
      <c r="AN159" s="104" t="s">
        <v>1176</v>
      </c>
      <c r="AO159" s="104" t="s">
        <v>1176</v>
      </c>
      <c r="AP159" s="104" t="s">
        <v>1176</v>
      </c>
      <c r="AQ159" s="104" t="s">
        <v>1176</v>
      </c>
      <c r="AR159" s="104" t="s">
        <v>1176</v>
      </c>
      <c r="AS159" s="104" t="s">
        <v>1176</v>
      </c>
      <c r="AT159" s="104" t="s">
        <v>1176</v>
      </c>
      <c r="AU159" s="104" t="s">
        <v>1176</v>
      </c>
      <c r="AV159" s="104" t="s">
        <v>1176</v>
      </c>
      <c r="AW159" s="104" t="s">
        <v>1176</v>
      </c>
      <c r="AX159" s="104" t="s">
        <v>1176</v>
      </c>
      <c r="AY159" s="104" t="s">
        <v>1176</v>
      </c>
      <c r="AZ159" s="104" t="s">
        <v>1176</v>
      </c>
      <c r="BA159" s="104" t="s">
        <v>1176</v>
      </c>
      <c r="BB159" s="104" t="s">
        <v>1176</v>
      </c>
      <c r="BC159" s="104" t="s">
        <v>1176</v>
      </c>
      <c r="BD159" s="104" t="s">
        <v>1176</v>
      </c>
      <c r="BE159" s="104" t="s">
        <v>1176</v>
      </c>
      <c r="BF159" s="104" t="s">
        <v>1176</v>
      </c>
      <c r="BG159" s="104" t="s">
        <v>1472</v>
      </c>
      <c r="BH159" s="104" t="s">
        <v>1472</v>
      </c>
      <c r="BI159" s="104" t="s">
        <v>1412</v>
      </c>
      <c r="BJ159" s="104" t="s">
        <v>1176</v>
      </c>
      <c r="BK159" s="104" t="s">
        <v>1176</v>
      </c>
      <c r="BL159" s="104" t="s">
        <v>1176</v>
      </c>
      <c r="BM159" s="104" t="s">
        <v>1176</v>
      </c>
      <c r="BN159" s="104" t="s">
        <v>1472</v>
      </c>
      <c r="BO159" s="104" t="s">
        <v>1412</v>
      </c>
      <c r="BP159" s="104" t="s">
        <v>1176</v>
      </c>
      <c r="BQ159" s="104" t="s">
        <v>1176</v>
      </c>
      <c r="BR159" s="104" t="s">
        <v>1176</v>
      </c>
      <c r="BS159" s="104" t="s">
        <v>1176</v>
      </c>
      <c r="BT159" s="104" t="s">
        <v>1176</v>
      </c>
      <c r="BU159" s="104" t="s">
        <v>1176</v>
      </c>
      <c r="BV159" s="104" t="s">
        <v>1176</v>
      </c>
      <c r="BW159" s="104" t="s">
        <v>1176</v>
      </c>
      <c r="BX159" s="104" t="s">
        <v>1176</v>
      </c>
      <c r="BY159" s="104" t="s">
        <v>1176</v>
      </c>
      <c r="BZ159" s="104" t="s">
        <v>1176</v>
      </c>
      <c r="CA159" s="104" t="s">
        <v>1176</v>
      </c>
      <c r="CB159" s="104" t="s">
        <v>1176</v>
      </c>
      <c r="CC159" s="104" t="s">
        <v>1176</v>
      </c>
      <c r="CD159" s="104" t="s">
        <v>1176</v>
      </c>
      <c r="CE159" s="104" t="s">
        <v>1176</v>
      </c>
      <c r="CF159" s="104" t="s">
        <v>1176</v>
      </c>
      <c r="CG159" s="104" t="s">
        <v>1176</v>
      </c>
      <c r="CH159" s="104" t="s">
        <v>1176</v>
      </c>
      <c r="CI159" s="104" t="s">
        <v>1176</v>
      </c>
      <c r="CJ159" s="104" t="s">
        <v>1176</v>
      </c>
      <c r="CK159" s="104" t="s">
        <v>1176</v>
      </c>
      <c r="CL159" s="104" t="s">
        <v>1176</v>
      </c>
      <c r="CM159" s="104" t="s">
        <v>1176</v>
      </c>
      <c r="CN159" s="104" t="s">
        <v>1176</v>
      </c>
      <c r="CO159" s="104" t="s">
        <v>1176</v>
      </c>
    </row>
    <row r="160" s="102" customFormat="1" ht="15" spans="1:93">
      <c r="A160" s="104" t="s">
        <v>1587</v>
      </c>
      <c r="B160" s="104" t="s">
        <v>1146</v>
      </c>
      <c r="C160" s="104" t="s">
        <v>1147</v>
      </c>
      <c r="D160" s="104" t="s">
        <v>2495</v>
      </c>
      <c r="E160" s="104" t="s">
        <v>2496</v>
      </c>
      <c r="F160" s="104">
        <f t="shared" si="2"/>
        <v>1654</v>
      </c>
      <c r="G160" s="104" t="s">
        <v>2497</v>
      </c>
      <c r="H160" s="104" t="s">
        <v>1176</v>
      </c>
      <c r="I160" s="104" t="s">
        <v>1176</v>
      </c>
      <c r="J160" s="104" t="s">
        <v>1176</v>
      </c>
      <c r="K160" s="104" t="s">
        <v>1176</v>
      </c>
      <c r="L160" s="104" t="s">
        <v>1207</v>
      </c>
      <c r="M160" s="104" t="s">
        <v>2498</v>
      </c>
      <c r="N160" s="104" t="s">
        <v>1187</v>
      </c>
      <c r="O160" s="104" t="s">
        <v>1176</v>
      </c>
      <c r="P160" s="104" t="s">
        <v>1176</v>
      </c>
      <c r="Q160" s="104" t="s">
        <v>1176</v>
      </c>
      <c r="R160" s="104" t="s">
        <v>1176</v>
      </c>
      <c r="S160" s="104" t="s">
        <v>1176</v>
      </c>
      <c r="T160" s="104" t="s">
        <v>1176</v>
      </c>
      <c r="U160" s="104" t="s">
        <v>1187</v>
      </c>
      <c r="V160" s="104" t="s">
        <v>2224</v>
      </c>
      <c r="W160" s="104" t="s">
        <v>1176</v>
      </c>
      <c r="X160" s="104" t="s">
        <v>2499</v>
      </c>
      <c r="Y160" s="104" t="s">
        <v>1325</v>
      </c>
      <c r="Z160" s="104" t="s">
        <v>2500</v>
      </c>
      <c r="AA160" s="104" t="s">
        <v>1176</v>
      </c>
      <c r="AB160" s="104" t="s">
        <v>1176</v>
      </c>
      <c r="AC160" s="104" t="s">
        <v>1176</v>
      </c>
      <c r="AD160" s="104" t="s">
        <v>1176</v>
      </c>
      <c r="AE160" s="104" t="s">
        <v>1176</v>
      </c>
      <c r="AF160" s="104" t="s">
        <v>1176</v>
      </c>
      <c r="AG160" s="104" t="s">
        <v>1176</v>
      </c>
      <c r="AH160" s="104" t="s">
        <v>1176</v>
      </c>
      <c r="AI160" s="104" t="s">
        <v>1176</v>
      </c>
      <c r="AJ160" s="104" t="s">
        <v>1176</v>
      </c>
      <c r="AK160" s="104" t="s">
        <v>1325</v>
      </c>
      <c r="AL160" s="104" t="s">
        <v>2501</v>
      </c>
      <c r="AM160" s="104" t="s">
        <v>1176</v>
      </c>
      <c r="AN160" s="104" t="s">
        <v>1172</v>
      </c>
      <c r="AO160" s="104" t="s">
        <v>1176</v>
      </c>
      <c r="AP160" s="104" t="s">
        <v>1176</v>
      </c>
      <c r="AQ160" s="104" t="s">
        <v>1176</v>
      </c>
      <c r="AR160" s="104" t="s">
        <v>1176</v>
      </c>
      <c r="AS160" s="104" t="s">
        <v>1176</v>
      </c>
      <c r="AT160" s="104" t="s">
        <v>1176</v>
      </c>
      <c r="AU160" s="104" t="s">
        <v>1176</v>
      </c>
      <c r="AV160" s="104" t="s">
        <v>1176</v>
      </c>
      <c r="AW160" s="104" t="s">
        <v>1176</v>
      </c>
      <c r="AX160" s="104" t="s">
        <v>1176</v>
      </c>
      <c r="AY160" s="104" t="s">
        <v>1176</v>
      </c>
      <c r="AZ160" s="104" t="s">
        <v>1176</v>
      </c>
      <c r="BA160" s="104" t="s">
        <v>1176</v>
      </c>
      <c r="BB160" s="104" t="s">
        <v>1176</v>
      </c>
      <c r="BC160" s="104" t="s">
        <v>1176</v>
      </c>
      <c r="BD160" s="104" t="s">
        <v>1176</v>
      </c>
      <c r="BE160" s="104" t="s">
        <v>1176</v>
      </c>
      <c r="BF160" s="104" t="s">
        <v>1176</v>
      </c>
      <c r="BG160" s="104" t="s">
        <v>1521</v>
      </c>
      <c r="BH160" s="104" t="s">
        <v>1521</v>
      </c>
      <c r="BI160" s="104" t="s">
        <v>2502</v>
      </c>
      <c r="BJ160" s="104" t="s">
        <v>1212</v>
      </c>
      <c r="BK160" s="104" t="s">
        <v>1176</v>
      </c>
      <c r="BL160" s="104" t="s">
        <v>1176</v>
      </c>
      <c r="BM160" s="104" t="s">
        <v>1176</v>
      </c>
      <c r="BN160" s="104" t="s">
        <v>1356</v>
      </c>
      <c r="BO160" s="104" t="s">
        <v>1456</v>
      </c>
      <c r="BP160" s="104" t="s">
        <v>1176</v>
      </c>
      <c r="BQ160" s="104" t="s">
        <v>1176</v>
      </c>
      <c r="BR160" s="104" t="s">
        <v>1176</v>
      </c>
      <c r="BS160" s="104" t="s">
        <v>1176</v>
      </c>
      <c r="BT160" s="104" t="s">
        <v>1323</v>
      </c>
      <c r="BU160" s="104" t="s">
        <v>2503</v>
      </c>
      <c r="BV160" s="104" t="s">
        <v>1176</v>
      </c>
      <c r="BW160" s="104" t="s">
        <v>1176</v>
      </c>
      <c r="BX160" s="104" t="s">
        <v>1232</v>
      </c>
      <c r="BY160" s="104" t="s">
        <v>1325</v>
      </c>
      <c r="BZ160" s="104" t="s">
        <v>1176</v>
      </c>
      <c r="CA160" s="104" t="s">
        <v>1176</v>
      </c>
      <c r="CB160" s="104" t="s">
        <v>1176</v>
      </c>
      <c r="CC160" s="104" t="s">
        <v>1176</v>
      </c>
      <c r="CD160" s="104" t="s">
        <v>1176</v>
      </c>
      <c r="CE160" s="104" t="s">
        <v>1176</v>
      </c>
      <c r="CF160" s="104" t="s">
        <v>1176</v>
      </c>
      <c r="CG160" s="104" t="s">
        <v>1176</v>
      </c>
      <c r="CH160" s="104" t="s">
        <v>1176</v>
      </c>
      <c r="CI160" s="104" t="s">
        <v>1176</v>
      </c>
      <c r="CJ160" s="104" t="s">
        <v>1176</v>
      </c>
      <c r="CK160" s="104" t="s">
        <v>1176</v>
      </c>
      <c r="CL160" s="104" t="s">
        <v>1176</v>
      </c>
      <c r="CM160" s="104" t="s">
        <v>1176</v>
      </c>
      <c r="CN160" s="104" t="s">
        <v>1176</v>
      </c>
      <c r="CO160" s="104" t="s">
        <v>1176</v>
      </c>
    </row>
    <row r="161" s="102" customFormat="1" ht="15" spans="1:93">
      <c r="A161" s="104" t="s">
        <v>2504</v>
      </c>
      <c r="B161" s="104" t="s">
        <v>1146</v>
      </c>
      <c r="C161" s="104" t="s">
        <v>1147</v>
      </c>
      <c r="D161" s="104" t="s">
        <v>2505</v>
      </c>
      <c r="E161" s="104" t="s">
        <v>2506</v>
      </c>
      <c r="F161" s="104">
        <f t="shared" si="2"/>
        <v>2822</v>
      </c>
      <c r="G161" s="104" t="s">
        <v>2507</v>
      </c>
      <c r="H161" s="104" t="s">
        <v>1176</v>
      </c>
      <c r="I161" s="104" t="s">
        <v>1176</v>
      </c>
      <c r="J161" s="104" t="s">
        <v>1176</v>
      </c>
      <c r="K161" s="104" t="s">
        <v>1176</v>
      </c>
      <c r="L161" s="104" t="s">
        <v>2508</v>
      </c>
      <c r="M161" s="104" t="s">
        <v>2509</v>
      </c>
      <c r="N161" s="104" t="s">
        <v>1179</v>
      </c>
      <c r="O161" s="104" t="s">
        <v>1176</v>
      </c>
      <c r="P161" s="104" t="s">
        <v>1176</v>
      </c>
      <c r="Q161" s="104" t="s">
        <v>1176</v>
      </c>
      <c r="R161" s="104" t="s">
        <v>1176</v>
      </c>
      <c r="S161" s="104" t="s">
        <v>1176</v>
      </c>
      <c r="T161" s="104" t="s">
        <v>1176</v>
      </c>
      <c r="U161" s="104" t="s">
        <v>1179</v>
      </c>
      <c r="V161" s="104" t="s">
        <v>1342</v>
      </c>
      <c r="W161" s="104" t="s">
        <v>1176</v>
      </c>
      <c r="X161" s="104" t="s">
        <v>2510</v>
      </c>
      <c r="Y161" s="104" t="s">
        <v>2511</v>
      </c>
      <c r="Z161" s="104" t="s">
        <v>2512</v>
      </c>
      <c r="AA161" s="104" t="s">
        <v>1176</v>
      </c>
      <c r="AB161" s="104" t="s">
        <v>1176</v>
      </c>
      <c r="AC161" s="104" t="s">
        <v>1176</v>
      </c>
      <c r="AD161" s="104" t="s">
        <v>1176</v>
      </c>
      <c r="AE161" s="104" t="s">
        <v>1176</v>
      </c>
      <c r="AF161" s="104" t="s">
        <v>1176</v>
      </c>
      <c r="AG161" s="104" t="s">
        <v>1176</v>
      </c>
      <c r="AH161" s="104" t="s">
        <v>1176</v>
      </c>
      <c r="AI161" s="104" t="s">
        <v>1187</v>
      </c>
      <c r="AJ161" s="104" t="s">
        <v>1730</v>
      </c>
      <c r="AK161" s="104" t="s">
        <v>1425</v>
      </c>
      <c r="AL161" s="104" t="s">
        <v>2513</v>
      </c>
      <c r="AM161" s="104" t="s">
        <v>1176</v>
      </c>
      <c r="AN161" s="104" t="s">
        <v>1212</v>
      </c>
      <c r="AO161" s="104" t="s">
        <v>1176</v>
      </c>
      <c r="AP161" s="104" t="s">
        <v>1176</v>
      </c>
      <c r="AQ161" s="104" t="s">
        <v>1176</v>
      </c>
      <c r="AR161" s="104" t="s">
        <v>1176</v>
      </c>
      <c r="AS161" s="104" t="s">
        <v>1176</v>
      </c>
      <c r="AT161" s="104" t="s">
        <v>1176</v>
      </c>
      <c r="AU161" s="104" t="s">
        <v>1176</v>
      </c>
      <c r="AV161" s="104" t="s">
        <v>1176</v>
      </c>
      <c r="AW161" s="104" t="s">
        <v>1176</v>
      </c>
      <c r="AX161" s="104" t="s">
        <v>1176</v>
      </c>
      <c r="AY161" s="104" t="s">
        <v>1176</v>
      </c>
      <c r="AZ161" s="104" t="s">
        <v>1176</v>
      </c>
      <c r="BA161" s="104" t="s">
        <v>1176</v>
      </c>
      <c r="BB161" s="104" t="s">
        <v>1176</v>
      </c>
      <c r="BC161" s="104" t="s">
        <v>1176</v>
      </c>
      <c r="BD161" s="104" t="s">
        <v>1176</v>
      </c>
      <c r="BE161" s="104" t="s">
        <v>1176</v>
      </c>
      <c r="BF161" s="104" t="s">
        <v>1176</v>
      </c>
      <c r="BG161" s="104" t="s">
        <v>1325</v>
      </c>
      <c r="BH161" s="104" t="s">
        <v>1325</v>
      </c>
      <c r="BI161" s="104" t="s">
        <v>2514</v>
      </c>
      <c r="BJ161" s="104" t="s">
        <v>1212</v>
      </c>
      <c r="BK161" s="104" t="s">
        <v>1176</v>
      </c>
      <c r="BL161" s="104" t="s">
        <v>1176</v>
      </c>
      <c r="BM161" s="104" t="s">
        <v>1176</v>
      </c>
      <c r="BN161" s="104" t="s">
        <v>1176</v>
      </c>
      <c r="BO161" s="104" t="s">
        <v>1176</v>
      </c>
      <c r="BP161" s="104" t="s">
        <v>1176</v>
      </c>
      <c r="BQ161" s="104" t="s">
        <v>1176</v>
      </c>
      <c r="BR161" s="104" t="s">
        <v>1176</v>
      </c>
      <c r="BS161" s="104" t="s">
        <v>1176</v>
      </c>
      <c r="BT161" s="104" t="s">
        <v>1299</v>
      </c>
      <c r="BU161" s="104" t="s">
        <v>1904</v>
      </c>
      <c r="BV161" s="104" t="s">
        <v>1176</v>
      </c>
      <c r="BW161" s="104" t="s">
        <v>1176</v>
      </c>
      <c r="BX161" s="104" t="s">
        <v>1187</v>
      </c>
      <c r="BY161" s="104" t="s">
        <v>1180</v>
      </c>
      <c r="BZ161" s="104" t="s">
        <v>1176</v>
      </c>
      <c r="CA161" s="104" t="s">
        <v>1176</v>
      </c>
      <c r="CB161" s="104" t="s">
        <v>1176</v>
      </c>
      <c r="CC161" s="104" t="s">
        <v>1176</v>
      </c>
      <c r="CD161" s="104" t="s">
        <v>1176</v>
      </c>
      <c r="CE161" s="104" t="s">
        <v>1176</v>
      </c>
      <c r="CF161" s="104" t="s">
        <v>1176</v>
      </c>
      <c r="CG161" s="104" t="s">
        <v>1176</v>
      </c>
      <c r="CH161" s="104" t="s">
        <v>1176</v>
      </c>
      <c r="CI161" s="104" t="s">
        <v>1176</v>
      </c>
      <c r="CJ161" s="104" t="s">
        <v>1176</v>
      </c>
      <c r="CK161" s="104" t="s">
        <v>1176</v>
      </c>
      <c r="CL161" s="104" t="s">
        <v>1176</v>
      </c>
      <c r="CM161" s="104" t="s">
        <v>1176</v>
      </c>
      <c r="CN161" s="104" t="s">
        <v>1176</v>
      </c>
      <c r="CO161" s="104" t="s">
        <v>1176</v>
      </c>
    </row>
    <row r="162" s="102" customFormat="1" ht="15" spans="1:93">
      <c r="A162" s="104" t="s">
        <v>2515</v>
      </c>
      <c r="B162" s="104" t="s">
        <v>1146</v>
      </c>
      <c r="C162" s="104" t="s">
        <v>1147</v>
      </c>
      <c r="D162" s="104" t="s">
        <v>2516</v>
      </c>
      <c r="E162" s="104" t="s">
        <v>2517</v>
      </c>
      <c r="F162" s="104">
        <f t="shared" si="2"/>
        <v>891</v>
      </c>
      <c r="G162" s="104" t="s">
        <v>1787</v>
      </c>
      <c r="H162" s="104" t="s">
        <v>1176</v>
      </c>
      <c r="I162" s="104" t="s">
        <v>1176</v>
      </c>
      <c r="J162" s="104" t="s">
        <v>1176</v>
      </c>
      <c r="K162" s="104" t="s">
        <v>1176</v>
      </c>
      <c r="L162" s="104" t="s">
        <v>1455</v>
      </c>
      <c r="M162" s="104" t="s">
        <v>2454</v>
      </c>
      <c r="N162" s="104" t="s">
        <v>1172</v>
      </c>
      <c r="O162" s="104" t="s">
        <v>1176</v>
      </c>
      <c r="P162" s="104" t="s">
        <v>1176</v>
      </c>
      <c r="Q162" s="104" t="s">
        <v>1176</v>
      </c>
      <c r="R162" s="104" t="s">
        <v>1176</v>
      </c>
      <c r="S162" s="104" t="s">
        <v>1176</v>
      </c>
      <c r="T162" s="104" t="s">
        <v>1176</v>
      </c>
      <c r="U162" s="104" t="s">
        <v>1176</v>
      </c>
      <c r="V162" s="104" t="s">
        <v>1367</v>
      </c>
      <c r="W162" s="104" t="s">
        <v>1176</v>
      </c>
      <c r="X162" s="104" t="s">
        <v>2518</v>
      </c>
      <c r="Y162" s="104" t="s">
        <v>1899</v>
      </c>
      <c r="Z162" s="104" t="s">
        <v>2519</v>
      </c>
      <c r="AA162" s="104" t="s">
        <v>1176</v>
      </c>
      <c r="AB162" s="104" t="s">
        <v>1176</v>
      </c>
      <c r="AC162" s="104" t="s">
        <v>1223</v>
      </c>
      <c r="AD162" s="104" t="s">
        <v>2520</v>
      </c>
      <c r="AE162" s="104" t="s">
        <v>1176</v>
      </c>
      <c r="AF162" s="104" t="s">
        <v>1176</v>
      </c>
      <c r="AG162" s="104" t="s">
        <v>1176</v>
      </c>
      <c r="AH162" s="104" t="s">
        <v>1176</v>
      </c>
      <c r="AI162" s="104" t="s">
        <v>1455</v>
      </c>
      <c r="AJ162" s="104" t="s">
        <v>2489</v>
      </c>
      <c r="AK162" s="104" t="s">
        <v>1184</v>
      </c>
      <c r="AL162" s="104" t="s">
        <v>2521</v>
      </c>
      <c r="AM162" s="104" t="s">
        <v>1176</v>
      </c>
      <c r="AN162" s="104" t="s">
        <v>1172</v>
      </c>
      <c r="AO162" s="104" t="s">
        <v>1176</v>
      </c>
      <c r="AP162" s="104" t="s">
        <v>1176</v>
      </c>
      <c r="AQ162" s="104" t="s">
        <v>1176</v>
      </c>
      <c r="AR162" s="104" t="s">
        <v>1176</v>
      </c>
      <c r="AS162" s="104" t="s">
        <v>1176</v>
      </c>
      <c r="AT162" s="104" t="s">
        <v>1176</v>
      </c>
      <c r="AU162" s="104" t="s">
        <v>1176</v>
      </c>
      <c r="AV162" s="104" t="s">
        <v>1176</v>
      </c>
      <c r="AW162" s="104" t="s">
        <v>1176</v>
      </c>
      <c r="AX162" s="104" t="s">
        <v>1176</v>
      </c>
      <c r="AY162" s="104" t="s">
        <v>1176</v>
      </c>
      <c r="AZ162" s="104" t="s">
        <v>1176</v>
      </c>
      <c r="BA162" s="104" t="s">
        <v>1176</v>
      </c>
      <c r="BB162" s="104" t="s">
        <v>1176</v>
      </c>
      <c r="BC162" s="104" t="s">
        <v>1176</v>
      </c>
      <c r="BD162" s="104" t="s">
        <v>1176</v>
      </c>
      <c r="BE162" s="104" t="s">
        <v>1176</v>
      </c>
      <c r="BF162" s="104" t="s">
        <v>1176</v>
      </c>
      <c r="BG162" s="104" t="s">
        <v>2346</v>
      </c>
      <c r="BH162" s="104" t="s">
        <v>2346</v>
      </c>
      <c r="BI162" s="104" t="s">
        <v>2346</v>
      </c>
      <c r="BJ162" s="104" t="s">
        <v>1176</v>
      </c>
      <c r="BK162" s="104" t="s">
        <v>1176</v>
      </c>
      <c r="BL162" s="104" t="s">
        <v>1176</v>
      </c>
      <c r="BM162" s="104" t="s">
        <v>1176</v>
      </c>
      <c r="BN162" s="104" t="s">
        <v>2346</v>
      </c>
      <c r="BO162" s="104" t="s">
        <v>2346</v>
      </c>
      <c r="BP162" s="104" t="s">
        <v>1176</v>
      </c>
      <c r="BQ162" s="104" t="s">
        <v>1176</v>
      </c>
      <c r="BR162" s="104" t="s">
        <v>1176</v>
      </c>
      <c r="BS162" s="104" t="s">
        <v>1176</v>
      </c>
      <c r="BT162" s="104" t="s">
        <v>1176</v>
      </c>
      <c r="BU162" s="104" t="s">
        <v>1176</v>
      </c>
      <c r="BV162" s="104" t="s">
        <v>1176</v>
      </c>
      <c r="BW162" s="104" t="s">
        <v>1176</v>
      </c>
      <c r="BX162" s="104" t="s">
        <v>1176</v>
      </c>
      <c r="BY162" s="104" t="s">
        <v>1176</v>
      </c>
      <c r="BZ162" s="104" t="s">
        <v>1176</v>
      </c>
      <c r="CA162" s="104" t="s">
        <v>1176</v>
      </c>
      <c r="CB162" s="104" t="s">
        <v>1176</v>
      </c>
      <c r="CC162" s="104" t="s">
        <v>1176</v>
      </c>
      <c r="CD162" s="104" t="s">
        <v>1176</v>
      </c>
      <c r="CE162" s="104" t="s">
        <v>1176</v>
      </c>
      <c r="CF162" s="104" t="s">
        <v>1176</v>
      </c>
      <c r="CG162" s="104" t="s">
        <v>1176</v>
      </c>
      <c r="CH162" s="104" t="s">
        <v>1176</v>
      </c>
      <c r="CI162" s="104" t="s">
        <v>1176</v>
      </c>
      <c r="CJ162" s="104" t="s">
        <v>1176</v>
      </c>
      <c r="CK162" s="104" t="s">
        <v>1176</v>
      </c>
      <c r="CL162" s="104" t="s">
        <v>1176</v>
      </c>
      <c r="CM162" s="104" t="s">
        <v>1176</v>
      </c>
      <c r="CN162" s="104" t="s">
        <v>1176</v>
      </c>
      <c r="CO162" s="104" t="s">
        <v>1176</v>
      </c>
    </row>
    <row r="163" s="102" customFormat="1" ht="15" spans="1:93">
      <c r="A163" s="104" t="s">
        <v>1492</v>
      </c>
      <c r="B163" s="104" t="s">
        <v>1146</v>
      </c>
      <c r="C163" s="104" t="s">
        <v>1147</v>
      </c>
      <c r="D163" s="104" t="s">
        <v>2522</v>
      </c>
      <c r="E163" s="104" t="s">
        <v>2523</v>
      </c>
      <c r="F163" s="104">
        <f t="shared" si="2"/>
        <v>1744</v>
      </c>
      <c r="G163" s="104" t="s">
        <v>2524</v>
      </c>
      <c r="H163" s="104" t="s">
        <v>1176</v>
      </c>
      <c r="I163" s="104" t="s">
        <v>1176</v>
      </c>
      <c r="J163" s="104" t="s">
        <v>1176</v>
      </c>
      <c r="K163" s="104" t="s">
        <v>1176</v>
      </c>
      <c r="L163" s="104" t="s">
        <v>1364</v>
      </c>
      <c r="M163" s="104" t="s">
        <v>2525</v>
      </c>
      <c r="N163" s="104" t="s">
        <v>1179</v>
      </c>
      <c r="O163" s="104" t="s">
        <v>1176</v>
      </c>
      <c r="P163" s="104" t="s">
        <v>1176</v>
      </c>
      <c r="Q163" s="104" t="s">
        <v>1176</v>
      </c>
      <c r="R163" s="104" t="s">
        <v>1176</v>
      </c>
      <c r="S163" s="104" t="s">
        <v>1176</v>
      </c>
      <c r="T163" s="104" t="s">
        <v>1176</v>
      </c>
      <c r="U163" s="104" t="s">
        <v>1172</v>
      </c>
      <c r="V163" s="104" t="s">
        <v>1799</v>
      </c>
      <c r="W163" s="104" t="s">
        <v>1176</v>
      </c>
      <c r="X163" s="104" t="s">
        <v>1176</v>
      </c>
      <c r="Y163" s="104" t="s">
        <v>1176</v>
      </c>
      <c r="Z163" s="104" t="s">
        <v>1176</v>
      </c>
      <c r="AA163" s="104" t="s">
        <v>1176</v>
      </c>
      <c r="AB163" s="104" t="s">
        <v>1176</v>
      </c>
      <c r="AC163" s="104" t="s">
        <v>1176</v>
      </c>
      <c r="AD163" s="104" t="s">
        <v>1176</v>
      </c>
      <c r="AE163" s="104" t="s">
        <v>1176</v>
      </c>
      <c r="AF163" s="104" t="s">
        <v>1176</v>
      </c>
      <c r="AG163" s="104" t="s">
        <v>1176</v>
      </c>
      <c r="AH163" s="104" t="s">
        <v>1176</v>
      </c>
      <c r="AI163" s="104" t="s">
        <v>1176</v>
      </c>
      <c r="AJ163" s="104" t="s">
        <v>1176</v>
      </c>
      <c r="AK163" s="104" t="s">
        <v>1176</v>
      </c>
      <c r="AL163" s="104" t="s">
        <v>1176</v>
      </c>
      <c r="AM163" s="104" t="s">
        <v>1176</v>
      </c>
      <c r="AN163" s="104" t="s">
        <v>1176</v>
      </c>
      <c r="AO163" s="104" t="s">
        <v>1176</v>
      </c>
      <c r="AP163" s="104" t="s">
        <v>1176</v>
      </c>
      <c r="AQ163" s="104" t="s">
        <v>1176</v>
      </c>
      <c r="AR163" s="104" t="s">
        <v>1176</v>
      </c>
      <c r="AS163" s="104" t="s">
        <v>1176</v>
      </c>
      <c r="AT163" s="104" t="s">
        <v>1176</v>
      </c>
      <c r="AU163" s="104" t="s">
        <v>1176</v>
      </c>
      <c r="AV163" s="104" t="s">
        <v>1176</v>
      </c>
      <c r="AW163" s="104" t="s">
        <v>1176</v>
      </c>
      <c r="AX163" s="104" t="s">
        <v>1176</v>
      </c>
      <c r="AY163" s="104" t="s">
        <v>1176</v>
      </c>
      <c r="AZ163" s="104" t="s">
        <v>1176</v>
      </c>
      <c r="BA163" s="104" t="s">
        <v>1176</v>
      </c>
      <c r="BB163" s="104" t="s">
        <v>1176</v>
      </c>
      <c r="BC163" s="104" t="s">
        <v>1176</v>
      </c>
      <c r="BD163" s="104" t="s">
        <v>1176</v>
      </c>
      <c r="BE163" s="104" t="s">
        <v>1176</v>
      </c>
      <c r="BF163" s="104" t="s">
        <v>1176</v>
      </c>
      <c r="BG163" s="104" t="s">
        <v>1179</v>
      </c>
      <c r="BH163" s="104" t="s">
        <v>1179</v>
      </c>
      <c r="BI163" s="104" t="s">
        <v>1598</v>
      </c>
      <c r="BJ163" s="104" t="s">
        <v>1176</v>
      </c>
      <c r="BK163" s="104" t="s">
        <v>1176</v>
      </c>
      <c r="BL163" s="104" t="s">
        <v>1176</v>
      </c>
      <c r="BM163" s="104" t="s">
        <v>1176</v>
      </c>
      <c r="BN163" s="104" t="s">
        <v>1187</v>
      </c>
      <c r="BO163" s="104" t="s">
        <v>1187</v>
      </c>
      <c r="BP163" s="104" t="s">
        <v>1176</v>
      </c>
      <c r="BQ163" s="104" t="s">
        <v>1176</v>
      </c>
      <c r="BR163" s="104" t="s">
        <v>1176</v>
      </c>
      <c r="BS163" s="104" t="s">
        <v>1176</v>
      </c>
      <c r="BT163" s="104" t="s">
        <v>1180</v>
      </c>
      <c r="BU163" s="104" t="s">
        <v>1702</v>
      </c>
      <c r="BV163" s="104" t="s">
        <v>1176</v>
      </c>
      <c r="BW163" s="104" t="s">
        <v>1176</v>
      </c>
      <c r="BX163" s="104" t="s">
        <v>1176</v>
      </c>
      <c r="BY163" s="104" t="s">
        <v>1176</v>
      </c>
      <c r="BZ163" s="104" t="s">
        <v>1176</v>
      </c>
      <c r="CA163" s="104" t="s">
        <v>1176</v>
      </c>
      <c r="CB163" s="104" t="s">
        <v>1176</v>
      </c>
      <c r="CC163" s="104" t="s">
        <v>1176</v>
      </c>
      <c r="CD163" s="104" t="s">
        <v>1176</v>
      </c>
      <c r="CE163" s="104" t="s">
        <v>1176</v>
      </c>
      <c r="CF163" s="104" t="s">
        <v>1176</v>
      </c>
      <c r="CG163" s="104" t="s">
        <v>1176</v>
      </c>
      <c r="CH163" s="104" t="s">
        <v>1176</v>
      </c>
      <c r="CI163" s="104" t="s">
        <v>1176</v>
      </c>
      <c r="CJ163" s="104" t="s">
        <v>1176</v>
      </c>
      <c r="CK163" s="104" t="s">
        <v>1176</v>
      </c>
      <c r="CL163" s="104" t="s">
        <v>1176</v>
      </c>
      <c r="CM163" s="104" t="s">
        <v>1176</v>
      </c>
      <c r="CN163" s="104" t="s">
        <v>1176</v>
      </c>
      <c r="CO163" s="104" t="s">
        <v>1176</v>
      </c>
    </row>
    <row r="164" s="102" customFormat="1" ht="15" spans="1:93">
      <c r="A164" s="104" t="s">
        <v>1577</v>
      </c>
      <c r="B164" s="104" t="s">
        <v>1146</v>
      </c>
      <c r="C164" s="104" t="s">
        <v>1147</v>
      </c>
      <c r="D164" s="104" t="s">
        <v>2526</v>
      </c>
      <c r="E164" s="104" t="s">
        <v>2527</v>
      </c>
      <c r="F164" s="104">
        <f t="shared" si="2"/>
        <v>5663</v>
      </c>
      <c r="G164" s="104" t="s">
        <v>2528</v>
      </c>
      <c r="H164" s="104" t="s">
        <v>1176</v>
      </c>
      <c r="I164" s="104" t="s">
        <v>1176</v>
      </c>
      <c r="J164" s="104" t="s">
        <v>1176</v>
      </c>
      <c r="K164" s="104" t="s">
        <v>1176</v>
      </c>
      <c r="L164" s="104" t="s">
        <v>1803</v>
      </c>
      <c r="M164" s="104" t="s">
        <v>2529</v>
      </c>
      <c r="N164" s="104" t="s">
        <v>1232</v>
      </c>
      <c r="O164" s="104" t="s">
        <v>1176</v>
      </c>
      <c r="P164" s="104" t="s">
        <v>1176</v>
      </c>
      <c r="Q164" s="104" t="s">
        <v>1176</v>
      </c>
      <c r="R164" s="104" t="s">
        <v>1176</v>
      </c>
      <c r="S164" s="104" t="s">
        <v>1176</v>
      </c>
      <c r="T164" s="104" t="s">
        <v>1176</v>
      </c>
      <c r="U164" s="104" t="s">
        <v>1232</v>
      </c>
      <c r="V164" s="104" t="s">
        <v>1294</v>
      </c>
      <c r="W164" s="104" t="s">
        <v>1176</v>
      </c>
      <c r="X164" s="104" t="s">
        <v>2264</v>
      </c>
      <c r="Y164" s="104" t="s">
        <v>1323</v>
      </c>
      <c r="Z164" s="104" t="s">
        <v>2530</v>
      </c>
      <c r="AA164" s="104" t="s">
        <v>1176</v>
      </c>
      <c r="AB164" s="104" t="s">
        <v>1176</v>
      </c>
      <c r="AC164" s="104" t="s">
        <v>1176</v>
      </c>
      <c r="AD164" s="104" t="s">
        <v>1176</v>
      </c>
      <c r="AE164" s="104" t="s">
        <v>1176</v>
      </c>
      <c r="AF164" s="104" t="s">
        <v>1176</v>
      </c>
      <c r="AG164" s="104" t="s">
        <v>1176</v>
      </c>
      <c r="AH164" s="104" t="s">
        <v>1176</v>
      </c>
      <c r="AI164" s="104" t="s">
        <v>1323</v>
      </c>
      <c r="AJ164" s="104" t="s">
        <v>2530</v>
      </c>
      <c r="AK164" s="104" t="s">
        <v>1176</v>
      </c>
      <c r="AL164" s="104" t="s">
        <v>1176</v>
      </c>
      <c r="AM164" s="104" t="s">
        <v>1176</v>
      </c>
      <c r="AN164" s="104" t="s">
        <v>1176</v>
      </c>
      <c r="AO164" s="104" t="s">
        <v>1176</v>
      </c>
      <c r="AP164" s="104" t="s">
        <v>1176</v>
      </c>
      <c r="AQ164" s="104" t="s">
        <v>1176</v>
      </c>
      <c r="AR164" s="104" t="s">
        <v>1176</v>
      </c>
      <c r="AS164" s="104" t="s">
        <v>1176</v>
      </c>
      <c r="AT164" s="104" t="s">
        <v>1176</v>
      </c>
      <c r="AU164" s="104" t="s">
        <v>1176</v>
      </c>
      <c r="AV164" s="104" t="s">
        <v>1176</v>
      </c>
      <c r="AW164" s="104" t="s">
        <v>1176</v>
      </c>
      <c r="AX164" s="104" t="s">
        <v>1176</v>
      </c>
      <c r="AY164" s="104" t="s">
        <v>1176</v>
      </c>
      <c r="AZ164" s="104" t="s">
        <v>1176</v>
      </c>
      <c r="BA164" s="104" t="s">
        <v>1176</v>
      </c>
      <c r="BB164" s="104" t="s">
        <v>1176</v>
      </c>
      <c r="BC164" s="104" t="s">
        <v>1176</v>
      </c>
      <c r="BD164" s="104" t="s">
        <v>1176</v>
      </c>
      <c r="BE164" s="104" t="s">
        <v>1176</v>
      </c>
      <c r="BF164" s="104" t="s">
        <v>1176</v>
      </c>
      <c r="BG164" s="104" t="s">
        <v>1314</v>
      </c>
      <c r="BH164" s="104" t="s">
        <v>1314</v>
      </c>
      <c r="BI164" s="104" t="s">
        <v>2292</v>
      </c>
      <c r="BJ164" s="104" t="s">
        <v>1176</v>
      </c>
      <c r="BK164" s="104" t="s">
        <v>1176</v>
      </c>
      <c r="BL164" s="104" t="s">
        <v>1176</v>
      </c>
      <c r="BM164" s="104" t="s">
        <v>1176</v>
      </c>
      <c r="BN164" s="104" t="s">
        <v>1176</v>
      </c>
      <c r="BO164" s="104" t="s">
        <v>1176</v>
      </c>
      <c r="BP164" s="104" t="s">
        <v>1176</v>
      </c>
      <c r="BQ164" s="104" t="s">
        <v>1176</v>
      </c>
      <c r="BR164" s="104" t="s">
        <v>1176</v>
      </c>
      <c r="BS164" s="104" t="s">
        <v>1176</v>
      </c>
      <c r="BT164" s="104" t="s">
        <v>1314</v>
      </c>
      <c r="BU164" s="104" t="s">
        <v>2292</v>
      </c>
      <c r="BV164" s="104" t="s">
        <v>1176</v>
      </c>
      <c r="BW164" s="104" t="s">
        <v>1176</v>
      </c>
      <c r="BX164" s="104" t="s">
        <v>1176</v>
      </c>
      <c r="BY164" s="104" t="s">
        <v>1176</v>
      </c>
      <c r="BZ164" s="104" t="s">
        <v>1176</v>
      </c>
      <c r="CA164" s="104" t="s">
        <v>1176</v>
      </c>
      <c r="CB164" s="104" t="s">
        <v>1176</v>
      </c>
      <c r="CC164" s="104" t="s">
        <v>1176</v>
      </c>
      <c r="CD164" s="104" t="s">
        <v>1176</v>
      </c>
      <c r="CE164" s="104" t="s">
        <v>1176</v>
      </c>
      <c r="CF164" s="104" t="s">
        <v>1176</v>
      </c>
      <c r="CG164" s="104" t="s">
        <v>1176</v>
      </c>
      <c r="CH164" s="104" t="s">
        <v>1176</v>
      </c>
      <c r="CI164" s="104" t="s">
        <v>1176</v>
      </c>
      <c r="CJ164" s="104" t="s">
        <v>1176</v>
      </c>
      <c r="CK164" s="104" t="s">
        <v>1176</v>
      </c>
      <c r="CL164" s="104" t="s">
        <v>1176</v>
      </c>
      <c r="CM164" s="104" t="s">
        <v>1176</v>
      </c>
      <c r="CN164" s="104" t="s">
        <v>1176</v>
      </c>
      <c r="CO164" s="104" t="s">
        <v>1176</v>
      </c>
    </row>
    <row r="165" s="102" customFormat="1" ht="15" spans="1:93">
      <c r="A165" s="104" t="s">
        <v>1582</v>
      </c>
      <c r="B165" s="104" t="s">
        <v>1146</v>
      </c>
      <c r="C165" s="104" t="s">
        <v>1147</v>
      </c>
      <c r="D165" s="104" t="s">
        <v>2531</v>
      </c>
      <c r="E165" s="104" t="s">
        <v>2532</v>
      </c>
      <c r="F165" s="104">
        <f t="shared" si="2"/>
        <v>3654</v>
      </c>
      <c r="G165" s="104" t="s">
        <v>2374</v>
      </c>
      <c r="H165" s="104" t="s">
        <v>1176</v>
      </c>
      <c r="I165" s="104" t="s">
        <v>1176</v>
      </c>
      <c r="J165" s="104" t="s">
        <v>1176</v>
      </c>
      <c r="K165" s="104" t="s">
        <v>1176</v>
      </c>
      <c r="L165" s="104" t="s">
        <v>1188</v>
      </c>
      <c r="M165" s="104" t="s">
        <v>2533</v>
      </c>
      <c r="N165" s="104" t="s">
        <v>1172</v>
      </c>
      <c r="O165" s="104" t="s">
        <v>1176</v>
      </c>
      <c r="P165" s="104" t="s">
        <v>1176</v>
      </c>
      <c r="Q165" s="104" t="s">
        <v>1176</v>
      </c>
      <c r="R165" s="104" t="s">
        <v>1176</v>
      </c>
      <c r="S165" s="104" t="s">
        <v>1176</v>
      </c>
      <c r="T165" s="104" t="s">
        <v>1176</v>
      </c>
      <c r="U165" s="104" t="s">
        <v>1176</v>
      </c>
      <c r="V165" s="104" t="s">
        <v>2494</v>
      </c>
      <c r="W165" s="104" t="s">
        <v>1176</v>
      </c>
      <c r="X165" s="104" t="s">
        <v>2534</v>
      </c>
      <c r="Y165" s="104" t="s">
        <v>1410</v>
      </c>
      <c r="Z165" s="104" t="s">
        <v>2535</v>
      </c>
      <c r="AA165" s="104" t="s">
        <v>1176</v>
      </c>
      <c r="AB165" s="104" t="s">
        <v>1176</v>
      </c>
      <c r="AC165" s="104" t="s">
        <v>1176</v>
      </c>
      <c r="AD165" s="104" t="s">
        <v>1176</v>
      </c>
      <c r="AE165" s="104" t="s">
        <v>1176</v>
      </c>
      <c r="AF165" s="104" t="s">
        <v>1176</v>
      </c>
      <c r="AG165" s="104" t="s">
        <v>1176</v>
      </c>
      <c r="AH165" s="104" t="s">
        <v>1176</v>
      </c>
      <c r="AI165" s="104" t="s">
        <v>1172</v>
      </c>
      <c r="AJ165" s="104" t="s">
        <v>1172</v>
      </c>
      <c r="AK165" s="104" t="s">
        <v>2483</v>
      </c>
      <c r="AL165" s="104" t="s">
        <v>2536</v>
      </c>
      <c r="AM165" s="104" t="s">
        <v>1176</v>
      </c>
      <c r="AN165" s="104" t="s">
        <v>1212</v>
      </c>
      <c r="AO165" s="104" t="s">
        <v>1176</v>
      </c>
      <c r="AP165" s="104" t="s">
        <v>1176</v>
      </c>
      <c r="AQ165" s="104" t="s">
        <v>1176</v>
      </c>
      <c r="AR165" s="104" t="s">
        <v>1176</v>
      </c>
      <c r="AS165" s="104" t="s">
        <v>1176</v>
      </c>
      <c r="AT165" s="104" t="s">
        <v>1176</v>
      </c>
      <c r="AU165" s="104" t="s">
        <v>1176</v>
      </c>
      <c r="AV165" s="104" t="s">
        <v>1176</v>
      </c>
      <c r="AW165" s="104" t="s">
        <v>1176</v>
      </c>
      <c r="AX165" s="104" t="s">
        <v>1176</v>
      </c>
      <c r="AY165" s="104" t="s">
        <v>1176</v>
      </c>
      <c r="AZ165" s="104" t="s">
        <v>1176</v>
      </c>
      <c r="BA165" s="104" t="s">
        <v>1176</v>
      </c>
      <c r="BB165" s="104" t="s">
        <v>1176</v>
      </c>
      <c r="BC165" s="104" t="s">
        <v>1176</v>
      </c>
      <c r="BD165" s="104" t="s">
        <v>1176</v>
      </c>
      <c r="BE165" s="104" t="s">
        <v>1176</v>
      </c>
      <c r="BF165" s="104" t="s">
        <v>1176</v>
      </c>
      <c r="BG165" s="104" t="s">
        <v>1176</v>
      </c>
      <c r="BH165" s="104" t="s">
        <v>1176</v>
      </c>
      <c r="BI165" s="104" t="s">
        <v>1176</v>
      </c>
      <c r="BJ165" s="104" t="s">
        <v>1176</v>
      </c>
      <c r="BK165" s="104" t="s">
        <v>1176</v>
      </c>
      <c r="BL165" s="104" t="s">
        <v>1176</v>
      </c>
      <c r="BM165" s="104" t="s">
        <v>1176</v>
      </c>
      <c r="BN165" s="104" t="s">
        <v>1176</v>
      </c>
      <c r="BO165" s="104" t="s">
        <v>1176</v>
      </c>
      <c r="BP165" s="104" t="s">
        <v>1176</v>
      </c>
      <c r="BQ165" s="104" t="s">
        <v>1176</v>
      </c>
      <c r="BR165" s="104" t="s">
        <v>1176</v>
      </c>
      <c r="BS165" s="104" t="s">
        <v>1176</v>
      </c>
      <c r="BT165" s="104" t="s">
        <v>1176</v>
      </c>
      <c r="BU165" s="104" t="s">
        <v>1176</v>
      </c>
      <c r="BV165" s="104" t="s">
        <v>1176</v>
      </c>
      <c r="BW165" s="104" t="s">
        <v>1176</v>
      </c>
      <c r="BX165" s="104" t="s">
        <v>1176</v>
      </c>
      <c r="BY165" s="104" t="s">
        <v>1176</v>
      </c>
      <c r="BZ165" s="104" t="s">
        <v>1176</v>
      </c>
      <c r="CA165" s="104" t="s">
        <v>1176</v>
      </c>
      <c r="CB165" s="104" t="s">
        <v>1176</v>
      </c>
      <c r="CC165" s="104" t="s">
        <v>1176</v>
      </c>
      <c r="CD165" s="104" t="s">
        <v>1176</v>
      </c>
      <c r="CE165" s="104" t="s">
        <v>1176</v>
      </c>
      <c r="CF165" s="104" t="s">
        <v>1176</v>
      </c>
      <c r="CG165" s="104" t="s">
        <v>1176</v>
      </c>
      <c r="CH165" s="104" t="s">
        <v>1176</v>
      </c>
      <c r="CI165" s="104" t="s">
        <v>1176</v>
      </c>
      <c r="CJ165" s="104" t="s">
        <v>1176</v>
      </c>
      <c r="CK165" s="104" t="s">
        <v>1176</v>
      </c>
      <c r="CL165" s="104" t="s">
        <v>1176</v>
      </c>
      <c r="CM165" s="104" t="s">
        <v>1176</v>
      </c>
      <c r="CN165" s="104" t="s">
        <v>1176</v>
      </c>
      <c r="CO165" s="104" t="s">
        <v>1176</v>
      </c>
    </row>
    <row r="166" s="102" customFormat="1" ht="15" spans="1:93">
      <c r="A166" s="104" t="s">
        <v>1490</v>
      </c>
      <c r="B166" s="104" t="s">
        <v>1146</v>
      </c>
      <c r="C166" s="104" t="s">
        <v>1147</v>
      </c>
      <c r="D166" s="104" t="s">
        <v>2537</v>
      </c>
      <c r="E166" s="104" t="s">
        <v>2538</v>
      </c>
      <c r="F166" s="104">
        <f t="shared" si="2"/>
        <v>889</v>
      </c>
      <c r="G166" s="104" t="s">
        <v>2539</v>
      </c>
      <c r="H166" s="104" t="s">
        <v>1176</v>
      </c>
      <c r="I166" s="104" t="s">
        <v>1176</v>
      </c>
      <c r="J166" s="104" t="s">
        <v>1176</v>
      </c>
      <c r="K166" s="104" t="s">
        <v>1176</v>
      </c>
      <c r="L166" s="104" t="s">
        <v>1188</v>
      </c>
      <c r="M166" s="104" t="s">
        <v>2540</v>
      </c>
      <c r="N166" s="104" t="s">
        <v>1172</v>
      </c>
      <c r="O166" s="104" t="s">
        <v>1176</v>
      </c>
      <c r="P166" s="104" t="s">
        <v>1176</v>
      </c>
      <c r="Q166" s="104" t="s">
        <v>1176</v>
      </c>
      <c r="R166" s="104" t="s">
        <v>1176</v>
      </c>
      <c r="S166" s="104" t="s">
        <v>1176</v>
      </c>
      <c r="T166" s="104" t="s">
        <v>1176</v>
      </c>
      <c r="U166" s="104" t="s">
        <v>1176</v>
      </c>
      <c r="V166" s="104" t="s">
        <v>1244</v>
      </c>
      <c r="W166" s="104" t="s">
        <v>1176</v>
      </c>
      <c r="X166" s="104" t="s">
        <v>2541</v>
      </c>
      <c r="Y166" s="104" t="s">
        <v>2542</v>
      </c>
      <c r="Z166" s="104" t="s">
        <v>2543</v>
      </c>
      <c r="AA166" s="104" t="s">
        <v>1176</v>
      </c>
      <c r="AB166" s="104" t="s">
        <v>1176</v>
      </c>
      <c r="AC166" s="104" t="s">
        <v>1176</v>
      </c>
      <c r="AD166" s="104" t="s">
        <v>1176</v>
      </c>
      <c r="AE166" s="104" t="s">
        <v>1176</v>
      </c>
      <c r="AF166" s="104" t="s">
        <v>1176</v>
      </c>
      <c r="AG166" s="104" t="s">
        <v>1176</v>
      </c>
      <c r="AH166" s="104" t="s">
        <v>1176</v>
      </c>
      <c r="AI166" s="104" t="s">
        <v>1187</v>
      </c>
      <c r="AJ166" s="104" t="s">
        <v>1187</v>
      </c>
      <c r="AK166" s="104" t="s">
        <v>1434</v>
      </c>
      <c r="AL166" s="104" t="s">
        <v>2544</v>
      </c>
      <c r="AM166" s="104" t="s">
        <v>1176</v>
      </c>
      <c r="AN166" s="104" t="s">
        <v>1187</v>
      </c>
      <c r="AO166" s="104" t="s">
        <v>1176</v>
      </c>
      <c r="AP166" s="104" t="s">
        <v>1176</v>
      </c>
      <c r="AQ166" s="104" t="s">
        <v>1176</v>
      </c>
      <c r="AR166" s="104" t="s">
        <v>1176</v>
      </c>
      <c r="AS166" s="104" t="s">
        <v>1176</v>
      </c>
      <c r="AT166" s="104" t="s">
        <v>1176</v>
      </c>
      <c r="AU166" s="104" t="s">
        <v>1176</v>
      </c>
      <c r="AV166" s="104" t="s">
        <v>1176</v>
      </c>
      <c r="AW166" s="104" t="s">
        <v>1176</v>
      </c>
      <c r="AX166" s="104" t="s">
        <v>1176</v>
      </c>
      <c r="AY166" s="104" t="s">
        <v>1176</v>
      </c>
      <c r="AZ166" s="104" t="s">
        <v>1176</v>
      </c>
      <c r="BA166" s="104" t="s">
        <v>1176</v>
      </c>
      <c r="BB166" s="104" t="s">
        <v>1176</v>
      </c>
      <c r="BC166" s="104" t="s">
        <v>1176</v>
      </c>
      <c r="BD166" s="104" t="s">
        <v>1176</v>
      </c>
      <c r="BE166" s="104" t="s">
        <v>1176</v>
      </c>
      <c r="BF166" s="104" t="s">
        <v>1176</v>
      </c>
      <c r="BG166" s="104" t="s">
        <v>1176</v>
      </c>
      <c r="BH166" s="104" t="s">
        <v>1176</v>
      </c>
      <c r="BI166" s="104" t="s">
        <v>1176</v>
      </c>
      <c r="BJ166" s="104" t="s">
        <v>1176</v>
      </c>
      <c r="BK166" s="104" t="s">
        <v>1176</v>
      </c>
      <c r="BL166" s="104" t="s">
        <v>1176</v>
      </c>
      <c r="BM166" s="104" t="s">
        <v>1176</v>
      </c>
      <c r="BN166" s="104" t="s">
        <v>1176</v>
      </c>
      <c r="BO166" s="104" t="s">
        <v>1176</v>
      </c>
      <c r="BP166" s="104" t="s">
        <v>1176</v>
      </c>
      <c r="BQ166" s="104" t="s">
        <v>1176</v>
      </c>
      <c r="BR166" s="104" t="s">
        <v>1176</v>
      </c>
      <c r="BS166" s="104" t="s">
        <v>1176</v>
      </c>
      <c r="BT166" s="104" t="s">
        <v>1176</v>
      </c>
      <c r="BU166" s="104" t="s">
        <v>1176</v>
      </c>
      <c r="BV166" s="104" t="s">
        <v>1176</v>
      </c>
      <c r="BW166" s="104" t="s">
        <v>1176</v>
      </c>
      <c r="BX166" s="104" t="s">
        <v>1176</v>
      </c>
      <c r="BY166" s="104" t="s">
        <v>1176</v>
      </c>
      <c r="BZ166" s="104" t="s">
        <v>1176</v>
      </c>
      <c r="CA166" s="104" t="s">
        <v>1176</v>
      </c>
      <c r="CB166" s="104" t="s">
        <v>1176</v>
      </c>
      <c r="CC166" s="104" t="s">
        <v>1176</v>
      </c>
      <c r="CD166" s="104" t="s">
        <v>1176</v>
      </c>
      <c r="CE166" s="104" t="s">
        <v>1176</v>
      </c>
      <c r="CF166" s="104" t="s">
        <v>1176</v>
      </c>
      <c r="CG166" s="104" t="s">
        <v>1176</v>
      </c>
      <c r="CH166" s="104" t="s">
        <v>1176</v>
      </c>
      <c r="CI166" s="104" t="s">
        <v>1176</v>
      </c>
      <c r="CJ166" s="104" t="s">
        <v>1176</v>
      </c>
      <c r="CK166" s="104" t="s">
        <v>1176</v>
      </c>
      <c r="CL166" s="104" t="s">
        <v>1176</v>
      </c>
      <c r="CM166" s="104" t="s">
        <v>1176</v>
      </c>
      <c r="CN166" s="104" t="s">
        <v>1176</v>
      </c>
      <c r="CO166" s="104" t="s">
        <v>1176</v>
      </c>
    </row>
    <row r="167" s="102" customFormat="1" ht="15" spans="1:93">
      <c r="A167" s="104" t="s">
        <v>2545</v>
      </c>
      <c r="B167" s="104" t="s">
        <v>1146</v>
      </c>
      <c r="C167" s="104" t="s">
        <v>1147</v>
      </c>
      <c r="D167" s="104" t="s">
        <v>2546</v>
      </c>
      <c r="E167" s="104" t="s">
        <v>2547</v>
      </c>
      <c r="F167" s="104">
        <f t="shared" si="2"/>
        <v>4007</v>
      </c>
      <c r="G167" s="104" t="s">
        <v>2548</v>
      </c>
      <c r="H167" s="104" t="s">
        <v>1176</v>
      </c>
      <c r="I167" s="104" t="s">
        <v>1176</v>
      </c>
      <c r="J167" s="104" t="s">
        <v>1176</v>
      </c>
      <c r="K167" s="104" t="s">
        <v>1176</v>
      </c>
      <c r="L167" s="104" t="s">
        <v>1288</v>
      </c>
      <c r="M167" s="104" t="s">
        <v>1263</v>
      </c>
      <c r="N167" s="104" t="s">
        <v>1179</v>
      </c>
      <c r="O167" s="104" t="s">
        <v>1176</v>
      </c>
      <c r="P167" s="104" t="s">
        <v>1176</v>
      </c>
      <c r="Q167" s="104" t="s">
        <v>1176</v>
      </c>
      <c r="R167" s="104" t="s">
        <v>1176</v>
      </c>
      <c r="S167" s="104" t="s">
        <v>1176</v>
      </c>
      <c r="T167" s="104" t="s">
        <v>1176</v>
      </c>
      <c r="U167" s="104" t="s">
        <v>1188</v>
      </c>
      <c r="V167" s="104" t="s">
        <v>2549</v>
      </c>
      <c r="W167" s="104" t="s">
        <v>1176</v>
      </c>
      <c r="X167" s="104" t="s">
        <v>2550</v>
      </c>
      <c r="Y167" s="104" t="s">
        <v>1384</v>
      </c>
      <c r="Z167" s="104" t="s">
        <v>2551</v>
      </c>
      <c r="AA167" s="104" t="s">
        <v>1176</v>
      </c>
      <c r="AB167" s="104" t="s">
        <v>1176</v>
      </c>
      <c r="AC167" s="104" t="s">
        <v>1176</v>
      </c>
      <c r="AD167" s="104" t="s">
        <v>1176</v>
      </c>
      <c r="AE167" s="104" t="s">
        <v>1176</v>
      </c>
      <c r="AF167" s="104" t="s">
        <v>1176</v>
      </c>
      <c r="AG167" s="104" t="s">
        <v>1176</v>
      </c>
      <c r="AH167" s="104" t="s">
        <v>1176</v>
      </c>
      <c r="AI167" s="104" t="s">
        <v>1232</v>
      </c>
      <c r="AJ167" s="104" t="s">
        <v>1502</v>
      </c>
      <c r="AK167" s="104" t="s">
        <v>1266</v>
      </c>
      <c r="AL167" s="104" t="s">
        <v>2552</v>
      </c>
      <c r="AM167" s="104" t="s">
        <v>1176</v>
      </c>
      <c r="AN167" s="104" t="s">
        <v>1172</v>
      </c>
      <c r="AO167" s="104" t="s">
        <v>1176</v>
      </c>
      <c r="AP167" s="104" t="s">
        <v>1176</v>
      </c>
      <c r="AQ167" s="104" t="s">
        <v>1176</v>
      </c>
      <c r="AR167" s="104" t="s">
        <v>1176</v>
      </c>
      <c r="AS167" s="104" t="s">
        <v>1176</v>
      </c>
      <c r="AT167" s="104" t="s">
        <v>1176</v>
      </c>
      <c r="AU167" s="104" t="s">
        <v>1176</v>
      </c>
      <c r="AV167" s="104" t="s">
        <v>1176</v>
      </c>
      <c r="AW167" s="104" t="s">
        <v>1176</v>
      </c>
      <c r="AX167" s="104" t="s">
        <v>1176</v>
      </c>
      <c r="AY167" s="104" t="s">
        <v>1176</v>
      </c>
      <c r="AZ167" s="104" t="s">
        <v>1176</v>
      </c>
      <c r="BA167" s="104" t="s">
        <v>1176</v>
      </c>
      <c r="BB167" s="104" t="s">
        <v>1176</v>
      </c>
      <c r="BC167" s="104" t="s">
        <v>1176</v>
      </c>
      <c r="BD167" s="104" t="s">
        <v>1176</v>
      </c>
      <c r="BE167" s="104" t="s">
        <v>1176</v>
      </c>
      <c r="BF167" s="104" t="s">
        <v>1176</v>
      </c>
      <c r="BG167" s="104" t="s">
        <v>1990</v>
      </c>
      <c r="BH167" s="104" t="s">
        <v>1990</v>
      </c>
      <c r="BI167" s="104" t="s">
        <v>2553</v>
      </c>
      <c r="BJ167" s="104" t="s">
        <v>1176</v>
      </c>
      <c r="BK167" s="104" t="s">
        <v>1176</v>
      </c>
      <c r="BL167" s="104" t="s">
        <v>1176</v>
      </c>
      <c r="BM167" s="104" t="s">
        <v>1176</v>
      </c>
      <c r="BN167" s="104" t="s">
        <v>1176</v>
      </c>
      <c r="BO167" s="104" t="s">
        <v>1176</v>
      </c>
      <c r="BP167" s="104" t="s">
        <v>1176</v>
      </c>
      <c r="BQ167" s="104" t="s">
        <v>1176</v>
      </c>
      <c r="BR167" s="104" t="s">
        <v>1176</v>
      </c>
      <c r="BS167" s="104" t="s">
        <v>1176</v>
      </c>
      <c r="BT167" s="104" t="s">
        <v>1990</v>
      </c>
      <c r="BU167" s="104" t="s">
        <v>2553</v>
      </c>
      <c r="BV167" s="104" t="s">
        <v>1176</v>
      </c>
      <c r="BW167" s="104" t="s">
        <v>1176</v>
      </c>
      <c r="BX167" s="104" t="s">
        <v>1176</v>
      </c>
      <c r="BY167" s="104" t="s">
        <v>1176</v>
      </c>
      <c r="BZ167" s="104" t="s">
        <v>1176</v>
      </c>
      <c r="CA167" s="104" t="s">
        <v>1176</v>
      </c>
      <c r="CB167" s="104" t="s">
        <v>1176</v>
      </c>
      <c r="CC167" s="104" t="s">
        <v>1176</v>
      </c>
      <c r="CD167" s="104" t="s">
        <v>1176</v>
      </c>
      <c r="CE167" s="104" t="s">
        <v>1176</v>
      </c>
      <c r="CF167" s="104" t="s">
        <v>1176</v>
      </c>
      <c r="CG167" s="104" t="s">
        <v>1176</v>
      </c>
      <c r="CH167" s="104" t="s">
        <v>1176</v>
      </c>
      <c r="CI167" s="104" t="s">
        <v>1176</v>
      </c>
      <c r="CJ167" s="104" t="s">
        <v>1176</v>
      </c>
      <c r="CK167" s="104" t="s">
        <v>1176</v>
      </c>
      <c r="CL167" s="104" t="s">
        <v>1176</v>
      </c>
      <c r="CM167" s="104" t="s">
        <v>1176</v>
      </c>
      <c r="CN167" s="104" t="s">
        <v>1176</v>
      </c>
      <c r="CO167" s="104" t="s">
        <v>1176</v>
      </c>
    </row>
    <row r="168" s="102" customFormat="1" ht="15" spans="1:93">
      <c r="A168" s="104" t="s">
        <v>2554</v>
      </c>
      <c r="B168" s="104" t="s">
        <v>1146</v>
      </c>
      <c r="C168" s="104" t="s">
        <v>1147</v>
      </c>
      <c r="D168" s="104" t="s">
        <v>2555</v>
      </c>
      <c r="E168" s="104" t="s">
        <v>2556</v>
      </c>
      <c r="F168" s="104">
        <f t="shared" si="2"/>
        <v>4009</v>
      </c>
      <c r="G168" s="104" t="s">
        <v>2557</v>
      </c>
      <c r="H168" s="104" t="s">
        <v>1176</v>
      </c>
      <c r="I168" s="104" t="s">
        <v>1176</v>
      </c>
      <c r="J168" s="104" t="s">
        <v>1176</v>
      </c>
      <c r="K168" s="104" t="s">
        <v>1176</v>
      </c>
      <c r="L168" s="104" t="s">
        <v>2558</v>
      </c>
      <c r="M168" s="104" t="s">
        <v>2559</v>
      </c>
      <c r="N168" s="104" t="s">
        <v>1238</v>
      </c>
      <c r="O168" s="104" t="s">
        <v>1176</v>
      </c>
      <c r="P168" s="104" t="s">
        <v>1176</v>
      </c>
      <c r="Q168" s="104" t="s">
        <v>1176</v>
      </c>
      <c r="R168" s="104" t="s">
        <v>1176</v>
      </c>
      <c r="S168" s="104" t="s">
        <v>1176</v>
      </c>
      <c r="T168" s="104" t="s">
        <v>1176</v>
      </c>
      <c r="U168" s="104" t="s">
        <v>1187</v>
      </c>
      <c r="V168" s="104" t="s">
        <v>2560</v>
      </c>
      <c r="W168" s="104" t="s">
        <v>1176</v>
      </c>
      <c r="X168" s="104" t="s">
        <v>2561</v>
      </c>
      <c r="Y168" s="104" t="s">
        <v>1221</v>
      </c>
      <c r="Z168" s="104" t="s">
        <v>2562</v>
      </c>
      <c r="AA168" s="104" t="s">
        <v>1176</v>
      </c>
      <c r="AB168" s="104" t="s">
        <v>1176</v>
      </c>
      <c r="AC168" s="104" t="s">
        <v>1176</v>
      </c>
      <c r="AD168" s="104" t="s">
        <v>1176</v>
      </c>
      <c r="AE168" s="104" t="s">
        <v>1176</v>
      </c>
      <c r="AF168" s="104" t="s">
        <v>1176</v>
      </c>
      <c r="AG168" s="104" t="s">
        <v>1176</v>
      </c>
      <c r="AH168" s="104" t="s">
        <v>1176</v>
      </c>
      <c r="AI168" s="104" t="s">
        <v>1188</v>
      </c>
      <c r="AJ168" s="104" t="s">
        <v>1312</v>
      </c>
      <c r="AK168" s="104" t="s">
        <v>1584</v>
      </c>
      <c r="AL168" s="104" t="s">
        <v>2563</v>
      </c>
      <c r="AM168" s="104" t="s">
        <v>1176</v>
      </c>
      <c r="AN168" s="104" t="s">
        <v>1176</v>
      </c>
      <c r="AO168" s="104" t="s">
        <v>1176</v>
      </c>
      <c r="AP168" s="104" t="s">
        <v>1176</v>
      </c>
      <c r="AQ168" s="104" t="s">
        <v>1176</v>
      </c>
      <c r="AR168" s="104" t="s">
        <v>1176</v>
      </c>
      <c r="AS168" s="104" t="s">
        <v>1176</v>
      </c>
      <c r="AT168" s="104" t="s">
        <v>1176</v>
      </c>
      <c r="AU168" s="104" t="s">
        <v>1176</v>
      </c>
      <c r="AV168" s="104" t="s">
        <v>1176</v>
      </c>
      <c r="AW168" s="104" t="s">
        <v>1176</v>
      </c>
      <c r="AX168" s="104" t="s">
        <v>1176</v>
      </c>
      <c r="AY168" s="104" t="s">
        <v>1176</v>
      </c>
      <c r="AZ168" s="104" t="s">
        <v>1176</v>
      </c>
      <c r="BA168" s="104" t="s">
        <v>1176</v>
      </c>
      <c r="BB168" s="104" t="s">
        <v>1176</v>
      </c>
      <c r="BC168" s="104" t="s">
        <v>1176</v>
      </c>
      <c r="BD168" s="104" t="s">
        <v>1176</v>
      </c>
      <c r="BE168" s="104" t="s">
        <v>1176</v>
      </c>
      <c r="BF168" s="104" t="s">
        <v>1176</v>
      </c>
      <c r="BG168" s="104" t="s">
        <v>2554</v>
      </c>
      <c r="BH168" s="104" t="s">
        <v>2554</v>
      </c>
      <c r="BI168" s="104" t="s">
        <v>2564</v>
      </c>
      <c r="BJ168" s="104" t="s">
        <v>1172</v>
      </c>
      <c r="BK168" s="104" t="s">
        <v>1176</v>
      </c>
      <c r="BL168" s="104" t="s">
        <v>1176</v>
      </c>
      <c r="BM168" s="104" t="s">
        <v>1176</v>
      </c>
      <c r="BN168" s="104" t="s">
        <v>1601</v>
      </c>
      <c r="BO168" s="104" t="s">
        <v>1601</v>
      </c>
      <c r="BP168" s="104" t="s">
        <v>1176</v>
      </c>
      <c r="BQ168" s="104" t="s">
        <v>1176</v>
      </c>
      <c r="BR168" s="104" t="s">
        <v>1176</v>
      </c>
      <c r="BS168" s="104" t="s">
        <v>1176</v>
      </c>
      <c r="BT168" s="104" t="s">
        <v>1551</v>
      </c>
      <c r="BU168" s="104" t="s">
        <v>2565</v>
      </c>
      <c r="BV168" s="104" t="s">
        <v>1176</v>
      </c>
      <c r="BW168" s="104" t="s">
        <v>1176</v>
      </c>
      <c r="BX168" s="104" t="s">
        <v>1179</v>
      </c>
      <c r="BY168" s="104" t="s">
        <v>1456</v>
      </c>
      <c r="BZ168" s="104" t="s">
        <v>1176</v>
      </c>
      <c r="CA168" s="104" t="s">
        <v>1176</v>
      </c>
      <c r="CB168" s="104" t="s">
        <v>1176</v>
      </c>
      <c r="CC168" s="104" t="s">
        <v>1176</v>
      </c>
      <c r="CD168" s="104" t="s">
        <v>1176</v>
      </c>
      <c r="CE168" s="104" t="s">
        <v>1176</v>
      </c>
      <c r="CF168" s="104" t="s">
        <v>1176</v>
      </c>
      <c r="CG168" s="104" t="s">
        <v>1176</v>
      </c>
      <c r="CH168" s="104" t="s">
        <v>1176</v>
      </c>
      <c r="CI168" s="104" t="s">
        <v>1176</v>
      </c>
      <c r="CJ168" s="104" t="s">
        <v>1176</v>
      </c>
      <c r="CK168" s="104" t="s">
        <v>1176</v>
      </c>
      <c r="CL168" s="104" t="s">
        <v>1176</v>
      </c>
      <c r="CM168" s="104" t="s">
        <v>1176</v>
      </c>
      <c r="CN168" s="104" t="s">
        <v>1176</v>
      </c>
      <c r="CO168" s="104" t="s">
        <v>1176</v>
      </c>
    </row>
    <row r="169" s="102" customFormat="1" ht="15" spans="1:93">
      <c r="A169" s="104" t="s">
        <v>2221</v>
      </c>
      <c r="B169" s="104" t="s">
        <v>1146</v>
      </c>
      <c r="C169" s="104" t="s">
        <v>1147</v>
      </c>
      <c r="D169" s="104" t="s">
        <v>2566</v>
      </c>
      <c r="E169" s="104" t="s">
        <v>2567</v>
      </c>
      <c r="F169" s="104">
        <f t="shared" si="2"/>
        <v>2183</v>
      </c>
      <c r="G169" s="104" t="s">
        <v>2446</v>
      </c>
      <c r="H169" s="104" t="s">
        <v>1176</v>
      </c>
      <c r="I169" s="104" t="s">
        <v>1176</v>
      </c>
      <c r="J169" s="104" t="s">
        <v>1176</v>
      </c>
      <c r="K169" s="104" t="s">
        <v>1176</v>
      </c>
      <c r="L169" s="104" t="s">
        <v>1697</v>
      </c>
      <c r="M169" s="104" t="s">
        <v>2568</v>
      </c>
      <c r="N169" s="104" t="s">
        <v>1187</v>
      </c>
      <c r="O169" s="104" t="s">
        <v>1176</v>
      </c>
      <c r="P169" s="104" t="s">
        <v>1176</v>
      </c>
      <c r="Q169" s="104" t="s">
        <v>1176</v>
      </c>
      <c r="R169" s="104" t="s">
        <v>1176</v>
      </c>
      <c r="S169" s="104" t="s">
        <v>1176</v>
      </c>
      <c r="T169" s="104" t="s">
        <v>1176</v>
      </c>
      <c r="U169" s="104" t="s">
        <v>1172</v>
      </c>
      <c r="V169" s="104" t="s">
        <v>2088</v>
      </c>
      <c r="W169" s="104" t="s">
        <v>1176</v>
      </c>
      <c r="X169" s="104" t="s">
        <v>2569</v>
      </c>
      <c r="Y169" s="104" t="s">
        <v>1279</v>
      </c>
      <c r="Z169" s="104" t="s">
        <v>2570</v>
      </c>
      <c r="AA169" s="104" t="s">
        <v>1176</v>
      </c>
      <c r="AB169" s="104" t="s">
        <v>1176</v>
      </c>
      <c r="AC169" s="104" t="s">
        <v>1176</v>
      </c>
      <c r="AD169" s="104" t="s">
        <v>1176</v>
      </c>
      <c r="AE169" s="104" t="s">
        <v>1176</v>
      </c>
      <c r="AF169" s="104" t="s">
        <v>1176</v>
      </c>
      <c r="AG169" s="104" t="s">
        <v>1176</v>
      </c>
      <c r="AH169" s="104" t="s">
        <v>1176</v>
      </c>
      <c r="AI169" s="104" t="s">
        <v>1556</v>
      </c>
      <c r="AJ169" s="104" t="s">
        <v>1750</v>
      </c>
      <c r="AK169" s="104" t="s">
        <v>1221</v>
      </c>
      <c r="AL169" s="104" t="s">
        <v>2571</v>
      </c>
      <c r="AM169" s="104" t="s">
        <v>1176</v>
      </c>
      <c r="AN169" s="104" t="s">
        <v>1187</v>
      </c>
      <c r="AO169" s="104" t="s">
        <v>1176</v>
      </c>
      <c r="AP169" s="104" t="s">
        <v>1176</v>
      </c>
      <c r="AQ169" s="104" t="s">
        <v>1176</v>
      </c>
      <c r="AR169" s="104" t="s">
        <v>1176</v>
      </c>
      <c r="AS169" s="104" t="s">
        <v>1176</v>
      </c>
      <c r="AT169" s="104" t="s">
        <v>1176</v>
      </c>
      <c r="AU169" s="104" t="s">
        <v>1176</v>
      </c>
      <c r="AV169" s="104" t="s">
        <v>1176</v>
      </c>
      <c r="AW169" s="104" t="s">
        <v>1176</v>
      </c>
      <c r="AX169" s="104" t="s">
        <v>1176</v>
      </c>
      <c r="AY169" s="104" t="s">
        <v>1176</v>
      </c>
      <c r="AZ169" s="104" t="s">
        <v>1176</v>
      </c>
      <c r="BA169" s="104" t="s">
        <v>1176</v>
      </c>
      <c r="BB169" s="104" t="s">
        <v>1176</v>
      </c>
      <c r="BC169" s="104" t="s">
        <v>1176</v>
      </c>
      <c r="BD169" s="104" t="s">
        <v>1176</v>
      </c>
      <c r="BE169" s="104" t="s">
        <v>1176</v>
      </c>
      <c r="BF169" s="104" t="s">
        <v>1176</v>
      </c>
      <c r="BG169" s="104" t="s">
        <v>1201</v>
      </c>
      <c r="BH169" s="104" t="s">
        <v>1201</v>
      </c>
      <c r="BI169" s="104" t="s">
        <v>1508</v>
      </c>
      <c r="BJ169" s="104" t="s">
        <v>1176</v>
      </c>
      <c r="BK169" s="104" t="s">
        <v>1176</v>
      </c>
      <c r="BL169" s="104" t="s">
        <v>1176</v>
      </c>
      <c r="BM169" s="104" t="s">
        <v>1176</v>
      </c>
      <c r="BN169" s="104" t="s">
        <v>1232</v>
      </c>
      <c r="BO169" s="104" t="s">
        <v>1232</v>
      </c>
      <c r="BP169" s="104" t="s">
        <v>1176</v>
      </c>
      <c r="BQ169" s="104" t="s">
        <v>1176</v>
      </c>
      <c r="BR169" s="104" t="s">
        <v>1176</v>
      </c>
      <c r="BS169" s="104" t="s">
        <v>1176</v>
      </c>
      <c r="BT169" s="104" t="s">
        <v>1187</v>
      </c>
      <c r="BU169" s="104" t="s">
        <v>1990</v>
      </c>
      <c r="BV169" s="104" t="s">
        <v>1176</v>
      </c>
      <c r="BW169" s="104" t="s">
        <v>1176</v>
      </c>
      <c r="BX169" s="104" t="s">
        <v>1172</v>
      </c>
      <c r="BY169" s="104" t="s">
        <v>1187</v>
      </c>
      <c r="BZ169" s="104" t="s">
        <v>1176</v>
      </c>
      <c r="CA169" s="104" t="s">
        <v>1176</v>
      </c>
      <c r="CB169" s="104" t="s">
        <v>1176</v>
      </c>
      <c r="CC169" s="104" t="s">
        <v>1176</v>
      </c>
      <c r="CD169" s="104" t="s">
        <v>1176</v>
      </c>
      <c r="CE169" s="104" t="s">
        <v>1176</v>
      </c>
      <c r="CF169" s="104" t="s">
        <v>1176</v>
      </c>
      <c r="CG169" s="104" t="s">
        <v>1176</v>
      </c>
      <c r="CH169" s="104" t="s">
        <v>1176</v>
      </c>
      <c r="CI169" s="104" t="s">
        <v>1176</v>
      </c>
      <c r="CJ169" s="104" t="s">
        <v>1176</v>
      </c>
      <c r="CK169" s="104" t="s">
        <v>1176</v>
      </c>
      <c r="CL169" s="104" t="s">
        <v>1176</v>
      </c>
      <c r="CM169" s="104" t="s">
        <v>1176</v>
      </c>
      <c r="CN169" s="104" t="s">
        <v>1176</v>
      </c>
      <c r="CO169" s="104" t="s">
        <v>1176</v>
      </c>
    </row>
    <row r="170" s="102" customFormat="1" ht="15" spans="1:93">
      <c r="A170" s="104" t="s">
        <v>1626</v>
      </c>
      <c r="B170" s="104" t="s">
        <v>1146</v>
      </c>
      <c r="C170" s="104" t="s">
        <v>1147</v>
      </c>
      <c r="D170" s="104" t="s">
        <v>2572</v>
      </c>
      <c r="E170" s="104" t="s">
        <v>2573</v>
      </c>
      <c r="F170" s="104">
        <f t="shared" si="2"/>
        <v>4642</v>
      </c>
      <c r="G170" s="104" t="s">
        <v>2574</v>
      </c>
      <c r="H170" s="104" t="s">
        <v>1176</v>
      </c>
      <c r="I170" s="104" t="s">
        <v>1176</v>
      </c>
      <c r="J170" s="104" t="s">
        <v>1176</v>
      </c>
      <c r="K170" s="104" t="s">
        <v>1176</v>
      </c>
      <c r="L170" s="104" t="s">
        <v>1402</v>
      </c>
      <c r="M170" s="104" t="s">
        <v>2575</v>
      </c>
      <c r="N170" s="104" t="s">
        <v>1176</v>
      </c>
      <c r="O170" s="104" t="s">
        <v>1176</v>
      </c>
      <c r="P170" s="104" t="s">
        <v>1176</v>
      </c>
      <c r="Q170" s="104" t="s">
        <v>1176</v>
      </c>
      <c r="R170" s="104" t="s">
        <v>1176</v>
      </c>
      <c r="S170" s="104" t="s">
        <v>1176</v>
      </c>
      <c r="T170" s="104" t="s">
        <v>1176</v>
      </c>
      <c r="U170" s="104" t="s">
        <v>1172</v>
      </c>
      <c r="V170" s="104" t="s">
        <v>2576</v>
      </c>
      <c r="W170" s="104" t="s">
        <v>1176</v>
      </c>
      <c r="X170" s="104" t="s">
        <v>2577</v>
      </c>
      <c r="Y170" s="104" t="s">
        <v>1185</v>
      </c>
      <c r="Z170" s="104" t="s">
        <v>2578</v>
      </c>
      <c r="AA170" s="104" t="s">
        <v>1176</v>
      </c>
      <c r="AB170" s="104" t="s">
        <v>1176</v>
      </c>
      <c r="AC170" s="104" t="s">
        <v>1176</v>
      </c>
      <c r="AD170" s="104" t="s">
        <v>1176</v>
      </c>
      <c r="AE170" s="104" t="s">
        <v>1176</v>
      </c>
      <c r="AF170" s="104" t="s">
        <v>1176</v>
      </c>
      <c r="AG170" s="104" t="s">
        <v>1176</v>
      </c>
      <c r="AH170" s="104" t="s">
        <v>1176</v>
      </c>
      <c r="AI170" s="104" t="s">
        <v>1176</v>
      </c>
      <c r="AJ170" s="104" t="s">
        <v>1176</v>
      </c>
      <c r="AK170" s="104" t="s">
        <v>1185</v>
      </c>
      <c r="AL170" s="104" t="s">
        <v>2578</v>
      </c>
      <c r="AM170" s="104" t="s">
        <v>1176</v>
      </c>
      <c r="AN170" s="104" t="s">
        <v>1176</v>
      </c>
      <c r="AO170" s="104" t="s">
        <v>1176</v>
      </c>
      <c r="AP170" s="104" t="s">
        <v>1176</v>
      </c>
      <c r="AQ170" s="104" t="s">
        <v>1176</v>
      </c>
      <c r="AR170" s="104" t="s">
        <v>1176</v>
      </c>
      <c r="AS170" s="104" t="s">
        <v>1176</v>
      </c>
      <c r="AT170" s="104" t="s">
        <v>1176</v>
      </c>
      <c r="AU170" s="104" t="s">
        <v>1176</v>
      </c>
      <c r="AV170" s="104" t="s">
        <v>1176</v>
      </c>
      <c r="AW170" s="104" t="s">
        <v>1176</v>
      </c>
      <c r="AX170" s="104" t="s">
        <v>1176</v>
      </c>
      <c r="AY170" s="104" t="s">
        <v>1176</v>
      </c>
      <c r="AZ170" s="104" t="s">
        <v>1176</v>
      </c>
      <c r="BA170" s="104" t="s">
        <v>1176</v>
      </c>
      <c r="BB170" s="104" t="s">
        <v>1176</v>
      </c>
      <c r="BC170" s="104" t="s">
        <v>1176</v>
      </c>
      <c r="BD170" s="104" t="s">
        <v>1176</v>
      </c>
      <c r="BE170" s="104" t="s">
        <v>1176</v>
      </c>
      <c r="BF170" s="104" t="s">
        <v>1176</v>
      </c>
      <c r="BG170" s="104" t="s">
        <v>1176</v>
      </c>
      <c r="BH170" s="104" t="s">
        <v>1176</v>
      </c>
      <c r="BI170" s="104" t="s">
        <v>1176</v>
      </c>
      <c r="BJ170" s="104" t="s">
        <v>1176</v>
      </c>
      <c r="BK170" s="104" t="s">
        <v>1176</v>
      </c>
      <c r="BL170" s="104" t="s">
        <v>1176</v>
      </c>
      <c r="BM170" s="104" t="s">
        <v>1176</v>
      </c>
      <c r="BN170" s="104" t="s">
        <v>1176</v>
      </c>
      <c r="BO170" s="104" t="s">
        <v>1176</v>
      </c>
      <c r="BP170" s="104" t="s">
        <v>1176</v>
      </c>
      <c r="BQ170" s="104" t="s">
        <v>1176</v>
      </c>
      <c r="BR170" s="104" t="s">
        <v>1176</v>
      </c>
      <c r="BS170" s="104" t="s">
        <v>1176</v>
      </c>
      <c r="BT170" s="104" t="s">
        <v>1176</v>
      </c>
      <c r="BU170" s="104" t="s">
        <v>1176</v>
      </c>
      <c r="BV170" s="104" t="s">
        <v>1176</v>
      </c>
      <c r="BW170" s="104" t="s">
        <v>1176</v>
      </c>
      <c r="BX170" s="104" t="s">
        <v>1176</v>
      </c>
      <c r="BY170" s="104" t="s">
        <v>1176</v>
      </c>
      <c r="BZ170" s="104" t="s">
        <v>1176</v>
      </c>
      <c r="CA170" s="104" t="s">
        <v>1176</v>
      </c>
      <c r="CB170" s="104" t="s">
        <v>1176</v>
      </c>
      <c r="CC170" s="104" t="s">
        <v>1176</v>
      </c>
      <c r="CD170" s="104" t="s">
        <v>1176</v>
      </c>
      <c r="CE170" s="104" t="s">
        <v>1176</v>
      </c>
      <c r="CF170" s="104" t="s">
        <v>1176</v>
      </c>
      <c r="CG170" s="104" t="s">
        <v>1176</v>
      </c>
      <c r="CH170" s="104" t="s">
        <v>1176</v>
      </c>
      <c r="CI170" s="104" t="s">
        <v>1176</v>
      </c>
      <c r="CJ170" s="104" t="s">
        <v>1176</v>
      </c>
      <c r="CK170" s="104" t="s">
        <v>1176</v>
      </c>
      <c r="CL170" s="104" t="s">
        <v>1176</v>
      </c>
      <c r="CM170" s="104" t="s">
        <v>1176</v>
      </c>
      <c r="CN170" s="104" t="s">
        <v>1176</v>
      </c>
      <c r="CO170" s="104" t="s">
        <v>1176</v>
      </c>
    </row>
    <row r="171" s="102" customFormat="1" ht="15" spans="1:93">
      <c r="A171" s="104" t="s">
        <v>2328</v>
      </c>
      <c r="B171" s="104" t="s">
        <v>1146</v>
      </c>
      <c r="C171" s="104" t="s">
        <v>1147</v>
      </c>
      <c r="D171" s="104" t="s">
        <v>2579</v>
      </c>
      <c r="E171" s="104" t="s">
        <v>2580</v>
      </c>
      <c r="F171" s="104">
        <f t="shared" si="2"/>
        <v>5593</v>
      </c>
      <c r="G171" s="104" t="s">
        <v>2581</v>
      </c>
      <c r="H171" s="104" t="s">
        <v>1176</v>
      </c>
      <c r="I171" s="104" t="s">
        <v>1176</v>
      </c>
      <c r="J171" s="104" t="s">
        <v>1176</v>
      </c>
      <c r="K171" s="104" t="s">
        <v>1176</v>
      </c>
      <c r="L171" s="104" t="s">
        <v>2162</v>
      </c>
      <c r="M171" s="104" t="s">
        <v>2582</v>
      </c>
      <c r="N171" s="104" t="s">
        <v>1229</v>
      </c>
      <c r="O171" s="104" t="s">
        <v>1176</v>
      </c>
      <c r="P171" s="104" t="s">
        <v>1176</v>
      </c>
      <c r="Q171" s="104" t="s">
        <v>1176</v>
      </c>
      <c r="R171" s="104" t="s">
        <v>1176</v>
      </c>
      <c r="S171" s="104" t="s">
        <v>1176</v>
      </c>
      <c r="T171" s="104" t="s">
        <v>1176</v>
      </c>
      <c r="U171" s="104" t="s">
        <v>1356</v>
      </c>
      <c r="V171" s="104" t="s">
        <v>2583</v>
      </c>
      <c r="W171" s="104" t="s">
        <v>1176</v>
      </c>
      <c r="X171" s="104" t="s">
        <v>2584</v>
      </c>
      <c r="Y171" s="104" t="s">
        <v>2174</v>
      </c>
      <c r="Z171" s="104" t="s">
        <v>2585</v>
      </c>
      <c r="AA171" s="104" t="s">
        <v>1176</v>
      </c>
      <c r="AB171" s="104" t="s">
        <v>1176</v>
      </c>
      <c r="AC171" s="104" t="s">
        <v>1176</v>
      </c>
      <c r="AD171" s="104" t="s">
        <v>1176</v>
      </c>
      <c r="AE171" s="104" t="s">
        <v>1176</v>
      </c>
      <c r="AF171" s="104" t="s">
        <v>1176</v>
      </c>
      <c r="AG171" s="104" t="s">
        <v>1176</v>
      </c>
      <c r="AH171" s="104" t="s">
        <v>1176</v>
      </c>
      <c r="AI171" s="104" t="s">
        <v>1243</v>
      </c>
      <c r="AJ171" s="104" t="s">
        <v>2260</v>
      </c>
      <c r="AK171" s="104" t="s">
        <v>2560</v>
      </c>
      <c r="AL171" s="104" t="s">
        <v>2586</v>
      </c>
      <c r="AM171" s="104" t="s">
        <v>1176</v>
      </c>
      <c r="AN171" s="104" t="s">
        <v>1180</v>
      </c>
      <c r="AO171" s="104" t="s">
        <v>1176</v>
      </c>
      <c r="AP171" s="104" t="s">
        <v>1176</v>
      </c>
      <c r="AQ171" s="104" t="s">
        <v>1176</v>
      </c>
      <c r="AR171" s="104" t="s">
        <v>1176</v>
      </c>
      <c r="AS171" s="104" t="s">
        <v>1176</v>
      </c>
      <c r="AT171" s="104" t="s">
        <v>1176</v>
      </c>
      <c r="AU171" s="104" t="s">
        <v>1176</v>
      </c>
      <c r="AV171" s="104" t="s">
        <v>1176</v>
      </c>
      <c r="AW171" s="104" t="s">
        <v>1176</v>
      </c>
      <c r="AX171" s="104" t="s">
        <v>1176</v>
      </c>
      <c r="AY171" s="104" t="s">
        <v>1176</v>
      </c>
      <c r="AZ171" s="104" t="s">
        <v>1176</v>
      </c>
      <c r="BA171" s="104" t="s">
        <v>1176</v>
      </c>
      <c r="BB171" s="104" t="s">
        <v>1176</v>
      </c>
      <c r="BC171" s="104" t="s">
        <v>1176</v>
      </c>
      <c r="BD171" s="104" t="s">
        <v>1176</v>
      </c>
      <c r="BE171" s="104" t="s">
        <v>1176</v>
      </c>
      <c r="BF171" s="104" t="s">
        <v>1176</v>
      </c>
      <c r="BG171" s="104" t="s">
        <v>1187</v>
      </c>
      <c r="BH171" s="104" t="s">
        <v>1187</v>
      </c>
      <c r="BI171" s="104" t="s">
        <v>1521</v>
      </c>
      <c r="BJ171" s="104" t="s">
        <v>1176</v>
      </c>
      <c r="BK171" s="104" t="s">
        <v>1176</v>
      </c>
      <c r="BL171" s="104" t="s">
        <v>1176</v>
      </c>
      <c r="BM171" s="104" t="s">
        <v>1176</v>
      </c>
      <c r="BN171" s="104" t="s">
        <v>1176</v>
      </c>
      <c r="BO171" s="104" t="s">
        <v>1176</v>
      </c>
      <c r="BP171" s="104" t="s">
        <v>1176</v>
      </c>
      <c r="BQ171" s="104" t="s">
        <v>1176</v>
      </c>
      <c r="BR171" s="104" t="s">
        <v>1176</v>
      </c>
      <c r="BS171" s="104" t="s">
        <v>1176</v>
      </c>
      <c r="BT171" s="104" t="s">
        <v>1176</v>
      </c>
      <c r="BU171" s="104" t="s">
        <v>1176</v>
      </c>
      <c r="BV171" s="104" t="s">
        <v>1176</v>
      </c>
      <c r="BW171" s="104" t="s">
        <v>1176</v>
      </c>
      <c r="BX171" s="104" t="s">
        <v>1187</v>
      </c>
      <c r="BY171" s="104" t="s">
        <v>1521</v>
      </c>
      <c r="BZ171" s="104" t="s">
        <v>1176</v>
      </c>
      <c r="CA171" s="104" t="s">
        <v>1176</v>
      </c>
      <c r="CB171" s="104" t="s">
        <v>1176</v>
      </c>
      <c r="CC171" s="104" t="s">
        <v>1176</v>
      </c>
      <c r="CD171" s="104" t="s">
        <v>1176</v>
      </c>
      <c r="CE171" s="104" t="s">
        <v>1176</v>
      </c>
      <c r="CF171" s="104" t="s">
        <v>1176</v>
      </c>
      <c r="CG171" s="104" t="s">
        <v>1176</v>
      </c>
      <c r="CH171" s="104" t="s">
        <v>1176</v>
      </c>
      <c r="CI171" s="104" t="s">
        <v>1176</v>
      </c>
      <c r="CJ171" s="104" t="s">
        <v>1176</v>
      </c>
      <c r="CK171" s="104" t="s">
        <v>1176</v>
      </c>
      <c r="CL171" s="104" t="s">
        <v>1176</v>
      </c>
      <c r="CM171" s="104" t="s">
        <v>1176</v>
      </c>
      <c r="CN171" s="104" t="s">
        <v>1176</v>
      </c>
      <c r="CO171" s="104" t="s">
        <v>1176</v>
      </c>
    </row>
    <row r="172" s="102" customFormat="1" ht="15" spans="1:93">
      <c r="A172" s="104" t="s">
        <v>1901</v>
      </c>
      <c r="B172" s="104" t="s">
        <v>1146</v>
      </c>
      <c r="C172" s="104" t="s">
        <v>1147</v>
      </c>
      <c r="D172" s="104" t="s">
        <v>2587</v>
      </c>
      <c r="E172" s="104" t="s">
        <v>2588</v>
      </c>
      <c r="F172" s="104">
        <f t="shared" si="2"/>
        <v>6347</v>
      </c>
      <c r="G172" s="104" t="s">
        <v>2589</v>
      </c>
      <c r="H172" s="104" t="s">
        <v>1176</v>
      </c>
      <c r="I172" s="104" t="s">
        <v>1176</v>
      </c>
      <c r="J172" s="104" t="s">
        <v>1176</v>
      </c>
      <c r="K172" s="104" t="s">
        <v>1176</v>
      </c>
      <c r="L172" s="104" t="s">
        <v>2590</v>
      </c>
      <c r="M172" s="104" t="s">
        <v>2591</v>
      </c>
      <c r="N172" s="104" t="s">
        <v>1470</v>
      </c>
      <c r="O172" s="104" t="s">
        <v>1176</v>
      </c>
      <c r="P172" s="104" t="s">
        <v>1176</v>
      </c>
      <c r="Q172" s="104" t="s">
        <v>1176</v>
      </c>
      <c r="R172" s="104" t="s">
        <v>1176</v>
      </c>
      <c r="S172" s="104" t="s">
        <v>1176</v>
      </c>
      <c r="T172" s="104" t="s">
        <v>1176</v>
      </c>
      <c r="U172" s="104" t="s">
        <v>1323</v>
      </c>
      <c r="V172" s="104" t="s">
        <v>2592</v>
      </c>
      <c r="W172" s="104" t="s">
        <v>1176</v>
      </c>
      <c r="X172" s="104" t="s">
        <v>2593</v>
      </c>
      <c r="Y172" s="104" t="s">
        <v>2594</v>
      </c>
      <c r="Z172" s="104" t="s">
        <v>2595</v>
      </c>
      <c r="AA172" s="104" t="s">
        <v>1176</v>
      </c>
      <c r="AB172" s="104" t="s">
        <v>1176</v>
      </c>
      <c r="AC172" s="104" t="s">
        <v>1176</v>
      </c>
      <c r="AD172" s="104" t="s">
        <v>1176</v>
      </c>
      <c r="AE172" s="104" t="s">
        <v>1176</v>
      </c>
      <c r="AF172" s="104" t="s">
        <v>1176</v>
      </c>
      <c r="AG172" s="104" t="s">
        <v>1176</v>
      </c>
      <c r="AH172" s="104" t="s">
        <v>1176</v>
      </c>
      <c r="AI172" s="104" t="s">
        <v>2237</v>
      </c>
      <c r="AJ172" s="104" t="s">
        <v>2596</v>
      </c>
      <c r="AK172" s="104" t="s">
        <v>2597</v>
      </c>
      <c r="AL172" s="104" t="s">
        <v>2598</v>
      </c>
      <c r="AM172" s="104" t="s">
        <v>1176</v>
      </c>
      <c r="AN172" s="104" t="s">
        <v>1591</v>
      </c>
      <c r="AO172" s="104" t="s">
        <v>1176</v>
      </c>
      <c r="AP172" s="104" t="s">
        <v>1176</v>
      </c>
      <c r="AQ172" s="104" t="s">
        <v>1176</v>
      </c>
      <c r="AR172" s="104" t="s">
        <v>1176</v>
      </c>
      <c r="AS172" s="104" t="s">
        <v>1176</v>
      </c>
      <c r="AT172" s="104" t="s">
        <v>1176</v>
      </c>
      <c r="AU172" s="104" t="s">
        <v>1243</v>
      </c>
      <c r="AV172" s="104" t="s">
        <v>1421</v>
      </c>
      <c r="AW172" s="104" t="s">
        <v>1176</v>
      </c>
      <c r="AX172" s="104" t="s">
        <v>1176</v>
      </c>
      <c r="AY172" s="104" t="s">
        <v>1176</v>
      </c>
      <c r="AZ172" s="104" t="s">
        <v>1176</v>
      </c>
      <c r="BA172" s="104" t="s">
        <v>1176</v>
      </c>
      <c r="BB172" s="104" t="s">
        <v>1176</v>
      </c>
      <c r="BC172" s="104" t="s">
        <v>1176</v>
      </c>
      <c r="BD172" s="104" t="s">
        <v>1176</v>
      </c>
      <c r="BE172" s="104" t="s">
        <v>1176</v>
      </c>
      <c r="BF172" s="104" t="s">
        <v>1176</v>
      </c>
      <c r="BG172" s="104" t="s">
        <v>1176</v>
      </c>
      <c r="BH172" s="104" t="s">
        <v>1176</v>
      </c>
      <c r="BI172" s="104" t="s">
        <v>1176</v>
      </c>
      <c r="BJ172" s="104" t="s">
        <v>1176</v>
      </c>
      <c r="BK172" s="104" t="s">
        <v>1176</v>
      </c>
      <c r="BL172" s="104" t="s">
        <v>1176</v>
      </c>
      <c r="BM172" s="104" t="s">
        <v>1176</v>
      </c>
      <c r="BN172" s="104" t="s">
        <v>1176</v>
      </c>
      <c r="BO172" s="104" t="s">
        <v>1176</v>
      </c>
      <c r="BP172" s="104" t="s">
        <v>1176</v>
      </c>
      <c r="BQ172" s="104" t="s">
        <v>1176</v>
      </c>
      <c r="BR172" s="104" t="s">
        <v>1176</v>
      </c>
      <c r="BS172" s="104" t="s">
        <v>1176</v>
      </c>
      <c r="BT172" s="104" t="s">
        <v>1176</v>
      </c>
      <c r="BU172" s="104" t="s">
        <v>1176</v>
      </c>
      <c r="BV172" s="104" t="s">
        <v>1176</v>
      </c>
      <c r="BW172" s="104" t="s">
        <v>1176</v>
      </c>
      <c r="BX172" s="104" t="s">
        <v>1176</v>
      </c>
      <c r="BY172" s="104" t="s">
        <v>1176</v>
      </c>
      <c r="BZ172" s="104" t="s">
        <v>1176</v>
      </c>
      <c r="CA172" s="104" t="s">
        <v>1176</v>
      </c>
      <c r="CB172" s="104" t="s">
        <v>1176</v>
      </c>
      <c r="CC172" s="104" t="s">
        <v>1176</v>
      </c>
      <c r="CD172" s="104" t="s">
        <v>1176</v>
      </c>
      <c r="CE172" s="104" t="s">
        <v>1176</v>
      </c>
      <c r="CF172" s="104" t="s">
        <v>1176</v>
      </c>
      <c r="CG172" s="104" t="s">
        <v>1176</v>
      </c>
      <c r="CH172" s="104" t="s">
        <v>1176</v>
      </c>
      <c r="CI172" s="104" t="s">
        <v>1176</v>
      </c>
      <c r="CJ172" s="104" t="s">
        <v>1176</v>
      </c>
      <c r="CK172" s="104" t="s">
        <v>1176</v>
      </c>
      <c r="CL172" s="104" t="s">
        <v>1176</v>
      </c>
      <c r="CM172" s="104" t="s">
        <v>1176</v>
      </c>
      <c r="CN172" s="104" t="s">
        <v>1176</v>
      </c>
      <c r="CO172" s="104" t="s">
        <v>1176</v>
      </c>
    </row>
    <row r="173" s="102" customFormat="1" ht="15" spans="1:93">
      <c r="A173" s="104" t="s">
        <v>1526</v>
      </c>
      <c r="B173" s="104" t="s">
        <v>1146</v>
      </c>
      <c r="C173" s="104" t="s">
        <v>1147</v>
      </c>
      <c r="D173" s="104" t="s">
        <v>2599</v>
      </c>
      <c r="E173" s="104" t="s">
        <v>2600</v>
      </c>
      <c r="F173" s="104">
        <f t="shared" si="2"/>
        <v>5273</v>
      </c>
      <c r="G173" s="104" t="s">
        <v>2601</v>
      </c>
      <c r="H173" s="104" t="s">
        <v>1176</v>
      </c>
      <c r="I173" s="104" t="s">
        <v>1176</v>
      </c>
      <c r="J173" s="104" t="s">
        <v>1176</v>
      </c>
      <c r="K173" s="104" t="s">
        <v>1176</v>
      </c>
      <c r="L173" s="104" t="s">
        <v>1626</v>
      </c>
      <c r="M173" s="104" t="s">
        <v>2602</v>
      </c>
      <c r="N173" s="104" t="s">
        <v>1299</v>
      </c>
      <c r="O173" s="104" t="s">
        <v>1176</v>
      </c>
      <c r="P173" s="104" t="s">
        <v>1176</v>
      </c>
      <c r="Q173" s="104" t="s">
        <v>1176</v>
      </c>
      <c r="R173" s="104" t="s">
        <v>1172</v>
      </c>
      <c r="S173" s="104" t="s">
        <v>1176</v>
      </c>
      <c r="T173" s="104" t="s">
        <v>1176</v>
      </c>
      <c r="U173" s="104" t="s">
        <v>1421</v>
      </c>
      <c r="V173" s="104" t="s">
        <v>2433</v>
      </c>
      <c r="W173" s="104" t="s">
        <v>1176</v>
      </c>
      <c r="X173" s="104" t="s">
        <v>2603</v>
      </c>
      <c r="Y173" s="104" t="s">
        <v>2604</v>
      </c>
      <c r="Z173" s="104" t="s">
        <v>2605</v>
      </c>
      <c r="AA173" s="104" t="s">
        <v>1176</v>
      </c>
      <c r="AB173" s="104" t="s">
        <v>1176</v>
      </c>
      <c r="AC173" s="104" t="s">
        <v>1176</v>
      </c>
      <c r="AD173" s="104" t="s">
        <v>1176</v>
      </c>
      <c r="AE173" s="104" t="s">
        <v>1176</v>
      </c>
      <c r="AF173" s="104" t="s">
        <v>1176</v>
      </c>
      <c r="AG173" s="104" t="s">
        <v>1176</v>
      </c>
      <c r="AH173" s="104" t="s">
        <v>1176</v>
      </c>
      <c r="AI173" s="104" t="s">
        <v>1314</v>
      </c>
      <c r="AJ173" s="104" t="s">
        <v>2606</v>
      </c>
      <c r="AK173" s="104" t="s">
        <v>2607</v>
      </c>
      <c r="AL173" s="104" t="s">
        <v>2608</v>
      </c>
      <c r="AM173" s="104" t="s">
        <v>1176</v>
      </c>
      <c r="AN173" s="104" t="s">
        <v>1429</v>
      </c>
      <c r="AO173" s="104" t="s">
        <v>1176</v>
      </c>
      <c r="AP173" s="104" t="s">
        <v>1176</v>
      </c>
      <c r="AQ173" s="104" t="s">
        <v>1176</v>
      </c>
      <c r="AR173" s="104" t="s">
        <v>1176</v>
      </c>
      <c r="AS173" s="104" t="s">
        <v>1176</v>
      </c>
      <c r="AT173" s="104" t="s">
        <v>1176</v>
      </c>
      <c r="AU173" s="104" t="s">
        <v>1176</v>
      </c>
      <c r="AV173" s="104" t="s">
        <v>1176</v>
      </c>
      <c r="AW173" s="104" t="s">
        <v>1176</v>
      </c>
      <c r="AX173" s="104" t="s">
        <v>1176</v>
      </c>
      <c r="AY173" s="104" t="s">
        <v>1176</v>
      </c>
      <c r="AZ173" s="104" t="s">
        <v>1176</v>
      </c>
      <c r="BA173" s="104" t="s">
        <v>1176</v>
      </c>
      <c r="BB173" s="104" t="s">
        <v>1176</v>
      </c>
      <c r="BC173" s="104" t="s">
        <v>1176</v>
      </c>
      <c r="BD173" s="104" t="s">
        <v>1176</v>
      </c>
      <c r="BE173" s="104" t="s">
        <v>1176</v>
      </c>
      <c r="BF173" s="104" t="s">
        <v>1176</v>
      </c>
      <c r="BG173" s="104" t="s">
        <v>1180</v>
      </c>
      <c r="BH173" s="104" t="s">
        <v>1180</v>
      </c>
      <c r="BI173" s="104" t="s">
        <v>1897</v>
      </c>
      <c r="BJ173" s="104" t="s">
        <v>1176</v>
      </c>
      <c r="BK173" s="104" t="s">
        <v>1176</v>
      </c>
      <c r="BL173" s="104" t="s">
        <v>1176</v>
      </c>
      <c r="BM173" s="104" t="s">
        <v>1176</v>
      </c>
      <c r="BN173" s="104" t="s">
        <v>1176</v>
      </c>
      <c r="BO173" s="104" t="s">
        <v>1176</v>
      </c>
      <c r="BP173" s="104" t="s">
        <v>1176</v>
      </c>
      <c r="BQ173" s="104" t="s">
        <v>1176</v>
      </c>
      <c r="BR173" s="104" t="s">
        <v>1180</v>
      </c>
      <c r="BS173" s="104" t="s">
        <v>1897</v>
      </c>
      <c r="BT173" s="104" t="s">
        <v>1176</v>
      </c>
      <c r="BU173" s="104" t="s">
        <v>1176</v>
      </c>
      <c r="BV173" s="104" t="s">
        <v>1176</v>
      </c>
      <c r="BW173" s="104" t="s">
        <v>1176</v>
      </c>
      <c r="BX173" s="104" t="s">
        <v>1176</v>
      </c>
      <c r="BY173" s="104" t="s">
        <v>1176</v>
      </c>
      <c r="BZ173" s="104" t="s">
        <v>1176</v>
      </c>
      <c r="CA173" s="104" t="s">
        <v>1176</v>
      </c>
      <c r="CB173" s="104" t="s">
        <v>1176</v>
      </c>
      <c r="CC173" s="104" t="s">
        <v>1176</v>
      </c>
      <c r="CD173" s="104" t="s">
        <v>1176</v>
      </c>
      <c r="CE173" s="104" t="s">
        <v>1176</v>
      </c>
      <c r="CF173" s="104" t="s">
        <v>1176</v>
      </c>
      <c r="CG173" s="104" t="s">
        <v>1176</v>
      </c>
      <c r="CH173" s="104" t="s">
        <v>1176</v>
      </c>
      <c r="CI173" s="104" t="s">
        <v>1176</v>
      </c>
      <c r="CJ173" s="104" t="s">
        <v>1176</v>
      </c>
      <c r="CK173" s="104" t="s">
        <v>1176</v>
      </c>
      <c r="CL173" s="104" t="s">
        <v>1176</v>
      </c>
      <c r="CM173" s="104" t="s">
        <v>1176</v>
      </c>
      <c r="CN173" s="104" t="s">
        <v>1176</v>
      </c>
      <c r="CO173" s="104" t="s">
        <v>1176</v>
      </c>
    </row>
    <row r="174" s="102" customFormat="1" ht="15" spans="1:93">
      <c r="A174" s="104" t="s">
        <v>2119</v>
      </c>
      <c r="B174" s="104" t="s">
        <v>1146</v>
      </c>
      <c r="C174" s="104" t="s">
        <v>1147</v>
      </c>
      <c r="D174" s="104" t="s">
        <v>2609</v>
      </c>
      <c r="E174" s="104" t="s">
        <v>2610</v>
      </c>
      <c r="F174" s="104">
        <f t="shared" si="2"/>
        <v>2272</v>
      </c>
      <c r="G174" s="104" t="s">
        <v>2611</v>
      </c>
      <c r="H174" s="104" t="s">
        <v>1176</v>
      </c>
      <c r="I174" s="104" t="s">
        <v>1176</v>
      </c>
      <c r="J174" s="104" t="s">
        <v>1176</v>
      </c>
      <c r="K174" s="104" t="s">
        <v>1176</v>
      </c>
      <c r="L174" s="104" t="s">
        <v>1299</v>
      </c>
      <c r="M174" s="104" t="s">
        <v>2612</v>
      </c>
      <c r="N174" s="104" t="s">
        <v>1420</v>
      </c>
      <c r="O174" s="104" t="s">
        <v>1176</v>
      </c>
      <c r="P174" s="104" t="s">
        <v>1176</v>
      </c>
      <c r="Q174" s="104" t="s">
        <v>1176</v>
      </c>
      <c r="R174" s="104" t="s">
        <v>1176</v>
      </c>
      <c r="S174" s="104" t="s">
        <v>1176</v>
      </c>
      <c r="T174" s="104" t="s">
        <v>1176</v>
      </c>
      <c r="U174" s="104" t="s">
        <v>1176</v>
      </c>
      <c r="V174" s="104" t="s">
        <v>1951</v>
      </c>
      <c r="W174" s="104" t="s">
        <v>1176</v>
      </c>
      <c r="X174" s="104" t="s">
        <v>2613</v>
      </c>
      <c r="Y174" s="104" t="s">
        <v>2177</v>
      </c>
      <c r="Z174" s="104" t="s">
        <v>2614</v>
      </c>
      <c r="AA174" s="104" t="s">
        <v>1176</v>
      </c>
      <c r="AB174" s="104" t="s">
        <v>1176</v>
      </c>
      <c r="AC174" s="104" t="s">
        <v>1176</v>
      </c>
      <c r="AD174" s="104" t="s">
        <v>1176</v>
      </c>
      <c r="AE174" s="104" t="s">
        <v>1176</v>
      </c>
      <c r="AF174" s="104" t="s">
        <v>1176</v>
      </c>
      <c r="AG174" s="104" t="s">
        <v>1176</v>
      </c>
      <c r="AH174" s="104" t="s">
        <v>1176</v>
      </c>
      <c r="AI174" s="104" t="s">
        <v>1243</v>
      </c>
      <c r="AJ174" s="104" t="s">
        <v>1412</v>
      </c>
      <c r="AK174" s="104" t="s">
        <v>1930</v>
      </c>
      <c r="AL174" s="104" t="s">
        <v>2615</v>
      </c>
      <c r="AM174" s="104" t="s">
        <v>1176</v>
      </c>
      <c r="AN174" s="104" t="s">
        <v>1620</v>
      </c>
      <c r="AO174" s="104" t="s">
        <v>1176</v>
      </c>
      <c r="AP174" s="104" t="s">
        <v>1176</v>
      </c>
      <c r="AQ174" s="104" t="s">
        <v>1176</v>
      </c>
      <c r="AR174" s="104" t="s">
        <v>1176</v>
      </c>
      <c r="AS174" s="104" t="s">
        <v>1176</v>
      </c>
      <c r="AT174" s="104" t="s">
        <v>1176</v>
      </c>
      <c r="AU174" s="104" t="s">
        <v>1176</v>
      </c>
      <c r="AV174" s="104" t="s">
        <v>1176</v>
      </c>
      <c r="AW174" s="104" t="s">
        <v>1176</v>
      </c>
      <c r="AX174" s="104" t="s">
        <v>1176</v>
      </c>
      <c r="AY174" s="104" t="s">
        <v>1176</v>
      </c>
      <c r="AZ174" s="104" t="s">
        <v>1176</v>
      </c>
      <c r="BA174" s="104" t="s">
        <v>1176</v>
      </c>
      <c r="BB174" s="104" t="s">
        <v>1176</v>
      </c>
      <c r="BC174" s="104" t="s">
        <v>1187</v>
      </c>
      <c r="BD174" s="104" t="s">
        <v>1232</v>
      </c>
      <c r="BE174" s="104" t="s">
        <v>1176</v>
      </c>
      <c r="BF174" s="104" t="s">
        <v>1176</v>
      </c>
      <c r="BG174" s="104" t="s">
        <v>1748</v>
      </c>
      <c r="BH174" s="104" t="s">
        <v>1748</v>
      </c>
      <c r="BI174" s="104" t="s">
        <v>2616</v>
      </c>
      <c r="BJ174" s="104" t="s">
        <v>1172</v>
      </c>
      <c r="BK174" s="104" t="s">
        <v>1176</v>
      </c>
      <c r="BL174" s="104" t="s">
        <v>1176</v>
      </c>
      <c r="BM174" s="104" t="s">
        <v>1176</v>
      </c>
      <c r="BN174" s="104" t="s">
        <v>1179</v>
      </c>
      <c r="BO174" s="104" t="s">
        <v>1179</v>
      </c>
      <c r="BP174" s="104" t="s">
        <v>1176</v>
      </c>
      <c r="BQ174" s="104" t="s">
        <v>1176</v>
      </c>
      <c r="BR174" s="104" t="s">
        <v>1176</v>
      </c>
      <c r="BS174" s="104" t="s">
        <v>1176</v>
      </c>
      <c r="BT174" s="104" t="s">
        <v>1176</v>
      </c>
      <c r="BU174" s="104" t="s">
        <v>1176</v>
      </c>
      <c r="BV174" s="104" t="s">
        <v>1176</v>
      </c>
      <c r="BW174" s="104" t="s">
        <v>1176</v>
      </c>
      <c r="BX174" s="104" t="s">
        <v>1685</v>
      </c>
      <c r="BY174" s="104" t="s">
        <v>2617</v>
      </c>
      <c r="BZ174" s="104" t="s">
        <v>1176</v>
      </c>
      <c r="CA174" s="104" t="s">
        <v>1176</v>
      </c>
      <c r="CB174" s="104" t="s">
        <v>1176</v>
      </c>
      <c r="CC174" s="104" t="s">
        <v>1176</v>
      </c>
      <c r="CD174" s="104" t="s">
        <v>1187</v>
      </c>
      <c r="CE174" s="104" t="s">
        <v>1187</v>
      </c>
      <c r="CF174" s="104" t="s">
        <v>1176</v>
      </c>
      <c r="CG174" s="104" t="s">
        <v>1176</v>
      </c>
      <c r="CH174" s="104" t="s">
        <v>1176</v>
      </c>
      <c r="CI174" s="104" t="s">
        <v>1176</v>
      </c>
      <c r="CJ174" s="104" t="s">
        <v>1176</v>
      </c>
      <c r="CK174" s="104" t="s">
        <v>1176</v>
      </c>
      <c r="CL174" s="104" t="s">
        <v>1176</v>
      </c>
      <c r="CM174" s="104" t="s">
        <v>1176</v>
      </c>
      <c r="CN174" s="104" t="s">
        <v>1172</v>
      </c>
      <c r="CO174" s="104" t="s">
        <v>1218</v>
      </c>
    </row>
    <row r="175" s="102" customFormat="1" ht="15" spans="1:93">
      <c r="A175" s="104" t="s">
        <v>2120</v>
      </c>
      <c r="B175" s="104" t="s">
        <v>1146</v>
      </c>
      <c r="C175" s="104" t="s">
        <v>1147</v>
      </c>
      <c r="D175" s="104" t="s">
        <v>2618</v>
      </c>
      <c r="E175" s="104" t="s">
        <v>2619</v>
      </c>
      <c r="F175" s="104">
        <f t="shared" si="2"/>
        <v>3544</v>
      </c>
      <c r="G175" s="104" t="s">
        <v>2620</v>
      </c>
      <c r="H175" s="104" t="s">
        <v>1176</v>
      </c>
      <c r="I175" s="104" t="s">
        <v>1176</v>
      </c>
      <c r="J175" s="104" t="s">
        <v>1176</v>
      </c>
      <c r="K175" s="104" t="s">
        <v>1176</v>
      </c>
      <c r="L175" s="104" t="s">
        <v>2166</v>
      </c>
      <c r="M175" s="104" t="s">
        <v>2621</v>
      </c>
      <c r="N175" s="104" t="s">
        <v>1296</v>
      </c>
      <c r="O175" s="104" t="s">
        <v>1176</v>
      </c>
      <c r="P175" s="104" t="s">
        <v>1176</v>
      </c>
      <c r="Q175" s="104" t="s">
        <v>1176</v>
      </c>
      <c r="R175" s="104" t="s">
        <v>1176</v>
      </c>
      <c r="S175" s="104" t="s">
        <v>1176</v>
      </c>
      <c r="T175" s="104" t="s">
        <v>1176</v>
      </c>
      <c r="U175" s="104" t="s">
        <v>1243</v>
      </c>
      <c r="V175" s="104" t="s">
        <v>2174</v>
      </c>
      <c r="W175" s="104" t="s">
        <v>1176</v>
      </c>
      <c r="X175" s="104" t="s">
        <v>2622</v>
      </c>
      <c r="Y175" s="104" t="s">
        <v>2309</v>
      </c>
      <c r="Z175" s="104" t="s">
        <v>2623</v>
      </c>
      <c r="AA175" s="104" t="s">
        <v>1176</v>
      </c>
      <c r="AB175" s="104" t="s">
        <v>1176</v>
      </c>
      <c r="AC175" s="104" t="s">
        <v>1212</v>
      </c>
      <c r="AD175" s="104" t="s">
        <v>1531</v>
      </c>
      <c r="AE175" s="104" t="s">
        <v>1176</v>
      </c>
      <c r="AF175" s="104" t="s">
        <v>1176</v>
      </c>
      <c r="AG175" s="104" t="s">
        <v>1176</v>
      </c>
      <c r="AH175" s="104" t="s">
        <v>1176</v>
      </c>
      <c r="AI175" s="104" t="s">
        <v>1212</v>
      </c>
      <c r="AJ175" s="104" t="s">
        <v>1860</v>
      </c>
      <c r="AK175" s="104" t="s">
        <v>1697</v>
      </c>
      <c r="AL175" s="104" t="s">
        <v>2624</v>
      </c>
      <c r="AM175" s="104" t="s">
        <v>1176</v>
      </c>
      <c r="AN175" s="104" t="s">
        <v>1176</v>
      </c>
      <c r="AO175" s="104" t="s">
        <v>1176</v>
      </c>
      <c r="AP175" s="104" t="s">
        <v>1176</v>
      </c>
      <c r="AQ175" s="104" t="s">
        <v>1176</v>
      </c>
      <c r="AR175" s="104" t="s">
        <v>1176</v>
      </c>
      <c r="AS175" s="104" t="s">
        <v>1176</v>
      </c>
      <c r="AT175" s="104" t="s">
        <v>1176</v>
      </c>
      <c r="AU175" s="104" t="s">
        <v>1176</v>
      </c>
      <c r="AV175" s="104" t="s">
        <v>1176</v>
      </c>
      <c r="AW175" s="104" t="s">
        <v>1176</v>
      </c>
      <c r="AX175" s="104" t="s">
        <v>1176</v>
      </c>
      <c r="AY175" s="104" t="s">
        <v>1176</v>
      </c>
      <c r="AZ175" s="104" t="s">
        <v>1176</v>
      </c>
      <c r="BA175" s="104" t="s">
        <v>1176</v>
      </c>
      <c r="BB175" s="104" t="s">
        <v>1176</v>
      </c>
      <c r="BC175" s="104" t="s">
        <v>1176</v>
      </c>
      <c r="BD175" s="104" t="s">
        <v>1176</v>
      </c>
      <c r="BE175" s="104" t="s">
        <v>1176</v>
      </c>
      <c r="BF175" s="104" t="s">
        <v>1176</v>
      </c>
      <c r="BG175" s="104" t="s">
        <v>1230</v>
      </c>
      <c r="BH175" s="104" t="s">
        <v>1230</v>
      </c>
      <c r="BI175" s="104" t="s">
        <v>2625</v>
      </c>
      <c r="BJ175" s="104" t="s">
        <v>1176</v>
      </c>
      <c r="BK175" s="104" t="s">
        <v>1176</v>
      </c>
      <c r="BL175" s="104" t="s">
        <v>1176</v>
      </c>
      <c r="BM175" s="104" t="s">
        <v>1176</v>
      </c>
      <c r="BN175" s="104" t="s">
        <v>1176</v>
      </c>
      <c r="BO175" s="104" t="s">
        <v>1176</v>
      </c>
      <c r="BP175" s="104" t="s">
        <v>1176</v>
      </c>
      <c r="BQ175" s="104" t="s">
        <v>1176</v>
      </c>
      <c r="BR175" s="104" t="s">
        <v>1176</v>
      </c>
      <c r="BS175" s="104" t="s">
        <v>1176</v>
      </c>
      <c r="BT175" s="104" t="s">
        <v>1612</v>
      </c>
      <c r="BU175" s="104" t="s">
        <v>2626</v>
      </c>
      <c r="BV175" s="104" t="s">
        <v>1176</v>
      </c>
      <c r="BW175" s="104" t="s">
        <v>1176</v>
      </c>
      <c r="BX175" s="104" t="s">
        <v>1187</v>
      </c>
      <c r="BY175" s="104" t="s">
        <v>1556</v>
      </c>
      <c r="BZ175" s="104" t="s">
        <v>1176</v>
      </c>
      <c r="CA175" s="104" t="s">
        <v>1176</v>
      </c>
      <c r="CB175" s="104" t="s">
        <v>1176</v>
      </c>
      <c r="CC175" s="104" t="s">
        <v>1176</v>
      </c>
      <c r="CD175" s="104" t="s">
        <v>1176</v>
      </c>
      <c r="CE175" s="104" t="s">
        <v>1176</v>
      </c>
      <c r="CF175" s="104" t="s">
        <v>1176</v>
      </c>
      <c r="CG175" s="104" t="s">
        <v>1176</v>
      </c>
      <c r="CH175" s="104" t="s">
        <v>1176</v>
      </c>
      <c r="CI175" s="104" t="s">
        <v>1176</v>
      </c>
      <c r="CJ175" s="104" t="s">
        <v>1176</v>
      </c>
      <c r="CK175" s="104" t="s">
        <v>1176</v>
      </c>
      <c r="CL175" s="104" t="s">
        <v>1176</v>
      </c>
      <c r="CM175" s="104" t="s">
        <v>1176</v>
      </c>
      <c r="CN175" s="104" t="s">
        <v>1176</v>
      </c>
      <c r="CO175" s="104" t="s">
        <v>1176</v>
      </c>
    </row>
    <row r="176" s="102" customFormat="1" ht="15" spans="1:93">
      <c r="A176" s="104" t="s">
        <v>1172</v>
      </c>
      <c r="B176" s="104" t="s">
        <v>1146</v>
      </c>
      <c r="C176" s="104" t="s">
        <v>1147</v>
      </c>
      <c r="D176" s="104" t="s">
        <v>2627</v>
      </c>
      <c r="E176" s="104" t="s">
        <v>2628</v>
      </c>
      <c r="F176" s="104">
        <f t="shared" si="2"/>
        <v>1980</v>
      </c>
      <c r="G176" s="104" t="s">
        <v>2629</v>
      </c>
      <c r="H176" s="104" t="s">
        <v>1176</v>
      </c>
      <c r="I176" s="104" t="s">
        <v>1176</v>
      </c>
      <c r="J176" s="104" t="s">
        <v>1176</v>
      </c>
      <c r="K176" s="104" t="s">
        <v>1176</v>
      </c>
      <c r="L176" s="104" t="s">
        <v>2027</v>
      </c>
      <c r="M176" s="104" t="s">
        <v>2382</v>
      </c>
      <c r="N176" s="104" t="s">
        <v>1201</v>
      </c>
      <c r="O176" s="104" t="s">
        <v>1176</v>
      </c>
      <c r="P176" s="104" t="s">
        <v>1176</v>
      </c>
      <c r="Q176" s="104" t="s">
        <v>1176</v>
      </c>
      <c r="R176" s="104" t="s">
        <v>1176</v>
      </c>
      <c r="S176" s="104" t="s">
        <v>1176</v>
      </c>
      <c r="T176" s="104" t="s">
        <v>1176</v>
      </c>
      <c r="U176" s="104" t="s">
        <v>1201</v>
      </c>
      <c r="V176" s="104" t="s">
        <v>2630</v>
      </c>
      <c r="W176" s="104" t="s">
        <v>1176</v>
      </c>
      <c r="X176" s="104" t="s">
        <v>2631</v>
      </c>
      <c r="Y176" s="104" t="s">
        <v>1420</v>
      </c>
      <c r="Z176" s="104" t="s">
        <v>2632</v>
      </c>
      <c r="AA176" s="104" t="s">
        <v>1176</v>
      </c>
      <c r="AB176" s="104" t="s">
        <v>1176</v>
      </c>
      <c r="AC176" s="104" t="s">
        <v>1212</v>
      </c>
      <c r="AD176" s="104" t="s">
        <v>1531</v>
      </c>
      <c r="AE176" s="104" t="s">
        <v>1176</v>
      </c>
      <c r="AF176" s="104" t="s">
        <v>1176</v>
      </c>
      <c r="AG176" s="104" t="s">
        <v>1176</v>
      </c>
      <c r="AH176" s="104" t="s">
        <v>1176</v>
      </c>
      <c r="AI176" s="104" t="s">
        <v>1187</v>
      </c>
      <c r="AJ176" s="104" t="s">
        <v>1807</v>
      </c>
      <c r="AK176" s="104" t="s">
        <v>1860</v>
      </c>
      <c r="AL176" s="104" t="s">
        <v>2633</v>
      </c>
      <c r="AM176" s="104" t="s">
        <v>1176</v>
      </c>
      <c r="AN176" s="104" t="s">
        <v>1172</v>
      </c>
      <c r="AO176" s="104" t="s">
        <v>1176</v>
      </c>
      <c r="AP176" s="104" t="s">
        <v>1176</v>
      </c>
      <c r="AQ176" s="104" t="s">
        <v>1176</v>
      </c>
      <c r="AR176" s="104" t="s">
        <v>1176</v>
      </c>
      <c r="AS176" s="104" t="s">
        <v>1176</v>
      </c>
      <c r="AT176" s="104" t="s">
        <v>1176</v>
      </c>
      <c r="AU176" s="104" t="s">
        <v>1176</v>
      </c>
      <c r="AV176" s="104" t="s">
        <v>1176</v>
      </c>
      <c r="AW176" s="104" t="s">
        <v>1176</v>
      </c>
      <c r="AX176" s="104" t="s">
        <v>1176</v>
      </c>
      <c r="AY176" s="104" t="s">
        <v>1176</v>
      </c>
      <c r="AZ176" s="104" t="s">
        <v>1176</v>
      </c>
      <c r="BA176" s="104" t="s">
        <v>1176</v>
      </c>
      <c r="BB176" s="104" t="s">
        <v>1176</v>
      </c>
      <c r="BC176" s="104" t="s">
        <v>1176</v>
      </c>
      <c r="BD176" s="104" t="s">
        <v>1176</v>
      </c>
      <c r="BE176" s="104" t="s">
        <v>1176</v>
      </c>
      <c r="BF176" s="104" t="s">
        <v>1176</v>
      </c>
      <c r="BG176" s="104" t="s">
        <v>1314</v>
      </c>
      <c r="BH176" s="104" t="s">
        <v>1314</v>
      </c>
      <c r="BI176" s="104" t="s">
        <v>2634</v>
      </c>
      <c r="BJ176" s="104" t="s">
        <v>1176</v>
      </c>
      <c r="BK176" s="104" t="s">
        <v>1176</v>
      </c>
      <c r="BL176" s="104" t="s">
        <v>1176</v>
      </c>
      <c r="BM176" s="104" t="s">
        <v>1176</v>
      </c>
      <c r="BN176" s="104" t="s">
        <v>1176</v>
      </c>
      <c r="BO176" s="104" t="s">
        <v>1176</v>
      </c>
      <c r="BP176" s="104" t="s">
        <v>1176</v>
      </c>
      <c r="BQ176" s="104" t="s">
        <v>1176</v>
      </c>
      <c r="BR176" s="104" t="s">
        <v>1176</v>
      </c>
      <c r="BS176" s="104" t="s">
        <v>1176</v>
      </c>
      <c r="BT176" s="104" t="s">
        <v>1345</v>
      </c>
      <c r="BU176" s="104" t="s">
        <v>1834</v>
      </c>
      <c r="BV176" s="104" t="s">
        <v>1176</v>
      </c>
      <c r="BW176" s="104" t="s">
        <v>1176</v>
      </c>
      <c r="BX176" s="104" t="s">
        <v>1218</v>
      </c>
      <c r="BY176" s="104" t="s">
        <v>2554</v>
      </c>
      <c r="BZ176" s="104" t="s">
        <v>1176</v>
      </c>
      <c r="CA176" s="104" t="s">
        <v>1176</v>
      </c>
      <c r="CB176" s="104" t="s">
        <v>1176</v>
      </c>
      <c r="CC176" s="104" t="s">
        <v>1176</v>
      </c>
      <c r="CD176" s="104" t="s">
        <v>1176</v>
      </c>
      <c r="CE176" s="104" t="s">
        <v>1176</v>
      </c>
      <c r="CF176" s="104" t="s">
        <v>1176</v>
      </c>
      <c r="CG176" s="104" t="s">
        <v>1176</v>
      </c>
      <c r="CH176" s="104" t="s">
        <v>1176</v>
      </c>
      <c r="CI176" s="104" t="s">
        <v>1176</v>
      </c>
      <c r="CJ176" s="104" t="s">
        <v>1176</v>
      </c>
      <c r="CK176" s="104" t="s">
        <v>1176</v>
      </c>
      <c r="CL176" s="104" t="s">
        <v>1176</v>
      </c>
      <c r="CM176" s="104" t="s">
        <v>1176</v>
      </c>
      <c r="CN176" s="104" t="s">
        <v>1176</v>
      </c>
      <c r="CO176" s="104" t="s">
        <v>1176</v>
      </c>
    </row>
    <row r="177" s="102" customFormat="1" ht="15" spans="1:93">
      <c r="A177" s="104" t="s">
        <v>1187</v>
      </c>
      <c r="B177" s="104" t="s">
        <v>1146</v>
      </c>
      <c r="C177" s="104" t="s">
        <v>1147</v>
      </c>
      <c r="D177" s="104" t="s">
        <v>2635</v>
      </c>
      <c r="E177" s="104" t="s">
        <v>2636</v>
      </c>
      <c r="F177" s="104">
        <f t="shared" si="2"/>
        <v>5102</v>
      </c>
      <c r="G177" s="104" t="s">
        <v>1912</v>
      </c>
      <c r="H177" s="104" t="s">
        <v>1176</v>
      </c>
      <c r="I177" s="104" t="s">
        <v>1176</v>
      </c>
      <c r="J177" s="104" t="s">
        <v>1176</v>
      </c>
      <c r="K177" s="104" t="s">
        <v>1176</v>
      </c>
      <c r="L177" s="104" t="s">
        <v>1285</v>
      </c>
      <c r="M177" s="104" t="s">
        <v>2637</v>
      </c>
      <c r="N177" s="104" t="s">
        <v>1196</v>
      </c>
      <c r="O177" s="104" t="s">
        <v>1176</v>
      </c>
      <c r="P177" s="104" t="s">
        <v>1176</v>
      </c>
      <c r="Q177" s="104" t="s">
        <v>1176</v>
      </c>
      <c r="R177" s="104" t="s">
        <v>1176</v>
      </c>
      <c r="S177" s="104" t="s">
        <v>1176</v>
      </c>
      <c r="T177" s="104" t="s">
        <v>1176</v>
      </c>
      <c r="U177" s="104" t="s">
        <v>1201</v>
      </c>
      <c r="V177" s="104" t="s">
        <v>1966</v>
      </c>
      <c r="W177" s="104" t="s">
        <v>1176</v>
      </c>
      <c r="X177" s="104" t="s">
        <v>2638</v>
      </c>
      <c r="Y177" s="104" t="s">
        <v>1849</v>
      </c>
      <c r="Z177" s="104" t="s">
        <v>2639</v>
      </c>
      <c r="AA177" s="104" t="s">
        <v>1176</v>
      </c>
      <c r="AB177" s="104" t="s">
        <v>1176</v>
      </c>
      <c r="AC177" s="104" t="s">
        <v>1172</v>
      </c>
      <c r="AD177" s="104" t="s">
        <v>1366</v>
      </c>
      <c r="AE177" s="104" t="s">
        <v>1176</v>
      </c>
      <c r="AF177" s="104" t="s">
        <v>1176</v>
      </c>
      <c r="AG177" s="104" t="s">
        <v>1176</v>
      </c>
      <c r="AH177" s="104" t="s">
        <v>1176</v>
      </c>
      <c r="AI177" s="104" t="s">
        <v>1232</v>
      </c>
      <c r="AJ177" s="104" t="s">
        <v>1279</v>
      </c>
      <c r="AK177" s="104" t="s">
        <v>2640</v>
      </c>
      <c r="AL177" s="104" t="s">
        <v>2641</v>
      </c>
      <c r="AM177" s="104" t="s">
        <v>1176</v>
      </c>
      <c r="AN177" s="104" t="s">
        <v>1212</v>
      </c>
      <c r="AO177" s="104" t="s">
        <v>1176</v>
      </c>
      <c r="AP177" s="104" t="s">
        <v>1176</v>
      </c>
      <c r="AQ177" s="104" t="s">
        <v>1176</v>
      </c>
      <c r="AR177" s="104" t="s">
        <v>1176</v>
      </c>
      <c r="AS177" s="104" t="s">
        <v>1176</v>
      </c>
      <c r="AT177" s="104" t="s">
        <v>1176</v>
      </c>
      <c r="AU177" s="104" t="s">
        <v>1176</v>
      </c>
      <c r="AV177" s="104" t="s">
        <v>1176</v>
      </c>
      <c r="AW177" s="104" t="s">
        <v>1176</v>
      </c>
      <c r="AX177" s="104" t="s">
        <v>1176</v>
      </c>
      <c r="AY177" s="104" t="s">
        <v>1176</v>
      </c>
      <c r="AZ177" s="104" t="s">
        <v>1176</v>
      </c>
      <c r="BA177" s="104" t="s">
        <v>1176</v>
      </c>
      <c r="BB177" s="104" t="s">
        <v>1176</v>
      </c>
      <c r="BC177" s="104" t="s">
        <v>1176</v>
      </c>
      <c r="BD177" s="104" t="s">
        <v>1176</v>
      </c>
      <c r="BE177" s="104" t="s">
        <v>1176</v>
      </c>
      <c r="BF177" s="104" t="s">
        <v>1176</v>
      </c>
      <c r="BG177" s="104" t="s">
        <v>1702</v>
      </c>
      <c r="BH177" s="104" t="s">
        <v>1702</v>
      </c>
      <c r="BI177" s="104" t="s">
        <v>2642</v>
      </c>
      <c r="BJ177" s="104" t="s">
        <v>1176</v>
      </c>
      <c r="BK177" s="104" t="s">
        <v>1176</v>
      </c>
      <c r="BL177" s="104" t="s">
        <v>1176</v>
      </c>
      <c r="BM177" s="104" t="s">
        <v>1176</v>
      </c>
      <c r="BN177" s="104" t="s">
        <v>1176</v>
      </c>
      <c r="BO177" s="104" t="s">
        <v>1176</v>
      </c>
      <c r="BP177" s="104" t="s">
        <v>1176</v>
      </c>
      <c r="BQ177" s="104" t="s">
        <v>1176</v>
      </c>
      <c r="BR177" s="104" t="s">
        <v>1176</v>
      </c>
      <c r="BS177" s="104" t="s">
        <v>1176</v>
      </c>
      <c r="BT177" s="104" t="s">
        <v>1364</v>
      </c>
      <c r="BU177" s="104" t="s">
        <v>2643</v>
      </c>
      <c r="BV177" s="104" t="s">
        <v>1176</v>
      </c>
      <c r="BW177" s="104" t="s">
        <v>1176</v>
      </c>
      <c r="BX177" s="104" t="s">
        <v>1180</v>
      </c>
      <c r="BY177" s="104" t="s">
        <v>1264</v>
      </c>
      <c r="BZ177" s="104" t="s">
        <v>1176</v>
      </c>
      <c r="CA177" s="104" t="s">
        <v>1176</v>
      </c>
      <c r="CB177" s="104" t="s">
        <v>1176</v>
      </c>
      <c r="CC177" s="104" t="s">
        <v>1176</v>
      </c>
      <c r="CD177" s="104" t="s">
        <v>1176</v>
      </c>
      <c r="CE177" s="104" t="s">
        <v>1176</v>
      </c>
      <c r="CF177" s="104" t="s">
        <v>1176</v>
      </c>
      <c r="CG177" s="104" t="s">
        <v>1176</v>
      </c>
      <c r="CH177" s="104" t="s">
        <v>1176</v>
      </c>
      <c r="CI177" s="104" t="s">
        <v>1176</v>
      </c>
      <c r="CJ177" s="104" t="s">
        <v>1176</v>
      </c>
      <c r="CK177" s="104" t="s">
        <v>1176</v>
      </c>
      <c r="CL177" s="104" t="s">
        <v>1176</v>
      </c>
      <c r="CM177" s="104" t="s">
        <v>1176</v>
      </c>
      <c r="CN177" s="104" t="s">
        <v>1176</v>
      </c>
      <c r="CO177" s="104" t="s">
        <v>1176</v>
      </c>
    </row>
    <row r="178" s="102" customFormat="1" ht="15" spans="1:93">
      <c r="A178" s="104" t="s">
        <v>1212</v>
      </c>
      <c r="B178" s="104" t="s">
        <v>1146</v>
      </c>
      <c r="C178" s="104" t="s">
        <v>1147</v>
      </c>
      <c r="D178" s="104" t="s">
        <v>2644</v>
      </c>
      <c r="E178" s="104" t="s">
        <v>2645</v>
      </c>
      <c r="F178" s="104">
        <f t="shared" si="2"/>
        <v>3614</v>
      </c>
      <c r="G178" s="104" t="s">
        <v>2646</v>
      </c>
      <c r="H178" s="104" t="s">
        <v>1176</v>
      </c>
      <c r="I178" s="104" t="s">
        <v>1176</v>
      </c>
      <c r="J178" s="104" t="s">
        <v>1176</v>
      </c>
      <c r="K178" s="104" t="s">
        <v>1176</v>
      </c>
      <c r="L178" s="104" t="s">
        <v>2117</v>
      </c>
      <c r="M178" s="104" t="s">
        <v>2647</v>
      </c>
      <c r="N178" s="104" t="s">
        <v>1223</v>
      </c>
      <c r="O178" s="104" t="s">
        <v>1176</v>
      </c>
      <c r="P178" s="104" t="s">
        <v>1176</v>
      </c>
      <c r="Q178" s="104" t="s">
        <v>1176</v>
      </c>
      <c r="R178" s="104" t="s">
        <v>1176</v>
      </c>
      <c r="S178" s="104" t="s">
        <v>1176</v>
      </c>
      <c r="T178" s="104" t="s">
        <v>1176</v>
      </c>
      <c r="U178" s="104" t="s">
        <v>1187</v>
      </c>
      <c r="V178" s="104" t="s">
        <v>2455</v>
      </c>
      <c r="W178" s="104" t="s">
        <v>1176</v>
      </c>
      <c r="X178" s="104" t="s">
        <v>2648</v>
      </c>
      <c r="Y178" s="104" t="s">
        <v>2649</v>
      </c>
      <c r="Z178" s="104" t="s">
        <v>2650</v>
      </c>
      <c r="AA178" s="104" t="s">
        <v>1176</v>
      </c>
      <c r="AB178" s="104" t="s">
        <v>1176</v>
      </c>
      <c r="AC178" s="104" t="s">
        <v>1176</v>
      </c>
      <c r="AD178" s="104" t="s">
        <v>1176</v>
      </c>
      <c r="AE178" s="104" t="s">
        <v>1176</v>
      </c>
      <c r="AF178" s="104" t="s">
        <v>1176</v>
      </c>
      <c r="AG178" s="104" t="s">
        <v>1176</v>
      </c>
      <c r="AH178" s="104" t="s">
        <v>1176</v>
      </c>
      <c r="AI178" s="104" t="s">
        <v>1601</v>
      </c>
      <c r="AJ178" s="104" t="s">
        <v>2651</v>
      </c>
      <c r="AK178" s="104" t="s">
        <v>2466</v>
      </c>
      <c r="AL178" s="104" t="s">
        <v>2652</v>
      </c>
      <c r="AM178" s="104" t="s">
        <v>1176</v>
      </c>
      <c r="AN178" s="104" t="s">
        <v>1176</v>
      </c>
      <c r="AO178" s="104" t="s">
        <v>1176</v>
      </c>
      <c r="AP178" s="104" t="s">
        <v>1176</v>
      </c>
      <c r="AQ178" s="104" t="s">
        <v>1176</v>
      </c>
      <c r="AR178" s="104" t="s">
        <v>1176</v>
      </c>
      <c r="AS178" s="104" t="s">
        <v>1176</v>
      </c>
      <c r="AT178" s="104" t="s">
        <v>1176</v>
      </c>
      <c r="AU178" s="104" t="s">
        <v>1176</v>
      </c>
      <c r="AV178" s="104" t="s">
        <v>1176</v>
      </c>
      <c r="AW178" s="104" t="s">
        <v>1176</v>
      </c>
      <c r="AX178" s="104" t="s">
        <v>1176</v>
      </c>
      <c r="AY178" s="104" t="s">
        <v>1176</v>
      </c>
      <c r="AZ178" s="104" t="s">
        <v>1176</v>
      </c>
      <c r="BA178" s="104" t="s">
        <v>1176</v>
      </c>
      <c r="BB178" s="104" t="s">
        <v>1176</v>
      </c>
      <c r="BC178" s="104" t="s">
        <v>1176</v>
      </c>
      <c r="BD178" s="104" t="s">
        <v>1176</v>
      </c>
      <c r="BE178" s="104" t="s">
        <v>1176</v>
      </c>
      <c r="BF178" s="104" t="s">
        <v>1176</v>
      </c>
      <c r="BG178" s="104" t="s">
        <v>1188</v>
      </c>
      <c r="BH178" s="104" t="s">
        <v>1188</v>
      </c>
      <c r="BI178" s="104" t="s">
        <v>2113</v>
      </c>
      <c r="BJ178" s="104" t="s">
        <v>1176</v>
      </c>
      <c r="BK178" s="104" t="s">
        <v>1176</v>
      </c>
      <c r="BL178" s="104" t="s">
        <v>1176</v>
      </c>
      <c r="BM178" s="104" t="s">
        <v>1176</v>
      </c>
      <c r="BN178" s="104" t="s">
        <v>1176</v>
      </c>
      <c r="BO178" s="104" t="s">
        <v>1176</v>
      </c>
      <c r="BP178" s="104" t="s">
        <v>1176</v>
      </c>
      <c r="BQ178" s="104" t="s">
        <v>1176</v>
      </c>
      <c r="BR178" s="104" t="s">
        <v>1176</v>
      </c>
      <c r="BS178" s="104" t="s">
        <v>1176</v>
      </c>
      <c r="BT178" s="104" t="s">
        <v>1188</v>
      </c>
      <c r="BU178" s="104" t="s">
        <v>2113</v>
      </c>
      <c r="BV178" s="104" t="s">
        <v>1176</v>
      </c>
      <c r="BW178" s="104" t="s">
        <v>1176</v>
      </c>
      <c r="BX178" s="104" t="s">
        <v>1176</v>
      </c>
      <c r="BY178" s="104" t="s">
        <v>1176</v>
      </c>
      <c r="BZ178" s="104" t="s">
        <v>1176</v>
      </c>
      <c r="CA178" s="104" t="s">
        <v>1176</v>
      </c>
      <c r="CB178" s="104" t="s">
        <v>1176</v>
      </c>
      <c r="CC178" s="104" t="s">
        <v>1176</v>
      </c>
      <c r="CD178" s="104" t="s">
        <v>1176</v>
      </c>
      <c r="CE178" s="104" t="s">
        <v>1176</v>
      </c>
      <c r="CF178" s="104" t="s">
        <v>1176</v>
      </c>
      <c r="CG178" s="104" t="s">
        <v>1176</v>
      </c>
      <c r="CH178" s="104" t="s">
        <v>1176</v>
      </c>
      <c r="CI178" s="104" t="s">
        <v>1176</v>
      </c>
      <c r="CJ178" s="104" t="s">
        <v>1176</v>
      </c>
      <c r="CK178" s="104" t="s">
        <v>1176</v>
      </c>
      <c r="CL178" s="104" t="s">
        <v>1176</v>
      </c>
      <c r="CM178" s="104" t="s">
        <v>1176</v>
      </c>
      <c r="CN178" s="104" t="s">
        <v>1176</v>
      </c>
      <c r="CO178" s="104" t="s">
        <v>1176</v>
      </c>
    </row>
    <row r="179" s="102" customFormat="1" ht="15" spans="1:93">
      <c r="A179" s="104" t="s">
        <v>1180</v>
      </c>
      <c r="B179" s="104" t="s">
        <v>1146</v>
      </c>
      <c r="C179" s="104" t="s">
        <v>1147</v>
      </c>
      <c r="D179" s="104" t="s">
        <v>2653</v>
      </c>
      <c r="E179" s="104" t="s">
        <v>2654</v>
      </c>
      <c r="F179" s="104">
        <f t="shared" si="2"/>
        <v>3358</v>
      </c>
      <c r="G179" s="104" t="s">
        <v>2655</v>
      </c>
      <c r="H179" s="104" t="s">
        <v>1176</v>
      </c>
      <c r="I179" s="104" t="s">
        <v>1176</v>
      </c>
      <c r="J179" s="104" t="s">
        <v>1176</v>
      </c>
      <c r="K179" s="104" t="s">
        <v>1176</v>
      </c>
      <c r="L179" s="104" t="s">
        <v>2656</v>
      </c>
      <c r="M179" s="104" t="s">
        <v>2447</v>
      </c>
      <c r="N179" s="104" t="s">
        <v>1232</v>
      </c>
      <c r="O179" s="104" t="s">
        <v>1176</v>
      </c>
      <c r="P179" s="104" t="s">
        <v>1176</v>
      </c>
      <c r="Q179" s="104" t="s">
        <v>1176</v>
      </c>
      <c r="R179" s="104" t="s">
        <v>1176</v>
      </c>
      <c r="S179" s="104" t="s">
        <v>1176</v>
      </c>
      <c r="T179" s="104" t="s">
        <v>1176</v>
      </c>
      <c r="U179" s="104" t="s">
        <v>1176</v>
      </c>
      <c r="V179" s="104" t="s">
        <v>2025</v>
      </c>
      <c r="W179" s="104" t="s">
        <v>1176</v>
      </c>
      <c r="X179" s="104" t="s">
        <v>1456</v>
      </c>
      <c r="Y179" s="104" t="s">
        <v>1243</v>
      </c>
      <c r="Z179" s="104" t="s">
        <v>1356</v>
      </c>
      <c r="AA179" s="104" t="s">
        <v>1176</v>
      </c>
      <c r="AB179" s="104" t="s">
        <v>1176</v>
      </c>
      <c r="AC179" s="104" t="s">
        <v>1176</v>
      </c>
      <c r="AD179" s="104" t="s">
        <v>1176</v>
      </c>
      <c r="AE179" s="104" t="s">
        <v>1176</v>
      </c>
      <c r="AF179" s="104" t="s">
        <v>1176</v>
      </c>
      <c r="AG179" s="104" t="s">
        <v>1176</v>
      </c>
      <c r="AH179" s="104" t="s">
        <v>1176</v>
      </c>
      <c r="AI179" s="104" t="s">
        <v>1243</v>
      </c>
      <c r="AJ179" s="104" t="s">
        <v>1232</v>
      </c>
      <c r="AK179" s="104" t="s">
        <v>1176</v>
      </c>
      <c r="AL179" s="104" t="s">
        <v>1201</v>
      </c>
      <c r="AM179" s="104" t="s">
        <v>1176</v>
      </c>
      <c r="AN179" s="104" t="s">
        <v>1176</v>
      </c>
      <c r="AO179" s="104" t="s">
        <v>1176</v>
      </c>
      <c r="AP179" s="104" t="s">
        <v>1176</v>
      </c>
      <c r="AQ179" s="104" t="s">
        <v>1176</v>
      </c>
      <c r="AR179" s="104" t="s">
        <v>1176</v>
      </c>
      <c r="AS179" s="104" t="s">
        <v>1176</v>
      </c>
      <c r="AT179" s="104" t="s">
        <v>1176</v>
      </c>
      <c r="AU179" s="104" t="s">
        <v>1176</v>
      </c>
      <c r="AV179" s="104" t="s">
        <v>1176</v>
      </c>
      <c r="AW179" s="104" t="s">
        <v>1176</v>
      </c>
      <c r="AX179" s="104" t="s">
        <v>1176</v>
      </c>
      <c r="AY179" s="104" t="s">
        <v>1176</v>
      </c>
      <c r="AZ179" s="104" t="s">
        <v>1176</v>
      </c>
      <c r="BA179" s="104" t="s">
        <v>1176</v>
      </c>
      <c r="BB179" s="104" t="s">
        <v>1176</v>
      </c>
      <c r="BC179" s="104" t="s">
        <v>1176</v>
      </c>
      <c r="BD179" s="104" t="s">
        <v>1176</v>
      </c>
      <c r="BE179" s="104" t="s">
        <v>1176</v>
      </c>
      <c r="BF179" s="104" t="s">
        <v>1176</v>
      </c>
      <c r="BG179" s="104" t="s">
        <v>1176</v>
      </c>
      <c r="BH179" s="104" t="s">
        <v>1176</v>
      </c>
      <c r="BI179" s="104" t="s">
        <v>1176</v>
      </c>
      <c r="BJ179" s="104" t="s">
        <v>1176</v>
      </c>
      <c r="BK179" s="104" t="s">
        <v>1176</v>
      </c>
      <c r="BL179" s="104" t="s">
        <v>1176</v>
      </c>
      <c r="BM179" s="104" t="s">
        <v>1176</v>
      </c>
      <c r="BN179" s="104" t="s">
        <v>1176</v>
      </c>
      <c r="BO179" s="104" t="s">
        <v>1176</v>
      </c>
      <c r="BP179" s="104" t="s">
        <v>1176</v>
      </c>
      <c r="BQ179" s="104" t="s">
        <v>1176</v>
      </c>
      <c r="BR179" s="104" t="s">
        <v>1176</v>
      </c>
      <c r="BS179" s="104" t="s">
        <v>1176</v>
      </c>
      <c r="BT179" s="104" t="s">
        <v>1176</v>
      </c>
      <c r="BU179" s="104" t="s">
        <v>1176</v>
      </c>
      <c r="BV179" s="104" t="s">
        <v>1176</v>
      </c>
      <c r="BW179" s="104" t="s">
        <v>1176</v>
      </c>
      <c r="BX179" s="104" t="s">
        <v>1176</v>
      </c>
      <c r="BY179" s="104" t="s">
        <v>1176</v>
      </c>
      <c r="BZ179" s="104" t="s">
        <v>1176</v>
      </c>
      <c r="CA179" s="104" t="s">
        <v>1176</v>
      </c>
      <c r="CB179" s="104" t="s">
        <v>1176</v>
      </c>
      <c r="CC179" s="104" t="s">
        <v>1176</v>
      </c>
      <c r="CD179" s="104" t="s">
        <v>1176</v>
      </c>
      <c r="CE179" s="104" t="s">
        <v>1176</v>
      </c>
      <c r="CF179" s="104" t="s">
        <v>1176</v>
      </c>
      <c r="CG179" s="104" t="s">
        <v>1176</v>
      </c>
      <c r="CH179" s="104" t="s">
        <v>1176</v>
      </c>
      <c r="CI179" s="104" t="s">
        <v>1176</v>
      </c>
      <c r="CJ179" s="104" t="s">
        <v>1176</v>
      </c>
      <c r="CK179" s="104" t="s">
        <v>1176</v>
      </c>
      <c r="CL179" s="104" t="s">
        <v>1176</v>
      </c>
      <c r="CM179" s="104" t="s">
        <v>1176</v>
      </c>
      <c r="CN179" s="104" t="s">
        <v>1176</v>
      </c>
      <c r="CO179" s="104" t="s">
        <v>1176</v>
      </c>
    </row>
    <row r="180" s="102" customFormat="1" ht="15" spans="1:93">
      <c r="A180" s="104" t="s">
        <v>1232</v>
      </c>
      <c r="B180" s="104" t="s">
        <v>1146</v>
      </c>
      <c r="C180" s="104" t="s">
        <v>1147</v>
      </c>
      <c r="D180" s="104" t="s">
        <v>2657</v>
      </c>
      <c r="E180" s="104" t="s">
        <v>2658</v>
      </c>
      <c r="F180" s="104">
        <f t="shared" si="2"/>
        <v>3516</v>
      </c>
      <c r="G180" s="104" t="s">
        <v>2659</v>
      </c>
      <c r="H180" s="104" t="s">
        <v>1176</v>
      </c>
      <c r="I180" s="104" t="s">
        <v>1176</v>
      </c>
      <c r="J180" s="104" t="s">
        <v>1176</v>
      </c>
      <c r="K180" s="104" t="s">
        <v>1176</v>
      </c>
      <c r="L180" s="104" t="s">
        <v>2660</v>
      </c>
      <c r="M180" s="104" t="s">
        <v>2661</v>
      </c>
      <c r="N180" s="104" t="s">
        <v>1187</v>
      </c>
      <c r="O180" s="104" t="s">
        <v>1172</v>
      </c>
      <c r="P180" s="104" t="s">
        <v>1176</v>
      </c>
      <c r="Q180" s="104" t="s">
        <v>1176</v>
      </c>
      <c r="R180" s="104" t="s">
        <v>1176</v>
      </c>
      <c r="S180" s="104" t="s">
        <v>1176</v>
      </c>
      <c r="T180" s="104" t="s">
        <v>1176</v>
      </c>
      <c r="U180" s="104" t="s">
        <v>1172</v>
      </c>
      <c r="V180" s="104" t="s">
        <v>2105</v>
      </c>
      <c r="W180" s="104" t="s">
        <v>1176</v>
      </c>
      <c r="X180" s="104" t="s">
        <v>2662</v>
      </c>
      <c r="Y180" s="104" t="s">
        <v>2415</v>
      </c>
      <c r="Z180" s="104" t="s">
        <v>2663</v>
      </c>
      <c r="AA180" s="104" t="s">
        <v>1176</v>
      </c>
      <c r="AB180" s="104" t="s">
        <v>1176</v>
      </c>
      <c r="AC180" s="104" t="s">
        <v>1243</v>
      </c>
      <c r="AD180" s="104" t="s">
        <v>1828</v>
      </c>
      <c r="AE180" s="104" t="s">
        <v>1176</v>
      </c>
      <c r="AF180" s="104" t="s">
        <v>1176</v>
      </c>
      <c r="AG180" s="104" t="s">
        <v>1176</v>
      </c>
      <c r="AH180" s="104" t="s">
        <v>1176</v>
      </c>
      <c r="AI180" s="104" t="s">
        <v>1504</v>
      </c>
      <c r="AJ180" s="104" t="s">
        <v>2664</v>
      </c>
      <c r="AK180" s="104" t="s">
        <v>1176</v>
      </c>
      <c r="AL180" s="104" t="s">
        <v>1172</v>
      </c>
      <c r="AM180" s="104" t="s">
        <v>1176</v>
      </c>
      <c r="AN180" s="104" t="s">
        <v>1176</v>
      </c>
      <c r="AO180" s="104" t="s">
        <v>1176</v>
      </c>
      <c r="AP180" s="104" t="s">
        <v>1176</v>
      </c>
      <c r="AQ180" s="104" t="s">
        <v>1176</v>
      </c>
      <c r="AR180" s="104" t="s">
        <v>1176</v>
      </c>
      <c r="AS180" s="104" t="s">
        <v>1176</v>
      </c>
      <c r="AT180" s="104" t="s">
        <v>1176</v>
      </c>
      <c r="AU180" s="104" t="s">
        <v>1176</v>
      </c>
      <c r="AV180" s="104" t="s">
        <v>1176</v>
      </c>
      <c r="AW180" s="104" t="s">
        <v>1176</v>
      </c>
      <c r="AX180" s="104" t="s">
        <v>1176</v>
      </c>
      <c r="AY180" s="104" t="s">
        <v>1176</v>
      </c>
      <c r="AZ180" s="104" t="s">
        <v>1176</v>
      </c>
      <c r="BA180" s="104" t="s">
        <v>1176</v>
      </c>
      <c r="BB180" s="104" t="s">
        <v>1176</v>
      </c>
      <c r="BC180" s="104" t="s">
        <v>1176</v>
      </c>
      <c r="BD180" s="104" t="s">
        <v>1176</v>
      </c>
      <c r="BE180" s="104" t="s">
        <v>1176</v>
      </c>
      <c r="BF180" s="104" t="s">
        <v>1176</v>
      </c>
      <c r="BG180" s="104" t="s">
        <v>1203</v>
      </c>
      <c r="BH180" s="104" t="s">
        <v>1203</v>
      </c>
      <c r="BI180" s="104" t="s">
        <v>2665</v>
      </c>
      <c r="BJ180" s="104" t="s">
        <v>1176</v>
      </c>
      <c r="BK180" s="104" t="s">
        <v>1176</v>
      </c>
      <c r="BL180" s="104" t="s">
        <v>1176</v>
      </c>
      <c r="BM180" s="104" t="s">
        <v>1176</v>
      </c>
      <c r="BN180" s="104" t="s">
        <v>1176</v>
      </c>
      <c r="BO180" s="104" t="s">
        <v>1176</v>
      </c>
      <c r="BP180" s="104" t="s">
        <v>1176</v>
      </c>
      <c r="BQ180" s="104" t="s">
        <v>1176</v>
      </c>
      <c r="BR180" s="104" t="s">
        <v>1176</v>
      </c>
      <c r="BS180" s="104" t="s">
        <v>1176</v>
      </c>
      <c r="BT180" s="104" t="s">
        <v>1203</v>
      </c>
      <c r="BU180" s="104" t="s">
        <v>2665</v>
      </c>
      <c r="BV180" s="104" t="s">
        <v>1176</v>
      </c>
      <c r="BW180" s="104" t="s">
        <v>1176</v>
      </c>
      <c r="BX180" s="104" t="s">
        <v>1176</v>
      </c>
      <c r="BY180" s="104" t="s">
        <v>1176</v>
      </c>
      <c r="BZ180" s="104" t="s">
        <v>1176</v>
      </c>
      <c r="CA180" s="104" t="s">
        <v>1176</v>
      </c>
      <c r="CB180" s="104" t="s">
        <v>1176</v>
      </c>
      <c r="CC180" s="104" t="s">
        <v>1176</v>
      </c>
      <c r="CD180" s="104" t="s">
        <v>1176</v>
      </c>
      <c r="CE180" s="104" t="s">
        <v>1176</v>
      </c>
      <c r="CF180" s="104" t="s">
        <v>1176</v>
      </c>
      <c r="CG180" s="104" t="s">
        <v>1176</v>
      </c>
      <c r="CH180" s="104" t="s">
        <v>1176</v>
      </c>
      <c r="CI180" s="104" t="s">
        <v>1176</v>
      </c>
      <c r="CJ180" s="104" t="s">
        <v>1176</v>
      </c>
      <c r="CK180" s="104" t="s">
        <v>1176</v>
      </c>
      <c r="CL180" s="104" t="s">
        <v>1176</v>
      </c>
      <c r="CM180" s="104" t="s">
        <v>1176</v>
      </c>
      <c r="CN180" s="104" t="s">
        <v>1176</v>
      </c>
      <c r="CO180" s="104" t="s">
        <v>1176</v>
      </c>
    </row>
    <row r="181" s="102" customFormat="1" ht="15" spans="1:93">
      <c r="A181" s="104" t="s">
        <v>1179</v>
      </c>
      <c r="B181" s="104" t="s">
        <v>1146</v>
      </c>
      <c r="C181" s="104" t="s">
        <v>1147</v>
      </c>
      <c r="D181" s="104" t="s">
        <v>2666</v>
      </c>
      <c r="E181" s="104" t="s">
        <v>2667</v>
      </c>
      <c r="F181" s="104">
        <f t="shared" si="2"/>
        <v>3883</v>
      </c>
      <c r="G181" s="104" t="s">
        <v>2668</v>
      </c>
      <c r="H181" s="104" t="s">
        <v>1176</v>
      </c>
      <c r="I181" s="104" t="s">
        <v>1176</v>
      </c>
      <c r="J181" s="104" t="s">
        <v>1176</v>
      </c>
      <c r="K181" s="104" t="s">
        <v>1176</v>
      </c>
      <c r="L181" s="104" t="s">
        <v>1820</v>
      </c>
      <c r="M181" s="104" t="s">
        <v>2669</v>
      </c>
      <c r="N181" s="104" t="s">
        <v>1238</v>
      </c>
      <c r="O181" s="104" t="s">
        <v>1176</v>
      </c>
      <c r="P181" s="104" t="s">
        <v>1176</v>
      </c>
      <c r="Q181" s="104" t="s">
        <v>1176</v>
      </c>
      <c r="R181" s="104" t="s">
        <v>1176</v>
      </c>
      <c r="S181" s="104" t="s">
        <v>1176</v>
      </c>
      <c r="T181" s="104" t="s">
        <v>1176</v>
      </c>
      <c r="U181" s="104" t="s">
        <v>1238</v>
      </c>
      <c r="V181" s="104" t="s">
        <v>1272</v>
      </c>
      <c r="W181" s="104" t="s">
        <v>1176</v>
      </c>
      <c r="X181" s="104" t="s">
        <v>2670</v>
      </c>
      <c r="Y181" s="104" t="s">
        <v>2075</v>
      </c>
      <c r="Z181" s="104" t="s">
        <v>2671</v>
      </c>
      <c r="AA181" s="104" t="s">
        <v>1176</v>
      </c>
      <c r="AB181" s="104" t="s">
        <v>1176</v>
      </c>
      <c r="AC181" s="104" t="s">
        <v>1188</v>
      </c>
      <c r="AD181" s="104" t="s">
        <v>2672</v>
      </c>
      <c r="AE181" s="104" t="s">
        <v>1176</v>
      </c>
      <c r="AF181" s="104" t="s">
        <v>1176</v>
      </c>
      <c r="AG181" s="104" t="s">
        <v>1176</v>
      </c>
      <c r="AH181" s="104" t="s">
        <v>1176</v>
      </c>
      <c r="AI181" s="104" t="s">
        <v>1748</v>
      </c>
      <c r="AJ181" s="104" t="s">
        <v>2673</v>
      </c>
      <c r="AK181" s="104" t="s">
        <v>1410</v>
      </c>
      <c r="AL181" s="104" t="s">
        <v>2674</v>
      </c>
      <c r="AM181" s="104" t="s">
        <v>1176</v>
      </c>
      <c r="AN181" s="104" t="s">
        <v>1212</v>
      </c>
      <c r="AO181" s="104" t="s">
        <v>1176</v>
      </c>
      <c r="AP181" s="104" t="s">
        <v>1176</v>
      </c>
      <c r="AQ181" s="104" t="s">
        <v>1176</v>
      </c>
      <c r="AR181" s="104" t="s">
        <v>1176</v>
      </c>
      <c r="AS181" s="104" t="s">
        <v>1176</v>
      </c>
      <c r="AT181" s="104" t="s">
        <v>1176</v>
      </c>
      <c r="AU181" s="104" t="s">
        <v>1176</v>
      </c>
      <c r="AV181" s="104" t="s">
        <v>1176</v>
      </c>
      <c r="AW181" s="104" t="s">
        <v>1176</v>
      </c>
      <c r="AX181" s="104" t="s">
        <v>1176</v>
      </c>
      <c r="AY181" s="104" t="s">
        <v>1176</v>
      </c>
      <c r="AZ181" s="104" t="s">
        <v>1176</v>
      </c>
      <c r="BA181" s="104" t="s">
        <v>1176</v>
      </c>
      <c r="BB181" s="104" t="s">
        <v>1176</v>
      </c>
      <c r="BC181" s="104" t="s">
        <v>1176</v>
      </c>
      <c r="BD181" s="104" t="s">
        <v>1176</v>
      </c>
      <c r="BE181" s="104" t="s">
        <v>1176</v>
      </c>
      <c r="BF181" s="104" t="s">
        <v>1176</v>
      </c>
      <c r="BG181" s="104" t="s">
        <v>1860</v>
      </c>
      <c r="BH181" s="104" t="s">
        <v>1860</v>
      </c>
      <c r="BI181" s="104" t="s">
        <v>2675</v>
      </c>
      <c r="BJ181" s="104" t="s">
        <v>1176</v>
      </c>
      <c r="BK181" s="104" t="s">
        <v>1176</v>
      </c>
      <c r="BL181" s="104" t="s">
        <v>1176</v>
      </c>
      <c r="BM181" s="104" t="s">
        <v>1176</v>
      </c>
      <c r="BN181" s="104" t="s">
        <v>1429</v>
      </c>
      <c r="BO181" s="104" t="s">
        <v>1556</v>
      </c>
      <c r="BP181" s="104" t="s">
        <v>1176</v>
      </c>
      <c r="BQ181" s="104" t="s">
        <v>1176</v>
      </c>
      <c r="BR181" s="104" t="s">
        <v>1176</v>
      </c>
      <c r="BS181" s="104" t="s">
        <v>1176</v>
      </c>
      <c r="BT181" s="104" t="s">
        <v>1364</v>
      </c>
      <c r="BU181" s="104" t="s">
        <v>2676</v>
      </c>
      <c r="BV181" s="104" t="s">
        <v>1176</v>
      </c>
      <c r="BW181" s="104" t="s">
        <v>1176</v>
      </c>
      <c r="BX181" s="104" t="s">
        <v>1176</v>
      </c>
      <c r="BY181" s="104" t="s">
        <v>1176</v>
      </c>
      <c r="BZ181" s="104" t="s">
        <v>1176</v>
      </c>
      <c r="CA181" s="104" t="s">
        <v>1176</v>
      </c>
      <c r="CB181" s="104" t="s">
        <v>1176</v>
      </c>
      <c r="CC181" s="104" t="s">
        <v>1176</v>
      </c>
      <c r="CD181" s="104" t="s">
        <v>1176</v>
      </c>
      <c r="CE181" s="104" t="s">
        <v>1176</v>
      </c>
      <c r="CF181" s="104" t="s">
        <v>1176</v>
      </c>
      <c r="CG181" s="104" t="s">
        <v>1176</v>
      </c>
      <c r="CH181" s="104" t="s">
        <v>1176</v>
      </c>
      <c r="CI181" s="104" t="s">
        <v>1176</v>
      </c>
      <c r="CJ181" s="104" t="s">
        <v>1176</v>
      </c>
      <c r="CK181" s="104" t="s">
        <v>1176</v>
      </c>
      <c r="CL181" s="104" t="s">
        <v>1176</v>
      </c>
      <c r="CM181" s="104" t="s">
        <v>1176</v>
      </c>
      <c r="CN181" s="104" t="s">
        <v>1176</v>
      </c>
      <c r="CO181" s="104" t="s">
        <v>1176</v>
      </c>
    </row>
    <row r="182" s="102" customFormat="1" ht="15" spans="1:93">
      <c r="A182" s="104" t="s">
        <v>1188</v>
      </c>
      <c r="B182" s="104" t="s">
        <v>1146</v>
      </c>
      <c r="C182" s="104" t="s">
        <v>1147</v>
      </c>
      <c r="D182" s="104" t="s">
        <v>2677</v>
      </c>
      <c r="E182" s="104" t="s">
        <v>2678</v>
      </c>
      <c r="F182" s="104">
        <f t="shared" si="2"/>
        <v>1473</v>
      </c>
      <c r="G182" s="104" t="s">
        <v>2678</v>
      </c>
      <c r="H182" s="104" t="s">
        <v>1176</v>
      </c>
      <c r="I182" s="104" t="s">
        <v>1176</v>
      </c>
      <c r="J182" s="104" t="s">
        <v>1176</v>
      </c>
      <c r="K182" s="104" t="s">
        <v>1176</v>
      </c>
      <c r="L182" s="104" t="s">
        <v>2392</v>
      </c>
      <c r="M182" s="104" t="s">
        <v>2625</v>
      </c>
      <c r="N182" s="104" t="s">
        <v>1172</v>
      </c>
      <c r="O182" s="104" t="s">
        <v>1176</v>
      </c>
      <c r="P182" s="104" t="s">
        <v>1176</v>
      </c>
      <c r="Q182" s="104" t="s">
        <v>1176</v>
      </c>
      <c r="R182" s="104" t="s">
        <v>1176</v>
      </c>
      <c r="S182" s="104" t="s">
        <v>1176</v>
      </c>
      <c r="T182" s="104" t="s">
        <v>1176</v>
      </c>
      <c r="U182" s="104" t="s">
        <v>1176</v>
      </c>
      <c r="V182" s="104" t="s">
        <v>2679</v>
      </c>
      <c r="W182" s="104" t="s">
        <v>1176</v>
      </c>
      <c r="X182" s="104" t="s">
        <v>1176</v>
      </c>
      <c r="Y182" s="104" t="s">
        <v>1176</v>
      </c>
      <c r="Z182" s="104" t="s">
        <v>1176</v>
      </c>
      <c r="AA182" s="104" t="s">
        <v>1176</v>
      </c>
      <c r="AB182" s="104" t="s">
        <v>1176</v>
      </c>
      <c r="AC182" s="104" t="s">
        <v>1176</v>
      </c>
      <c r="AD182" s="104" t="s">
        <v>1176</v>
      </c>
      <c r="AE182" s="104" t="s">
        <v>1176</v>
      </c>
      <c r="AF182" s="104" t="s">
        <v>1176</v>
      </c>
      <c r="AG182" s="104" t="s">
        <v>1176</v>
      </c>
      <c r="AH182" s="104" t="s">
        <v>1176</v>
      </c>
      <c r="AI182" s="104" t="s">
        <v>1176</v>
      </c>
      <c r="AJ182" s="104" t="s">
        <v>1176</v>
      </c>
      <c r="AK182" s="104" t="s">
        <v>1176</v>
      </c>
      <c r="AL182" s="104" t="s">
        <v>1176</v>
      </c>
      <c r="AM182" s="104" t="s">
        <v>1176</v>
      </c>
      <c r="AN182" s="104" t="s">
        <v>1176</v>
      </c>
      <c r="AO182" s="104" t="s">
        <v>1176</v>
      </c>
      <c r="AP182" s="104" t="s">
        <v>1176</v>
      </c>
      <c r="AQ182" s="104" t="s">
        <v>1176</v>
      </c>
      <c r="AR182" s="104" t="s">
        <v>1176</v>
      </c>
      <c r="AS182" s="104" t="s">
        <v>1176</v>
      </c>
      <c r="AT182" s="104" t="s">
        <v>1176</v>
      </c>
      <c r="AU182" s="104" t="s">
        <v>1176</v>
      </c>
      <c r="AV182" s="104" t="s">
        <v>1176</v>
      </c>
      <c r="AW182" s="104" t="s">
        <v>1176</v>
      </c>
      <c r="AX182" s="104" t="s">
        <v>1176</v>
      </c>
      <c r="AY182" s="104" t="s">
        <v>1176</v>
      </c>
      <c r="AZ182" s="104" t="s">
        <v>1176</v>
      </c>
      <c r="BA182" s="104" t="s">
        <v>1176</v>
      </c>
      <c r="BB182" s="104" t="s">
        <v>1176</v>
      </c>
      <c r="BC182" s="104" t="s">
        <v>1176</v>
      </c>
      <c r="BD182" s="104" t="s">
        <v>1176</v>
      </c>
      <c r="BE182" s="104" t="s">
        <v>1176</v>
      </c>
      <c r="BF182" s="104" t="s">
        <v>1176</v>
      </c>
      <c r="BG182" s="104" t="s">
        <v>1176</v>
      </c>
      <c r="BH182" s="104" t="s">
        <v>1176</v>
      </c>
      <c r="BI182" s="104" t="s">
        <v>1176</v>
      </c>
      <c r="BJ182" s="104" t="s">
        <v>1176</v>
      </c>
      <c r="BK182" s="104" t="s">
        <v>1176</v>
      </c>
      <c r="BL182" s="104" t="s">
        <v>1176</v>
      </c>
      <c r="BM182" s="104" t="s">
        <v>1176</v>
      </c>
      <c r="BN182" s="104" t="s">
        <v>1176</v>
      </c>
      <c r="BO182" s="104" t="s">
        <v>1176</v>
      </c>
      <c r="BP182" s="104" t="s">
        <v>1176</v>
      </c>
      <c r="BQ182" s="104" t="s">
        <v>1176</v>
      </c>
      <c r="BR182" s="104" t="s">
        <v>1176</v>
      </c>
      <c r="BS182" s="104" t="s">
        <v>1176</v>
      </c>
      <c r="BT182" s="104" t="s">
        <v>1176</v>
      </c>
      <c r="BU182" s="104" t="s">
        <v>1176</v>
      </c>
      <c r="BV182" s="104" t="s">
        <v>1176</v>
      </c>
      <c r="BW182" s="104" t="s">
        <v>1176</v>
      </c>
      <c r="BX182" s="104" t="s">
        <v>1176</v>
      </c>
      <c r="BY182" s="104" t="s">
        <v>1176</v>
      </c>
      <c r="BZ182" s="104" t="s">
        <v>1176</v>
      </c>
      <c r="CA182" s="104" t="s">
        <v>1176</v>
      </c>
      <c r="CB182" s="104" t="s">
        <v>1176</v>
      </c>
      <c r="CC182" s="104" t="s">
        <v>1176</v>
      </c>
      <c r="CD182" s="104" t="s">
        <v>1176</v>
      </c>
      <c r="CE182" s="104" t="s">
        <v>1176</v>
      </c>
      <c r="CF182" s="104" t="s">
        <v>1176</v>
      </c>
      <c r="CG182" s="104" t="s">
        <v>1176</v>
      </c>
      <c r="CH182" s="104" t="s">
        <v>1176</v>
      </c>
      <c r="CI182" s="104" t="s">
        <v>1176</v>
      </c>
      <c r="CJ182" s="104" t="s">
        <v>1176</v>
      </c>
      <c r="CK182" s="104" t="s">
        <v>1176</v>
      </c>
      <c r="CL182" s="104" t="s">
        <v>1176</v>
      </c>
      <c r="CM182" s="104" t="s">
        <v>1176</v>
      </c>
      <c r="CN182" s="104" t="s">
        <v>1176</v>
      </c>
      <c r="CO182" s="104" t="s">
        <v>1176</v>
      </c>
    </row>
    <row r="183" s="102" customFormat="1" ht="15" spans="1:93">
      <c r="A183" s="104" t="s">
        <v>1201</v>
      </c>
      <c r="B183" s="104" t="s">
        <v>1146</v>
      </c>
      <c r="C183" s="104" t="s">
        <v>1147</v>
      </c>
      <c r="D183" s="104" t="s">
        <v>2680</v>
      </c>
      <c r="E183" s="104" t="s">
        <v>2681</v>
      </c>
      <c r="F183" s="104">
        <f t="shared" si="2"/>
        <v>2073</v>
      </c>
      <c r="G183" s="104" t="s">
        <v>1365</v>
      </c>
      <c r="H183" s="104" t="s">
        <v>1176</v>
      </c>
      <c r="I183" s="104" t="s">
        <v>1176</v>
      </c>
      <c r="J183" s="104" t="s">
        <v>1176</v>
      </c>
      <c r="K183" s="104" t="s">
        <v>1176</v>
      </c>
      <c r="L183" s="104" t="s">
        <v>1311</v>
      </c>
      <c r="M183" s="104" t="s">
        <v>2682</v>
      </c>
      <c r="N183" s="104" t="s">
        <v>1212</v>
      </c>
      <c r="O183" s="104" t="s">
        <v>1176</v>
      </c>
      <c r="P183" s="104" t="s">
        <v>1176</v>
      </c>
      <c r="Q183" s="104" t="s">
        <v>1176</v>
      </c>
      <c r="R183" s="104" t="s">
        <v>1176</v>
      </c>
      <c r="S183" s="104" t="s">
        <v>1176</v>
      </c>
      <c r="T183" s="104" t="s">
        <v>1176</v>
      </c>
      <c r="U183" s="104" t="s">
        <v>1187</v>
      </c>
      <c r="V183" s="104" t="s">
        <v>1723</v>
      </c>
      <c r="W183" s="104" t="s">
        <v>1176</v>
      </c>
      <c r="X183" s="104" t="s">
        <v>1176</v>
      </c>
      <c r="Y183" s="104" t="s">
        <v>1176</v>
      </c>
      <c r="Z183" s="104" t="s">
        <v>1176</v>
      </c>
      <c r="AA183" s="104" t="s">
        <v>1176</v>
      </c>
      <c r="AB183" s="104" t="s">
        <v>1176</v>
      </c>
      <c r="AC183" s="104" t="s">
        <v>1176</v>
      </c>
      <c r="AD183" s="104" t="s">
        <v>1176</v>
      </c>
      <c r="AE183" s="104" t="s">
        <v>1176</v>
      </c>
      <c r="AF183" s="104" t="s">
        <v>1176</v>
      </c>
      <c r="AG183" s="104" t="s">
        <v>1176</v>
      </c>
      <c r="AH183" s="104" t="s">
        <v>1176</v>
      </c>
      <c r="AI183" s="104" t="s">
        <v>1176</v>
      </c>
      <c r="AJ183" s="104" t="s">
        <v>1176</v>
      </c>
      <c r="AK183" s="104" t="s">
        <v>1176</v>
      </c>
      <c r="AL183" s="104" t="s">
        <v>1176</v>
      </c>
      <c r="AM183" s="104" t="s">
        <v>1176</v>
      </c>
      <c r="AN183" s="104" t="s">
        <v>1176</v>
      </c>
      <c r="AO183" s="104" t="s">
        <v>1176</v>
      </c>
      <c r="AP183" s="104" t="s">
        <v>1176</v>
      </c>
      <c r="AQ183" s="104" t="s">
        <v>1176</v>
      </c>
      <c r="AR183" s="104" t="s">
        <v>1176</v>
      </c>
      <c r="AS183" s="104" t="s">
        <v>1176</v>
      </c>
      <c r="AT183" s="104" t="s">
        <v>1176</v>
      </c>
      <c r="AU183" s="104" t="s">
        <v>1176</v>
      </c>
      <c r="AV183" s="104" t="s">
        <v>1176</v>
      </c>
      <c r="AW183" s="104" t="s">
        <v>1176</v>
      </c>
      <c r="AX183" s="104" t="s">
        <v>1176</v>
      </c>
      <c r="AY183" s="104" t="s">
        <v>1176</v>
      </c>
      <c r="AZ183" s="104" t="s">
        <v>1176</v>
      </c>
      <c r="BA183" s="104" t="s">
        <v>1176</v>
      </c>
      <c r="BB183" s="104" t="s">
        <v>1176</v>
      </c>
      <c r="BC183" s="104" t="s">
        <v>1176</v>
      </c>
      <c r="BD183" s="104" t="s">
        <v>1176</v>
      </c>
      <c r="BE183" s="104" t="s">
        <v>1176</v>
      </c>
      <c r="BF183" s="104" t="s">
        <v>1176</v>
      </c>
      <c r="BG183" s="104" t="s">
        <v>2250</v>
      </c>
      <c r="BH183" s="104" t="s">
        <v>2250</v>
      </c>
      <c r="BI183" s="104" t="s">
        <v>1742</v>
      </c>
      <c r="BJ183" s="104" t="s">
        <v>1176</v>
      </c>
      <c r="BK183" s="104" t="s">
        <v>1176</v>
      </c>
      <c r="BL183" s="104" t="s">
        <v>1176</v>
      </c>
      <c r="BM183" s="104" t="s">
        <v>1176</v>
      </c>
      <c r="BN183" s="104" t="s">
        <v>2250</v>
      </c>
      <c r="BO183" s="104" t="s">
        <v>1742</v>
      </c>
      <c r="BP183" s="104" t="s">
        <v>1176</v>
      </c>
      <c r="BQ183" s="104" t="s">
        <v>1176</v>
      </c>
      <c r="BR183" s="104" t="s">
        <v>1176</v>
      </c>
      <c r="BS183" s="104" t="s">
        <v>1176</v>
      </c>
      <c r="BT183" s="104" t="s">
        <v>1176</v>
      </c>
      <c r="BU183" s="104" t="s">
        <v>1176</v>
      </c>
      <c r="BV183" s="104" t="s">
        <v>1176</v>
      </c>
      <c r="BW183" s="104" t="s">
        <v>1176</v>
      </c>
      <c r="BX183" s="104" t="s">
        <v>1176</v>
      </c>
      <c r="BY183" s="104" t="s">
        <v>1176</v>
      </c>
      <c r="BZ183" s="104" t="s">
        <v>1176</v>
      </c>
      <c r="CA183" s="104" t="s">
        <v>1176</v>
      </c>
      <c r="CB183" s="104" t="s">
        <v>1176</v>
      </c>
      <c r="CC183" s="104" t="s">
        <v>1176</v>
      </c>
      <c r="CD183" s="104" t="s">
        <v>1176</v>
      </c>
      <c r="CE183" s="104" t="s">
        <v>1176</v>
      </c>
      <c r="CF183" s="104" t="s">
        <v>1176</v>
      </c>
      <c r="CG183" s="104" t="s">
        <v>1176</v>
      </c>
      <c r="CH183" s="104" t="s">
        <v>1176</v>
      </c>
      <c r="CI183" s="104" t="s">
        <v>1176</v>
      </c>
      <c r="CJ183" s="104" t="s">
        <v>1176</v>
      </c>
      <c r="CK183" s="104" t="s">
        <v>1176</v>
      </c>
      <c r="CL183" s="104" t="s">
        <v>1176</v>
      </c>
      <c r="CM183" s="104" t="s">
        <v>1176</v>
      </c>
      <c r="CN183" s="104" t="s">
        <v>1176</v>
      </c>
      <c r="CO183" s="104" t="s">
        <v>1176</v>
      </c>
    </row>
    <row r="184" s="102" customFormat="1" ht="15" spans="1:93">
      <c r="A184" s="104" t="s">
        <v>1243</v>
      </c>
      <c r="B184" s="104" t="s">
        <v>1146</v>
      </c>
      <c r="C184" s="104" t="s">
        <v>1147</v>
      </c>
      <c r="D184" s="104" t="s">
        <v>2683</v>
      </c>
      <c r="E184" s="104" t="s">
        <v>2684</v>
      </c>
      <c r="F184" s="104">
        <f t="shared" si="2"/>
        <v>855</v>
      </c>
      <c r="G184" s="104" t="s">
        <v>1762</v>
      </c>
      <c r="H184" s="104" t="s">
        <v>1176</v>
      </c>
      <c r="I184" s="104" t="s">
        <v>1176</v>
      </c>
      <c r="J184" s="104" t="s">
        <v>1176</v>
      </c>
      <c r="K184" s="104" t="s">
        <v>1176</v>
      </c>
      <c r="L184" s="104" t="s">
        <v>1182</v>
      </c>
      <c r="M184" s="104" t="s">
        <v>2685</v>
      </c>
      <c r="N184" s="104" t="s">
        <v>1232</v>
      </c>
      <c r="O184" s="104" t="s">
        <v>1176</v>
      </c>
      <c r="P184" s="104" t="s">
        <v>1176</v>
      </c>
      <c r="Q184" s="104" t="s">
        <v>1176</v>
      </c>
      <c r="R184" s="104" t="s">
        <v>1176</v>
      </c>
      <c r="S184" s="104" t="s">
        <v>1176</v>
      </c>
      <c r="T184" s="104" t="s">
        <v>1176</v>
      </c>
      <c r="U184" s="104" t="s">
        <v>1172</v>
      </c>
      <c r="V184" s="104" t="s">
        <v>2474</v>
      </c>
      <c r="W184" s="104" t="s">
        <v>1176</v>
      </c>
      <c r="X184" s="104" t="s">
        <v>1187</v>
      </c>
      <c r="Y184" s="104" t="s">
        <v>1172</v>
      </c>
      <c r="Z184" s="104" t="s">
        <v>1172</v>
      </c>
      <c r="AA184" s="104" t="s">
        <v>1176</v>
      </c>
      <c r="AB184" s="104" t="s">
        <v>1176</v>
      </c>
      <c r="AC184" s="104" t="s">
        <v>1176</v>
      </c>
      <c r="AD184" s="104" t="s">
        <v>1176</v>
      </c>
      <c r="AE184" s="104" t="s">
        <v>1176</v>
      </c>
      <c r="AF184" s="104" t="s">
        <v>1176</v>
      </c>
      <c r="AG184" s="104" t="s">
        <v>1176</v>
      </c>
      <c r="AH184" s="104" t="s">
        <v>1176</v>
      </c>
      <c r="AI184" s="104" t="s">
        <v>1172</v>
      </c>
      <c r="AJ184" s="104" t="s">
        <v>1172</v>
      </c>
      <c r="AK184" s="104" t="s">
        <v>1176</v>
      </c>
      <c r="AL184" s="104" t="s">
        <v>1176</v>
      </c>
      <c r="AM184" s="104" t="s">
        <v>1176</v>
      </c>
      <c r="AN184" s="104" t="s">
        <v>1176</v>
      </c>
      <c r="AO184" s="104" t="s">
        <v>1176</v>
      </c>
      <c r="AP184" s="104" t="s">
        <v>1176</v>
      </c>
      <c r="AQ184" s="104" t="s">
        <v>1176</v>
      </c>
      <c r="AR184" s="104" t="s">
        <v>1176</v>
      </c>
      <c r="AS184" s="104" t="s">
        <v>1176</v>
      </c>
      <c r="AT184" s="104" t="s">
        <v>1176</v>
      </c>
      <c r="AU184" s="104" t="s">
        <v>1176</v>
      </c>
      <c r="AV184" s="104" t="s">
        <v>1176</v>
      </c>
      <c r="AW184" s="104" t="s">
        <v>1176</v>
      </c>
      <c r="AX184" s="104" t="s">
        <v>1176</v>
      </c>
      <c r="AY184" s="104" t="s">
        <v>1176</v>
      </c>
      <c r="AZ184" s="104" t="s">
        <v>1176</v>
      </c>
      <c r="BA184" s="104" t="s">
        <v>1176</v>
      </c>
      <c r="BB184" s="104" t="s">
        <v>1176</v>
      </c>
      <c r="BC184" s="104" t="s">
        <v>1176</v>
      </c>
      <c r="BD184" s="104" t="s">
        <v>1176</v>
      </c>
      <c r="BE184" s="104" t="s">
        <v>1176</v>
      </c>
      <c r="BF184" s="104" t="s">
        <v>1176</v>
      </c>
      <c r="BG184" s="104" t="s">
        <v>1472</v>
      </c>
      <c r="BH184" s="104" t="s">
        <v>1472</v>
      </c>
      <c r="BI184" s="104" t="s">
        <v>1583</v>
      </c>
      <c r="BJ184" s="104" t="s">
        <v>1176</v>
      </c>
      <c r="BK184" s="104" t="s">
        <v>1176</v>
      </c>
      <c r="BL184" s="104" t="s">
        <v>1176</v>
      </c>
      <c r="BM184" s="104" t="s">
        <v>1176</v>
      </c>
      <c r="BN184" s="104" t="s">
        <v>1176</v>
      </c>
      <c r="BO184" s="104" t="s">
        <v>1176</v>
      </c>
      <c r="BP184" s="104" t="s">
        <v>1176</v>
      </c>
      <c r="BQ184" s="104" t="s">
        <v>1176</v>
      </c>
      <c r="BR184" s="104" t="s">
        <v>1176</v>
      </c>
      <c r="BS184" s="104" t="s">
        <v>1176</v>
      </c>
      <c r="BT184" s="104" t="s">
        <v>1472</v>
      </c>
      <c r="BU184" s="104" t="s">
        <v>1583</v>
      </c>
      <c r="BV184" s="104" t="s">
        <v>1176</v>
      </c>
      <c r="BW184" s="104" t="s">
        <v>1176</v>
      </c>
      <c r="BX184" s="104" t="s">
        <v>1176</v>
      </c>
      <c r="BY184" s="104" t="s">
        <v>1176</v>
      </c>
      <c r="BZ184" s="104" t="s">
        <v>1176</v>
      </c>
      <c r="CA184" s="104" t="s">
        <v>1176</v>
      </c>
      <c r="CB184" s="104" t="s">
        <v>1176</v>
      </c>
      <c r="CC184" s="104" t="s">
        <v>1176</v>
      </c>
      <c r="CD184" s="104" t="s">
        <v>1176</v>
      </c>
      <c r="CE184" s="104" t="s">
        <v>1176</v>
      </c>
      <c r="CF184" s="104" t="s">
        <v>1176</v>
      </c>
      <c r="CG184" s="104" t="s">
        <v>1176</v>
      </c>
      <c r="CH184" s="104" t="s">
        <v>1176</v>
      </c>
      <c r="CI184" s="104" t="s">
        <v>1176</v>
      </c>
      <c r="CJ184" s="104" t="s">
        <v>1176</v>
      </c>
      <c r="CK184" s="104" t="s">
        <v>1176</v>
      </c>
      <c r="CL184" s="104" t="s">
        <v>1176</v>
      </c>
      <c r="CM184" s="104" t="s">
        <v>1176</v>
      </c>
      <c r="CN184" s="104" t="s">
        <v>1176</v>
      </c>
      <c r="CO184" s="104" t="s">
        <v>1176</v>
      </c>
    </row>
    <row r="185" s="102" customFormat="1" ht="15" spans="1:93">
      <c r="A185" s="104" t="s">
        <v>1218</v>
      </c>
      <c r="B185" s="104" t="s">
        <v>1146</v>
      </c>
      <c r="C185" s="104" t="s">
        <v>1147</v>
      </c>
      <c r="D185" s="104" t="s">
        <v>2686</v>
      </c>
      <c r="E185" s="104" t="s">
        <v>2687</v>
      </c>
      <c r="F185" s="104">
        <f t="shared" si="2"/>
        <v>492</v>
      </c>
      <c r="G185" s="104" t="s">
        <v>1750</v>
      </c>
      <c r="H185" s="104" t="s">
        <v>1176</v>
      </c>
      <c r="I185" s="104" t="s">
        <v>1176</v>
      </c>
      <c r="J185" s="104" t="s">
        <v>1176</v>
      </c>
      <c r="K185" s="104" t="s">
        <v>1176</v>
      </c>
      <c r="L185" s="104" t="s">
        <v>1223</v>
      </c>
      <c r="M185" s="104" t="s">
        <v>2688</v>
      </c>
      <c r="N185" s="104" t="s">
        <v>1180</v>
      </c>
      <c r="O185" s="104" t="s">
        <v>1176</v>
      </c>
      <c r="P185" s="104" t="s">
        <v>1176</v>
      </c>
      <c r="Q185" s="104" t="s">
        <v>1176</v>
      </c>
      <c r="R185" s="104" t="s">
        <v>1176</v>
      </c>
      <c r="S185" s="104" t="s">
        <v>1176</v>
      </c>
      <c r="T185" s="104" t="s">
        <v>1176</v>
      </c>
      <c r="U185" s="104" t="s">
        <v>1172</v>
      </c>
      <c r="V185" s="104" t="s">
        <v>1418</v>
      </c>
      <c r="W185" s="104" t="s">
        <v>1176</v>
      </c>
      <c r="X185" s="104" t="s">
        <v>2689</v>
      </c>
      <c r="Y185" s="104" t="s">
        <v>1897</v>
      </c>
      <c r="Z185" s="104" t="s">
        <v>2690</v>
      </c>
      <c r="AA185" s="104" t="s">
        <v>1176</v>
      </c>
      <c r="AB185" s="104" t="s">
        <v>1176</v>
      </c>
      <c r="AC185" s="104" t="s">
        <v>1176</v>
      </c>
      <c r="AD185" s="104" t="s">
        <v>1176</v>
      </c>
      <c r="AE185" s="104" t="s">
        <v>1176</v>
      </c>
      <c r="AF185" s="104" t="s">
        <v>1176</v>
      </c>
      <c r="AG185" s="104" t="s">
        <v>1176</v>
      </c>
      <c r="AH185" s="104" t="s">
        <v>1176</v>
      </c>
      <c r="AI185" s="104" t="s">
        <v>1176</v>
      </c>
      <c r="AJ185" s="104" t="s">
        <v>1176</v>
      </c>
      <c r="AK185" s="104" t="s">
        <v>1897</v>
      </c>
      <c r="AL185" s="104" t="s">
        <v>2690</v>
      </c>
      <c r="AM185" s="104" t="s">
        <v>1176</v>
      </c>
      <c r="AN185" s="104" t="s">
        <v>1176</v>
      </c>
      <c r="AO185" s="104" t="s">
        <v>1176</v>
      </c>
      <c r="AP185" s="104" t="s">
        <v>1176</v>
      </c>
      <c r="AQ185" s="104" t="s">
        <v>1176</v>
      </c>
      <c r="AR185" s="104" t="s">
        <v>1176</v>
      </c>
      <c r="AS185" s="104" t="s">
        <v>1176</v>
      </c>
      <c r="AT185" s="104" t="s">
        <v>1176</v>
      </c>
      <c r="AU185" s="104" t="s">
        <v>1176</v>
      </c>
      <c r="AV185" s="104" t="s">
        <v>1176</v>
      </c>
      <c r="AW185" s="104" t="s">
        <v>1176</v>
      </c>
      <c r="AX185" s="104" t="s">
        <v>1176</v>
      </c>
      <c r="AY185" s="104" t="s">
        <v>1176</v>
      </c>
      <c r="AZ185" s="104" t="s">
        <v>1176</v>
      </c>
      <c r="BA185" s="104" t="s">
        <v>1176</v>
      </c>
      <c r="BB185" s="104" t="s">
        <v>1176</v>
      </c>
      <c r="BC185" s="104" t="s">
        <v>1176</v>
      </c>
      <c r="BD185" s="104" t="s">
        <v>1176</v>
      </c>
      <c r="BE185" s="104" t="s">
        <v>1176</v>
      </c>
      <c r="BF185" s="104" t="s">
        <v>1176</v>
      </c>
      <c r="BG185" s="104" t="s">
        <v>1187</v>
      </c>
      <c r="BH185" s="104" t="s">
        <v>1187</v>
      </c>
      <c r="BI185" s="104" t="s">
        <v>1591</v>
      </c>
      <c r="BJ185" s="104" t="s">
        <v>1176</v>
      </c>
      <c r="BK185" s="104" t="s">
        <v>1176</v>
      </c>
      <c r="BL185" s="104" t="s">
        <v>1176</v>
      </c>
      <c r="BM185" s="104" t="s">
        <v>1176</v>
      </c>
      <c r="BN185" s="104" t="s">
        <v>1176</v>
      </c>
      <c r="BO185" s="104" t="s">
        <v>1176</v>
      </c>
      <c r="BP185" s="104" t="s">
        <v>1176</v>
      </c>
      <c r="BQ185" s="104" t="s">
        <v>1176</v>
      </c>
      <c r="BR185" s="104" t="s">
        <v>1176</v>
      </c>
      <c r="BS185" s="104" t="s">
        <v>1176</v>
      </c>
      <c r="BT185" s="104" t="s">
        <v>1187</v>
      </c>
      <c r="BU185" s="104" t="s">
        <v>1591</v>
      </c>
      <c r="BV185" s="104" t="s">
        <v>1176</v>
      </c>
      <c r="BW185" s="104" t="s">
        <v>1176</v>
      </c>
      <c r="BX185" s="104" t="s">
        <v>1176</v>
      </c>
      <c r="BY185" s="104" t="s">
        <v>1176</v>
      </c>
      <c r="BZ185" s="104" t="s">
        <v>1176</v>
      </c>
      <c r="CA185" s="104" t="s">
        <v>1176</v>
      </c>
      <c r="CB185" s="104" t="s">
        <v>1176</v>
      </c>
      <c r="CC185" s="104" t="s">
        <v>1176</v>
      </c>
      <c r="CD185" s="104" t="s">
        <v>1176</v>
      </c>
      <c r="CE185" s="104" t="s">
        <v>1176</v>
      </c>
      <c r="CF185" s="104" t="s">
        <v>1176</v>
      </c>
      <c r="CG185" s="104" t="s">
        <v>1176</v>
      </c>
      <c r="CH185" s="104" t="s">
        <v>1176</v>
      </c>
      <c r="CI185" s="104" t="s">
        <v>1176</v>
      </c>
      <c r="CJ185" s="104" t="s">
        <v>1176</v>
      </c>
      <c r="CK185" s="104" t="s">
        <v>1176</v>
      </c>
      <c r="CL185" s="104" t="s">
        <v>1176</v>
      </c>
      <c r="CM185" s="104" t="s">
        <v>1176</v>
      </c>
      <c r="CN185" s="104" t="s">
        <v>1176</v>
      </c>
      <c r="CO185" s="104" t="s">
        <v>1176</v>
      </c>
    </row>
    <row r="186" s="102" customFormat="1" ht="15" spans="1:93">
      <c r="A186" s="104" t="s">
        <v>1238</v>
      </c>
      <c r="B186" s="104" t="s">
        <v>1146</v>
      </c>
      <c r="C186" s="104" t="s">
        <v>1147</v>
      </c>
      <c r="D186" s="104" t="s">
        <v>2691</v>
      </c>
      <c r="E186" s="104" t="s">
        <v>2692</v>
      </c>
      <c r="F186" s="104">
        <f t="shared" si="2"/>
        <v>3396</v>
      </c>
      <c r="G186" s="104" t="s">
        <v>2693</v>
      </c>
      <c r="H186" s="104" t="s">
        <v>1176</v>
      </c>
      <c r="I186" s="104" t="s">
        <v>1176</v>
      </c>
      <c r="J186" s="104" t="s">
        <v>1176</v>
      </c>
      <c r="K186" s="104" t="s">
        <v>1176</v>
      </c>
      <c r="L186" s="104" t="s">
        <v>1629</v>
      </c>
      <c r="M186" s="104" t="s">
        <v>2694</v>
      </c>
      <c r="N186" s="104" t="s">
        <v>1243</v>
      </c>
      <c r="O186" s="104" t="s">
        <v>1176</v>
      </c>
      <c r="P186" s="104" t="s">
        <v>1172</v>
      </c>
      <c r="Q186" s="104" t="s">
        <v>1176</v>
      </c>
      <c r="R186" s="104" t="s">
        <v>1176</v>
      </c>
      <c r="S186" s="104" t="s">
        <v>1176</v>
      </c>
      <c r="T186" s="104" t="s">
        <v>1176</v>
      </c>
      <c r="U186" s="104" t="s">
        <v>1232</v>
      </c>
      <c r="V186" s="104" t="s">
        <v>2390</v>
      </c>
      <c r="W186" s="104" t="s">
        <v>1176</v>
      </c>
      <c r="X186" s="104" t="s">
        <v>2695</v>
      </c>
      <c r="Y186" s="104" t="s">
        <v>2415</v>
      </c>
      <c r="Z186" s="104" t="s">
        <v>2696</v>
      </c>
      <c r="AA186" s="104" t="s">
        <v>1176</v>
      </c>
      <c r="AB186" s="104" t="s">
        <v>1176</v>
      </c>
      <c r="AC186" s="104" t="s">
        <v>1354</v>
      </c>
      <c r="AD186" s="104" t="s">
        <v>1355</v>
      </c>
      <c r="AE186" s="104" t="s">
        <v>1176</v>
      </c>
      <c r="AF186" s="104" t="s">
        <v>1176</v>
      </c>
      <c r="AG186" s="104" t="s">
        <v>1176</v>
      </c>
      <c r="AH186" s="104" t="s">
        <v>1176</v>
      </c>
      <c r="AI186" s="104" t="s">
        <v>1179</v>
      </c>
      <c r="AJ186" s="104" t="s">
        <v>2697</v>
      </c>
      <c r="AK186" s="104" t="s">
        <v>2380</v>
      </c>
      <c r="AL186" s="104" t="s">
        <v>2698</v>
      </c>
      <c r="AM186" s="104" t="s">
        <v>1176</v>
      </c>
      <c r="AN186" s="104" t="s">
        <v>1179</v>
      </c>
      <c r="AO186" s="104" t="s">
        <v>1176</v>
      </c>
      <c r="AP186" s="104" t="s">
        <v>1176</v>
      </c>
      <c r="AQ186" s="104" t="s">
        <v>1176</v>
      </c>
      <c r="AR186" s="104" t="s">
        <v>1176</v>
      </c>
      <c r="AS186" s="104" t="s">
        <v>1176</v>
      </c>
      <c r="AT186" s="104" t="s">
        <v>1176</v>
      </c>
      <c r="AU186" s="104" t="s">
        <v>1176</v>
      </c>
      <c r="AV186" s="104" t="s">
        <v>1176</v>
      </c>
      <c r="AW186" s="104" t="s">
        <v>1176</v>
      </c>
      <c r="AX186" s="104" t="s">
        <v>1176</v>
      </c>
      <c r="AY186" s="104" t="s">
        <v>1176</v>
      </c>
      <c r="AZ186" s="104" t="s">
        <v>1176</v>
      </c>
      <c r="BA186" s="104" t="s">
        <v>1176</v>
      </c>
      <c r="BB186" s="104" t="s">
        <v>1176</v>
      </c>
      <c r="BC186" s="104" t="s">
        <v>1176</v>
      </c>
      <c r="BD186" s="104" t="s">
        <v>1176</v>
      </c>
      <c r="BE186" s="104" t="s">
        <v>1176</v>
      </c>
      <c r="BF186" s="104" t="s">
        <v>1176</v>
      </c>
      <c r="BG186" s="104" t="s">
        <v>2227</v>
      </c>
      <c r="BH186" s="104" t="s">
        <v>2227</v>
      </c>
      <c r="BI186" s="104" t="s">
        <v>2699</v>
      </c>
      <c r="BJ186" s="104" t="s">
        <v>1188</v>
      </c>
      <c r="BK186" s="104" t="s">
        <v>1187</v>
      </c>
      <c r="BL186" s="104" t="s">
        <v>1176</v>
      </c>
      <c r="BM186" s="104" t="s">
        <v>1176</v>
      </c>
      <c r="BN186" s="104" t="s">
        <v>1830</v>
      </c>
      <c r="BO186" s="104" t="s">
        <v>1830</v>
      </c>
      <c r="BP186" s="104" t="s">
        <v>1176</v>
      </c>
      <c r="BQ186" s="104" t="s">
        <v>1176</v>
      </c>
      <c r="BR186" s="104" t="s">
        <v>1176</v>
      </c>
      <c r="BS186" s="104" t="s">
        <v>1176</v>
      </c>
      <c r="BT186" s="104" t="s">
        <v>1897</v>
      </c>
      <c r="BU186" s="104" t="s">
        <v>1699</v>
      </c>
      <c r="BV186" s="104" t="s">
        <v>1176</v>
      </c>
      <c r="BW186" s="104" t="s">
        <v>1176</v>
      </c>
      <c r="BX186" s="104" t="s">
        <v>1201</v>
      </c>
      <c r="BY186" s="104" t="s">
        <v>2243</v>
      </c>
      <c r="BZ186" s="104" t="s">
        <v>1176</v>
      </c>
      <c r="CA186" s="104" t="s">
        <v>1176</v>
      </c>
      <c r="CB186" s="104" t="s">
        <v>1176</v>
      </c>
      <c r="CC186" s="104" t="s">
        <v>1176</v>
      </c>
      <c r="CD186" s="104" t="s">
        <v>1176</v>
      </c>
      <c r="CE186" s="104" t="s">
        <v>1176</v>
      </c>
      <c r="CF186" s="104" t="s">
        <v>1176</v>
      </c>
      <c r="CG186" s="104" t="s">
        <v>1176</v>
      </c>
      <c r="CH186" s="104" t="s">
        <v>1176</v>
      </c>
      <c r="CI186" s="104" t="s">
        <v>1176</v>
      </c>
      <c r="CJ186" s="104" t="s">
        <v>1172</v>
      </c>
      <c r="CK186" s="104" t="s">
        <v>1172</v>
      </c>
      <c r="CL186" s="104" t="s">
        <v>1176</v>
      </c>
      <c r="CM186" s="104" t="s">
        <v>1176</v>
      </c>
      <c r="CN186" s="104" t="s">
        <v>1176</v>
      </c>
      <c r="CO186" s="104" t="s">
        <v>1176</v>
      </c>
    </row>
    <row r="187" s="102" customFormat="1" ht="15" spans="1:93">
      <c r="A187" s="104" t="s">
        <v>1196</v>
      </c>
      <c r="B187" s="104" t="s">
        <v>1146</v>
      </c>
      <c r="C187" s="104" t="s">
        <v>1147</v>
      </c>
      <c r="D187" s="104" t="s">
        <v>2700</v>
      </c>
      <c r="E187" s="104" t="s">
        <v>2701</v>
      </c>
      <c r="F187" s="104">
        <f t="shared" ref="F187:F226" si="3">G187+Y187+BH187</f>
        <v>1980</v>
      </c>
      <c r="G187" s="104" t="s">
        <v>2702</v>
      </c>
      <c r="H187" s="104" t="s">
        <v>1176</v>
      </c>
      <c r="I187" s="104" t="s">
        <v>1176</v>
      </c>
      <c r="J187" s="104" t="s">
        <v>1176</v>
      </c>
      <c r="K187" s="104" t="s">
        <v>1176</v>
      </c>
      <c r="L187" s="104" t="s">
        <v>2027</v>
      </c>
      <c r="M187" s="104" t="s">
        <v>1175</v>
      </c>
      <c r="N187" s="104" t="s">
        <v>1180</v>
      </c>
      <c r="O187" s="104" t="s">
        <v>1176</v>
      </c>
      <c r="P187" s="104" t="s">
        <v>1172</v>
      </c>
      <c r="Q187" s="104" t="s">
        <v>1176</v>
      </c>
      <c r="R187" s="104" t="s">
        <v>1176</v>
      </c>
      <c r="S187" s="104" t="s">
        <v>1176</v>
      </c>
      <c r="T187" s="104" t="s">
        <v>1176</v>
      </c>
      <c r="U187" s="104" t="s">
        <v>1176</v>
      </c>
      <c r="V187" s="104" t="s">
        <v>1400</v>
      </c>
      <c r="W187" s="104" t="s">
        <v>1176</v>
      </c>
      <c r="X187" s="104" t="s">
        <v>2703</v>
      </c>
      <c r="Y187" s="104" t="s">
        <v>1288</v>
      </c>
      <c r="Z187" s="104" t="s">
        <v>2704</v>
      </c>
      <c r="AA187" s="104" t="s">
        <v>1176</v>
      </c>
      <c r="AB187" s="104" t="s">
        <v>1176</v>
      </c>
      <c r="AC187" s="104" t="s">
        <v>1187</v>
      </c>
      <c r="AD187" s="104" t="s">
        <v>1276</v>
      </c>
      <c r="AE187" s="104" t="s">
        <v>1176</v>
      </c>
      <c r="AF187" s="104" t="s">
        <v>1176</v>
      </c>
      <c r="AG187" s="104" t="s">
        <v>1176</v>
      </c>
      <c r="AH187" s="104" t="s">
        <v>1176</v>
      </c>
      <c r="AI187" s="104" t="s">
        <v>1591</v>
      </c>
      <c r="AJ187" s="104" t="s">
        <v>1891</v>
      </c>
      <c r="AK187" s="104" t="s">
        <v>2705</v>
      </c>
      <c r="AL187" s="104" t="s">
        <v>2706</v>
      </c>
      <c r="AM187" s="104" t="s">
        <v>1176</v>
      </c>
      <c r="AN187" s="104" t="s">
        <v>1172</v>
      </c>
      <c r="AO187" s="104" t="s">
        <v>1176</v>
      </c>
      <c r="AP187" s="104" t="s">
        <v>1176</v>
      </c>
      <c r="AQ187" s="104" t="s">
        <v>1176</v>
      </c>
      <c r="AR187" s="104" t="s">
        <v>1176</v>
      </c>
      <c r="AS187" s="104" t="s">
        <v>1176</v>
      </c>
      <c r="AT187" s="104" t="s">
        <v>1176</v>
      </c>
      <c r="AU187" s="104" t="s">
        <v>1176</v>
      </c>
      <c r="AV187" s="104" t="s">
        <v>1176</v>
      </c>
      <c r="AW187" s="104" t="s">
        <v>1176</v>
      </c>
      <c r="AX187" s="104" t="s">
        <v>1176</v>
      </c>
      <c r="AY187" s="104" t="s">
        <v>1176</v>
      </c>
      <c r="AZ187" s="104" t="s">
        <v>1176</v>
      </c>
      <c r="BA187" s="104" t="s">
        <v>1176</v>
      </c>
      <c r="BB187" s="104" t="s">
        <v>1176</v>
      </c>
      <c r="BC187" s="104" t="s">
        <v>1176</v>
      </c>
      <c r="BD187" s="104" t="s">
        <v>1176</v>
      </c>
      <c r="BE187" s="104" t="s">
        <v>1176</v>
      </c>
      <c r="BF187" s="104" t="s">
        <v>1176</v>
      </c>
      <c r="BG187" s="104" t="s">
        <v>1601</v>
      </c>
      <c r="BH187" s="104" t="s">
        <v>1601</v>
      </c>
      <c r="BI187" s="104" t="s">
        <v>1842</v>
      </c>
      <c r="BJ187" s="104" t="s">
        <v>1172</v>
      </c>
      <c r="BK187" s="104" t="s">
        <v>1176</v>
      </c>
      <c r="BL187" s="104" t="s">
        <v>1176</v>
      </c>
      <c r="BM187" s="104" t="s">
        <v>1176</v>
      </c>
      <c r="BN187" s="104" t="s">
        <v>1326</v>
      </c>
      <c r="BO187" s="104" t="s">
        <v>1326</v>
      </c>
      <c r="BP187" s="104" t="s">
        <v>1187</v>
      </c>
      <c r="BQ187" s="104" t="s">
        <v>1187</v>
      </c>
      <c r="BR187" s="104" t="s">
        <v>1176</v>
      </c>
      <c r="BS187" s="104" t="s">
        <v>1176</v>
      </c>
      <c r="BT187" s="104" t="s">
        <v>1232</v>
      </c>
      <c r="BU187" s="104" t="s">
        <v>1232</v>
      </c>
      <c r="BV187" s="104" t="s">
        <v>1176</v>
      </c>
      <c r="BW187" s="104" t="s">
        <v>1176</v>
      </c>
      <c r="BX187" s="104" t="s">
        <v>1172</v>
      </c>
      <c r="BY187" s="104" t="s">
        <v>1472</v>
      </c>
      <c r="BZ187" s="104" t="s">
        <v>1176</v>
      </c>
      <c r="CA187" s="104" t="s">
        <v>1176</v>
      </c>
      <c r="CB187" s="104" t="s">
        <v>1176</v>
      </c>
      <c r="CC187" s="104" t="s">
        <v>1176</v>
      </c>
      <c r="CD187" s="104" t="s">
        <v>1176</v>
      </c>
      <c r="CE187" s="104" t="s">
        <v>1176</v>
      </c>
      <c r="CF187" s="104" t="s">
        <v>1176</v>
      </c>
      <c r="CG187" s="104" t="s">
        <v>1176</v>
      </c>
      <c r="CH187" s="104" t="s">
        <v>1176</v>
      </c>
      <c r="CI187" s="104" t="s">
        <v>1176</v>
      </c>
      <c r="CJ187" s="104" t="s">
        <v>1176</v>
      </c>
      <c r="CK187" s="104" t="s">
        <v>1176</v>
      </c>
      <c r="CL187" s="104" t="s">
        <v>1176</v>
      </c>
      <c r="CM187" s="104" t="s">
        <v>1176</v>
      </c>
      <c r="CN187" s="104" t="s">
        <v>1176</v>
      </c>
      <c r="CO187" s="104" t="s">
        <v>1176</v>
      </c>
    </row>
    <row r="188" s="102" customFormat="1" ht="15" spans="1:93">
      <c r="A188" s="104" t="s">
        <v>1356</v>
      </c>
      <c r="B188" s="104" t="s">
        <v>1146</v>
      </c>
      <c r="C188" s="104" t="s">
        <v>1147</v>
      </c>
      <c r="D188" s="104" t="s">
        <v>2707</v>
      </c>
      <c r="E188" s="104" t="s">
        <v>2708</v>
      </c>
      <c r="F188" s="104">
        <f t="shared" si="3"/>
        <v>6528</v>
      </c>
      <c r="G188" s="104" t="s">
        <v>2709</v>
      </c>
      <c r="H188" s="104" t="s">
        <v>1176</v>
      </c>
      <c r="I188" s="104" t="s">
        <v>1176</v>
      </c>
      <c r="J188" s="104" t="s">
        <v>1176</v>
      </c>
      <c r="K188" s="104" t="s">
        <v>1176</v>
      </c>
      <c r="L188" s="104" t="s">
        <v>2710</v>
      </c>
      <c r="M188" s="104" t="s">
        <v>1378</v>
      </c>
      <c r="N188" s="104" t="s">
        <v>1243</v>
      </c>
      <c r="O188" s="104" t="s">
        <v>1176</v>
      </c>
      <c r="P188" s="104" t="s">
        <v>1176</v>
      </c>
      <c r="Q188" s="104" t="s">
        <v>1176</v>
      </c>
      <c r="R188" s="104" t="s">
        <v>1176</v>
      </c>
      <c r="S188" s="104" t="s">
        <v>1176</v>
      </c>
      <c r="T188" s="104" t="s">
        <v>1176</v>
      </c>
      <c r="U188" s="104" t="s">
        <v>1176</v>
      </c>
      <c r="V188" s="104" t="s">
        <v>1889</v>
      </c>
      <c r="W188" s="104" t="s">
        <v>1176</v>
      </c>
      <c r="X188" s="104" t="s">
        <v>2711</v>
      </c>
      <c r="Y188" s="104" t="s">
        <v>1230</v>
      </c>
      <c r="Z188" s="104" t="s">
        <v>2712</v>
      </c>
      <c r="AA188" s="104" t="s">
        <v>1176</v>
      </c>
      <c r="AB188" s="104" t="s">
        <v>1176</v>
      </c>
      <c r="AC188" s="104" t="s">
        <v>1176</v>
      </c>
      <c r="AD188" s="104" t="s">
        <v>1176</v>
      </c>
      <c r="AE188" s="104" t="s">
        <v>1176</v>
      </c>
      <c r="AF188" s="104" t="s">
        <v>1176</v>
      </c>
      <c r="AG188" s="104" t="s">
        <v>1176</v>
      </c>
      <c r="AH188" s="104" t="s">
        <v>1176</v>
      </c>
      <c r="AI188" s="104" t="s">
        <v>1230</v>
      </c>
      <c r="AJ188" s="104" t="s">
        <v>2713</v>
      </c>
      <c r="AK188" s="104" t="s">
        <v>1176</v>
      </c>
      <c r="AL188" s="104" t="s">
        <v>1187</v>
      </c>
      <c r="AM188" s="104" t="s">
        <v>1176</v>
      </c>
      <c r="AN188" s="104" t="s">
        <v>1176</v>
      </c>
      <c r="AO188" s="104" t="s">
        <v>1176</v>
      </c>
      <c r="AP188" s="104" t="s">
        <v>1176</v>
      </c>
      <c r="AQ188" s="104" t="s">
        <v>1176</v>
      </c>
      <c r="AR188" s="104" t="s">
        <v>1176</v>
      </c>
      <c r="AS188" s="104" t="s">
        <v>1176</v>
      </c>
      <c r="AT188" s="104" t="s">
        <v>1176</v>
      </c>
      <c r="AU188" s="104" t="s">
        <v>1176</v>
      </c>
      <c r="AV188" s="104" t="s">
        <v>1176</v>
      </c>
      <c r="AW188" s="104" t="s">
        <v>1176</v>
      </c>
      <c r="AX188" s="104" t="s">
        <v>1176</v>
      </c>
      <c r="AY188" s="104" t="s">
        <v>1176</v>
      </c>
      <c r="AZ188" s="104" t="s">
        <v>1176</v>
      </c>
      <c r="BA188" s="104" t="s">
        <v>1176</v>
      </c>
      <c r="BB188" s="104" t="s">
        <v>1176</v>
      </c>
      <c r="BC188" s="104" t="s">
        <v>1176</v>
      </c>
      <c r="BD188" s="104" t="s">
        <v>1176</v>
      </c>
      <c r="BE188" s="104" t="s">
        <v>1176</v>
      </c>
      <c r="BF188" s="104" t="s">
        <v>1176</v>
      </c>
      <c r="BG188" s="104" t="s">
        <v>1367</v>
      </c>
      <c r="BH188" s="104" t="s">
        <v>1367</v>
      </c>
      <c r="BI188" s="104" t="s">
        <v>2113</v>
      </c>
      <c r="BJ188" s="104" t="s">
        <v>1176</v>
      </c>
      <c r="BK188" s="104" t="s">
        <v>1176</v>
      </c>
      <c r="BL188" s="104" t="s">
        <v>1176</v>
      </c>
      <c r="BM188" s="104" t="s">
        <v>1176</v>
      </c>
      <c r="BN188" s="104" t="s">
        <v>1176</v>
      </c>
      <c r="BO188" s="104" t="s">
        <v>1176</v>
      </c>
      <c r="BP188" s="104" t="s">
        <v>1203</v>
      </c>
      <c r="BQ188" s="104" t="s">
        <v>1203</v>
      </c>
      <c r="BR188" s="104" t="s">
        <v>1176</v>
      </c>
      <c r="BS188" s="104" t="s">
        <v>1176</v>
      </c>
      <c r="BT188" s="104" t="s">
        <v>1442</v>
      </c>
      <c r="BU188" s="104" t="s">
        <v>1460</v>
      </c>
      <c r="BV188" s="104" t="s">
        <v>1176</v>
      </c>
      <c r="BW188" s="104" t="s">
        <v>1176</v>
      </c>
      <c r="BX188" s="104" t="s">
        <v>1176</v>
      </c>
      <c r="BY188" s="104" t="s">
        <v>1176</v>
      </c>
      <c r="BZ188" s="104" t="s">
        <v>1176</v>
      </c>
      <c r="CA188" s="104" t="s">
        <v>1176</v>
      </c>
      <c r="CB188" s="104" t="s">
        <v>1176</v>
      </c>
      <c r="CC188" s="104" t="s">
        <v>1176</v>
      </c>
      <c r="CD188" s="104" t="s">
        <v>1176</v>
      </c>
      <c r="CE188" s="104" t="s">
        <v>1176</v>
      </c>
      <c r="CF188" s="104" t="s">
        <v>1176</v>
      </c>
      <c r="CG188" s="104" t="s">
        <v>1176</v>
      </c>
      <c r="CH188" s="104" t="s">
        <v>1176</v>
      </c>
      <c r="CI188" s="104" t="s">
        <v>1176</v>
      </c>
      <c r="CJ188" s="104" t="s">
        <v>1176</v>
      </c>
      <c r="CK188" s="104" t="s">
        <v>1176</v>
      </c>
      <c r="CL188" s="104" t="s">
        <v>1176</v>
      </c>
      <c r="CM188" s="104" t="s">
        <v>1176</v>
      </c>
      <c r="CN188" s="104" t="s">
        <v>1176</v>
      </c>
      <c r="CO188" s="104" t="s">
        <v>1176</v>
      </c>
    </row>
    <row r="189" s="102" customFormat="1" ht="15" spans="1:93">
      <c r="A189" s="104" t="s">
        <v>1354</v>
      </c>
      <c r="B189" s="104" t="s">
        <v>1146</v>
      </c>
      <c r="C189" s="104" t="s">
        <v>1147</v>
      </c>
      <c r="D189" s="104" t="s">
        <v>2714</v>
      </c>
      <c r="E189" s="104" t="s">
        <v>2715</v>
      </c>
      <c r="F189" s="104">
        <f t="shared" si="3"/>
        <v>4802</v>
      </c>
      <c r="G189" s="104" t="s">
        <v>2716</v>
      </c>
      <c r="H189" s="104" t="s">
        <v>1176</v>
      </c>
      <c r="I189" s="104" t="s">
        <v>1176</v>
      </c>
      <c r="J189" s="104" t="s">
        <v>1176</v>
      </c>
      <c r="K189" s="104" t="s">
        <v>1176</v>
      </c>
      <c r="L189" s="104" t="s">
        <v>1223</v>
      </c>
      <c r="M189" s="104" t="s">
        <v>2717</v>
      </c>
      <c r="N189" s="104" t="s">
        <v>1176</v>
      </c>
      <c r="O189" s="104" t="s">
        <v>1176</v>
      </c>
      <c r="P189" s="104" t="s">
        <v>1176</v>
      </c>
      <c r="Q189" s="104" t="s">
        <v>1176</v>
      </c>
      <c r="R189" s="104" t="s">
        <v>1176</v>
      </c>
      <c r="S189" s="104" t="s">
        <v>1176</v>
      </c>
      <c r="T189" s="104" t="s">
        <v>1176</v>
      </c>
      <c r="U189" s="104" t="s">
        <v>1172</v>
      </c>
      <c r="V189" s="104" t="s">
        <v>1708</v>
      </c>
      <c r="W189" s="104" t="s">
        <v>1176</v>
      </c>
      <c r="X189" s="104" t="s">
        <v>2718</v>
      </c>
      <c r="Y189" s="104" t="s">
        <v>2027</v>
      </c>
      <c r="Z189" s="104" t="s">
        <v>2719</v>
      </c>
      <c r="AA189" s="104" t="s">
        <v>1176</v>
      </c>
      <c r="AB189" s="104" t="s">
        <v>1176</v>
      </c>
      <c r="AC189" s="104" t="s">
        <v>1176</v>
      </c>
      <c r="AD189" s="104" t="s">
        <v>1176</v>
      </c>
      <c r="AE189" s="104" t="s">
        <v>1176</v>
      </c>
      <c r="AF189" s="104" t="s">
        <v>1176</v>
      </c>
      <c r="AG189" s="104" t="s">
        <v>1176</v>
      </c>
      <c r="AH189" s="104" t="s">
        <v>1176</v>
      </c>
      <c r="AI189" s="104" t="s">
        <v>1172</v>
      </c>
      <c r="AJ189" s="104" t="s">
        <v>1179</v>
      </c>
      <c r="AK189" s="104" t="s">
        <v>1926</v>
      </c>
      <c r="AL189" s="104" t="s">
        <v>2720</v>
      </c>
      <c r="AM189" s="104" t="s">
        <v>1176</v>
      </c>
      <c r="AN189" s="104" t="s">
        <v>1172</v>
      </c>
      <c r="AO189" s="104" t="s">
        <v>1176</v>
      </c>
      <c r="AP189" s="104" t="s">
        <v>1176</v>
      </c>
      <c r="AQ189" s="104" t="s">
        <v>1176</v>
      </c>
      <c r="AR189" s="104" t="s">
        <v>1176</v>
      </c>
      <c r="AS189" s="104" t="s">
        <v>1176</v>
      </c>
      <c r="AT189" s="104" t="s">
        <v>1176</v>
      </c>
      <c r="AU189" s="104" t="s">
        <v>1176</v>
      </c>
      <c r="AV189" s="104" t="s">
        <v>1176</v>
      </c>
      <c r="AW189" s="104" t="s">
        <v>1176</v>
      </c>
      <c r="AX189" s="104" t="s">
        <v>1176</v>
      </c>
      <c r="AY189" s="104" t="s">
        <v>1176</v>
      </c>
      <c r="AZ189" s="104" t="s">
        <v>1176</v>
      </c>
      <c r="BA189" s="104" t="s">
        <v>1176</v>
      </c>
      <c r="BB189" s="104" t="s">
        <v>1176</v>
      </c>
      <c r="BC189" s="104" t="s">
        <v>1176</v>
      </c>
      <c r="BD189" s="104" t="s">
        <v>1176</v>
      </c>
      <c r="BE189" s="104" t="s">
        <v>1176</v>
      </c>
      <c r="BF189" s="104" t="s">
        <v>1176</v>
      </c>
      <c r="BG189" s="104" t="s">
        <v>1180</v>
      </c>
      <c r="BH189" s="104" t="s">
        <v>1180</v>
      </c>
      <c r="BI189" s="104" t="s">
        <v>1180</v>
      </c>
      <c r="BJ189" s="104" t="s">
        <v>1176</v>
      </c>
      <c r="BK189" s="104" t="s">
        <v>1176</v>
      </c>
      <c r="BL189" s="104" t="s">
        <v>1176</v>
      </c>
      <c r="BM189" s="104" t="s">
        <v>1176</v>
      </c>
      <c r="BN189" s="104" t="s">
        <v>1176</v>
      </c>
      <c r="BO189" s="104" t="s">
        <v>1176</v>
      </c>
      <c r="BP189" s="104" t="s">
        <v>1180</v>
      </c>
      <c r="BQ189" s="104" t="s">
        <v>1180</v>
      </c>
      <c r="BR189" s="104" t="s">
        <v>1176</v>
      </c>
      <c r="BS189" s="104" t="s">
        <v>1176</v>
      </c>
      <c r="BT189" s="104" t="s">
        <v>1176</v>
      </c>
      <c r="BU189" s="104" t="s">
        <v>1176</v>
      </c>
      <c r="BV189" s="104" t="s">
        <v>1176</v>
      </c>
      <c r="BW189" s="104" t="s">
        <v>1176</v>
      </c>
      <c r="BX189" s="104" t="s">
        <v>1176</v>
      </c>
      <c r="BY189" s="104" t="s">
        <v>1176</v>
      </c>
      <c r="BZ189" s="104" t="s">
        <v>1176</v>
      </c>
      <c r="CA189" s="104" t="s">
        <v>1176</v>
      </c>
      <c r="CB189" s="104" t="s">
        <v>1176</v>
      </c>
      <c r="CC189" s="104" t="s">
        <v>1176</v>
      </c>
      <c r="CD189" s="104" t="s">
        <v>1176</v>
      </c>
      <c r="CE189" s="104" t="s">
        <v>1176</v>
      </c>
      <c r="CF189" s="104" t="s">
        <v>1176</v>
      </c>
      <c r="CG189" s="104" t="s">
        <v>1176</v>
      </c>
      <c r="CH189" s="104" t="s">
        <v>1176</v>
      </c>
      <c r="CI189" s="104" t="s">
        <v>1176</v>
      </c>
      <c r="CJ189" s="104" t="s">
        <v>1176</v>
      </c>
      <c r="CK189" s="104" t="s">
        <v>1176</v>
      </c>
      <c r="CL189" s="104" t="s">
        <v>1176</v>
      </c>
      <c r="CM189" s="104" t="s">
        <v>1176</v>
      </c>
      <c r="CN189" s="104" t="s">
        <v>1176</v>
      </c>
      <c r="CO189" s="104" t="s">
        <v>1176</v>
      </c>
    </row>
    <row r="190" s="102" customFormat="1" ht="15" spans="1:93">
      <c r="A190" s="104" t="s">
        <v>1211</v>
      </c>
      <c r="B190" s="104" t="s">
        <v>1146</v>
      </c>
      <c r="C190" s="104" t="s">
        <v>1147</v>
      </c>
      <c r="D190" s="104" t="s">
        <v>2721</v>
      </c>
      <c r="E190" s="104" t="s">
        <v>2722</v>
      </c>
      <c r="F190" s="104">
        <f t="shared" si="3"/>
        <v>2504</v>
      </c>
      <c r="G190" s="104" t="s">
        <v>2723</v>
      </c>
      <c r="H190" s="104" t="s">
        <v>1176</v>
      </c>
      <c r="I190" s="104" t="s">
        <v>1176</v>
      </c>
      <c r="J190" s="104" t="s">
        <v>1176</v>
      </c>
      <c r="K190" s="104" t="s">
        <v>1176</v>
      </c>
      <c r="L190" s="104" t="s">
        <v>1218</v>
      </c>
      <c r="M190" s="104" t="s">
        <v>2724</v>
      </c>
      <c r="N190" s="104" t="s">
        <v>1187</v>
      </c>
      <c r="O190" s="104" t="s">
        <v>1176</v>
      </c>
      <c r="P190" s="104" t="s">
        <v>1176</v>
      </c>
      <c r="Q190" s="104" t="s">
        <v>1176</v>
      </c>
      <c r="R190" s="104" t="s">
        <v>1176</v>
      </c>
      <c r="S190" s="104" t="s">
        <v>1176</v>
      </c>
      <c r="T190" s="104" t="s">
        <v>1176</v>
      </c>
      <c r="U190" s="104" t="s">
        <v>1180</v>
      </c>
      <c r="V190" s="104" t="s">
        <v>1438</v>
      </c>
      <c r="W190" s="104" t="s">
        <v>1176</v>
      </c>
      <c r="X190" s="104" t="s">
        <v>2725</v>
      </c>
      <c r="Y190" s="104" t="s">
        <v>2726</v>
      </c>
      <c r="Z190" s="104" t="s">
        <v>2727</v>
      </c>
      <c r="AA190" s="104" t="s">
        <v>1176</v>
      </c>
      <c r="AB190" s="104" t="s">
        <v>1176</v>
      </c>
      <c r="AC190" s="104" t="s">
        <v>1176</v>
      </c>
      <c r="AD190" s="104" t="s">
        <v>1176</v>
      </c>
      <c r="AE190" s="104" t="s">
        <v>1176</v>
      </c>
      <c r="AF190" s="104" t="s">
        <v>1176</v>
      </c>
      <c r="AG190" s="104" t="s">
        <v>1176</v>
      </c>
      <c r="AH190" s="104" t="s">
        <v>1176</v>
      </c>
      <c r="AI190" s="104" t="s">
        <v>1176</v>
      </c>
      <c r="AJ190" s="104" t="s">
        <v>1232</v>
      </c>
      <c r="AK190" s="104" t="s">
        <v>2726</v>
      </c>
      <c r="AL190" s="104" t="s">
        <v>2728</v>
      </c>
      <c r="AM190" s="104" t="s">
        <v>1176</v>
      </c>
      <c r="AN190" s="104" t="s">
        <v>1212</v>
      </c>
      <c r="AO190" s="104" t="s">
        <v>1176</v>
      </c>
      <c r="AP190" s="104" t="s">
        <v>1176</v>
      </c>
      <c r="AQ190" s="104" t="s">
        <v>1176</v>
      </c>
      <c r="AR190" s="104" t="s">
        <v>1176</v>
      </c>
      <c r="AS190" s="104" t="s">
        <v>1176</v>
      </c>
      <c r="AT190" s="104" t="s">
        <v>1176</v>
      </c>
      <c r="AU190" s="104" t="s">
        <v>1176</v>
      </c>
      <c r="AV190" s="104" t="s">
        <v>1176</v>
      </c>
      <c r="AW190" s="104" t="s">
        <v>1176</v>
      </c>
      <c r="AX190" s="104" t="s">
        <v>1176</v>
      </c>
      <c r="AY190" s="104" t="s">
        <v>1176</v>
      </c>
      <c r="AZ190" s="104" t="s">
        <v>1176</v>
      </c>
      <c r="BA190" s="104" t="s">
        <v>1176</v>
      </c>
      <c r="BB190" s="104" t="s">
        <v>1176</v>
      </c>
      <c r="BC190" s="104" t="s">
        <v>1176</v>
      </c>
      <c r="BD190" s="104" t="s">
        <v>1176</v>
      </c>
      <c r="BE190" s="104" t="s">
        <v>1176</v>
      </c>
      <c r="BF190" s="104" t="s">
        <v>1176</v>
      </c>
      <c r="BG190" s="104" t="s">
        <v>1212</v>
      </c>
      <c r="BH190" s="104" t="s">
        <v>1212</v>
      </c>
      <c r="BI190" s="104" t="s">
        <v>1212</v>
      </c>
      <c r="BJ190" s="104" t="s">
        <v>1176</v>
      </c>
      <c r="BK190" s="104" t="s">
        <v>1176</v>
      </c>
      <c r="BL190" s="104" t="s">
        <v>1176</v>
      </c>
      <c r="BM190" s="104" t="s">
        <v>1176</v>
      </c>
      <c r="BN190" s="104" t="s">
        <v>1176</v>
      </c>
      <c r="BO190" s="104" t="s">
        <v>1176</v>
      </c>
      <c r="BP190" s="104" t="s">
        <v>1212</v>
      </c>
      <c r="BQ190" s="104" t="s">
        <v>1212</v>
      </c>
      <c r="BR190" s="104" t="s">
        <v>1176</v>
      </c>
      <c r="BS190" s="104" t="s">
        <v>1176</v>
      </c>
      <c r="BT190" s="104" t="s">
        <v>1176</v>
      </c>
      <c r="BU190" s="104" t="s">
        <v>1176</v>
      </c>
      <c r="BV190" s="104" t="s">
        <v>1176</v>
      </c>
      <c r="BW190" s="104" t="s">
        <v>1176</v>
      </c>
      <c r="BX190" s="104" t="s">
        <v>1176</v>
      </c>
      <c r="BY190" s="104" t="s">
        <v>1176</v>
      </c>
      <c r="BZ190" s="104" t="s">
        <v>1176</v>
      </c>
      <c r="CA190" s="104" t="s">
        <v>1176</v>
      </c>
      <c r="CB190" s="104" t="s">
        <v>1176</v>
      </c>
      <c r="CC190" s="104" t="s">
        <v>1176</v>
      </c>
      <c r="CD190" s="104" t="s">
        <v>1176</v>
      </c>
      <c r="CE190" s="104" t="s">
        <v>1176</v>
      </c>
      <c r="CF190" s="104" t="s">
        <v>1176</v>
      </c>
      <c r="CG190" s="104" t="s">
        <v>1176</v>
      </c>
      <c r="CH190" s="104" t="s">
        <v>1176</v>
      </c>
      <c r="CI190" s="104" t="s">
        <v>1176</v>
      </c>
      <c r="CJ190" s="104" t="s">
        <v>1176</v>
      </c>
      <c r="CK190" s="104" t="s">
        <v>1176</v>
      </c>
      <c r="CL190" s="104" t="s">
        <v>1176</v>
      </c>
      <c r="CM190" s="104" t="s">
        <v>1176</v>
      </c>
      <c r="CN190" s="104" t="s">
        <v>1176</v>
      </c>
      <c r="CO190" s="104" t="s">
        <v>1176</v>
      </c>
    </row>
    <row r="191" s="102" customFormat="1" ht="15" spans="1:93">
      <c r="A191" s="104" t="s">
        <v>1223</v>
      </c>
      <c r="B191" s="104" t="s">
        <v>1146</v>
      </c>
      <c r="C191" s="104" t="s">
        <v>1147</v>
      </c>
      <c r="D191" s="104" t="s">
        <v>2729</v>
      </c>
      <c r="E191" s="104" t="s">
        <v>2730</v>
      </c>
      <c r="F191" s="104">
        <f t="shared" si="3"/>
        <v>2720</v>
      </c>
      <c r="G191" s="104" t="s">
        <v>2719</v>
      </c>
      <c r="H191" s="104" t="s">
        <v>1176</v>
      </c>
      <c r="I191" s="104" t="s">
        <v>1176</v>
      </c>
      <c r="J191" s="104" t="s">
        <v>1176</v>
      </c>
      <c r="K191" s="104" t="s">
        <v>1176</v>
      </c>
      <c r="L191" s="104" t="s">
        <v>1879</v>
      </c>
      <c r="M191" s="104" t="s">
        <v>2731</v>
      </c>
      <c r="N191" s="104" t="s">
        <v>1243</v>
      </c>
      <c r="O191" s="104" t="s">
        <v>1176</v>
      </c>
      <c r="P191" s="104" t="s">
        <v>1176</v>
      </c>
      <c r="Q191" s="104" t="s">
        <v>1176</v>
      </c>
      <c r="R191" s="104" t="s">
        <v>1176</v>
      </c>
      <c r="S191" s="104" t="s">
        <v>1176</v>
      </c>
      <c r="T191" s="104" t="s">
        <v>1176</v>
      </c>
      <c r="U191" s="104" t="s">
        <v>1179</v>
      </c>
      <c r="V191" s="104" t="s">
        <v>1819</v>
      </c>
      <c r="W191" s="104" t="s">
        <v>1176</v>
      </c>
      <c r="X191" s="104" t="s">
        <v>2521</v>
      </c>
      <c r="Y191" s="104" t="s">
        <v>1261</v>
      </c>
      <c r="Z191" s="104" t="s">
        <v>2529</v>
      </c>
      <c r="AA191" s="104" t="s">
        <v>1176</v>
      </c>
      <c r="AB191" s="104" t="s">
        <v>1176</v>
      </c>
      <c r="AC191" s="104" t="s">
        <v>1176</v>
      </c>
      <c r="AD191" s="104" t="s">
        <v>1176</v>
      </c>
      <c r="AE191" s="104" t="s">
        <v>1176</v>
      </c>
      <c r="AF191" s="104" t="s">
        <v>1176</v>
      </c>
      <c r="AG191" s="104" t="s">
        <v>1176</v>
      </c>
      <c r="AH191" s="104" t="s">
        <v>1176</v>
      </c>
      <c r="AI191" s="104" t="s">
        <v>1180</v>
      </c>
      <c r="AJ191" s="104" t="s">
        <v>1476</v>
      </c>
      <c r="AK191" s="104" t="s">
        <v>1507</v>
      </c>
      <c r="AL191" s="104" t="s">
        <v>2732</v>
      </c>
      <c r="AM191" s="104" t="s">
        <v>1176</v>
      </c>
      <c r="AN191" s="104" t="s">
        <v>1176</v>
      </c>
      <c r="AO191" s="104" t="s">
        <v>1176</v>
      </c>
      <c r="AP191" s="104" t="s">
        <v>1176</v>
      </c>
      <c r="AQ191" s="104" t="s">
        <v>1176</v>
      </c>
      <c r="AR191" s="104" t="s">
        <v>1176</v>
      </c>
      <c r="AS191" s="104" t="s">
        <v>1176</v>
      </c>
      <c r="AT191" s="104" t="s">
        <v>1176</v>
      </c>
      <c r="AU191" s="104" t="s">
        <v>1176</v>
      </c>
      <c r="AV191" s="104" t="s">
        <v>1176</v>
      </c>
      <c r="AW191" s="104" t="s">
        <v>1176</v>
      </c>
      <c r="AX191" s="104" t="s">
        <v>1176</v>
      </c>
      <c r="AY191" s="104" t="s">
        <v>1176</v>
      </c>
      <c r="AZ191" s="104" t="s">
        <v>1176</v>
      </c>
      <c r="BA191" s="104" t="s">
        <v>1176</v>
      </c>
      <c r="BB191" s="104" t="s">
        <v>1176</v>
      </c>
      <c r="BC191" s="104" t="s">
        <v>1176</v>
      </c>
      <c r="BD191" s="104" t="s">
        <v>1176</v>
      </c>
      <c r="BE191" s="104" t="s">
        <v>1176</v>
      </c>
      <c r="BF191" s="104" t="s">
        <v>1176</v>
      </c>
      <c r="BG191" s="104" t="s">
        <v>1350</v>
      </c>
      <c r="BH191" s="104" t="s">
        <v>1350</v>
      </c>
      <c r="BI191" s="104" t="s">
        <v>2733</v>
      </c>
      <c r="BJ191" s="104" t="s">
        <v>1176</v>
      </c>
      <c r="BK191" s="104" t="s">
        <v>1176</v>
      </c>
      <c r="BL191" s="104" t="s">
        <v>1176</v>
      </c>
      <c r="BM191" s="104" t="s">
        <v>1176</v>
      </c>
      <c r="BN191" s="104" t="s">
        <v>1176</v>
      </c>
      <c r="BO191" s="104" t="s">
        <v>1176</v>
      </c>
      <c r="BP191" s="104" t="s">
        <v>1176</v>
      </c>
      <c r="BQ191" s="104" t="s">
        <v>1176</v>
      </c>
      <c r="BR191" s="104" t="s">
        <v>1176</v>
      </c>
      <c r="BS191" s="104" t="s">
        <v>1176</v>
      </c>
      <c r="BT191" s="104" t="s">
        <v>1350</v>
      </c>
      <c r="BU191" s="104" t="s">
        <v>2733</v>
      </c>
      <c r="BV191" s="104" t="s">
        <v>1176</v>
      </c>
      <c r="BW191" s="104" t="s">
        <v>1176</v>
      </c>
      <c r="BX191" s="104" t="s">
        <v>1176</v>
      </c>
      <c r="BY191" s="104" t="s">
        <v>1176</v>
      </c>
      <c r="BZ191" s="104" t="s">
        <v>1176</v>
      </c>
      <c r="CA191" s="104" t="s">
        <v>1176</v>
      </c>
      <c r="CB191" s="104" t="s">
        <v>1176</v>
      </c>
      <c r="CC191" s="104" t="s">
        <v>1176</v>
      </c>
      <c r="CD191" s="104" t="s">
        <v>1176</v>
      </c>
      <c r="CE191" s="104" t="s">
        <v>1176</v>
      </c>
      <c r="CF191" s="104" t="s">
        <v>1176</v>
      </c>
      <c r="CG191" s="104" t="s">
        <v>1176</v>
      </c>
      <c r="CH191" s="104" t="s">
        <v>1176</v>
      </c>
      <c r="CI191" s="104" t="s">
        <v>1176</v>
      </c>
      <c r="CJ191" s="104" t="s">
        <v>1176</v>
      </c>
      <c r="CK191" s="104" t="s">
        <v>1176</v>
      </c>
      <c r="CL191" s="104" t="s">
        <v>1176</v>
      </c>
      <c r="CM191" s="104" t="s">
        <v>1176</v>
      </c>
      <c r="CN191" s="104" t="s">
        <v>1176</v>
      </c>
      <c r="CO191" s="104" t="s">
        <v>1176</v>
      </c>
    </row>
    <row r="192" s="102" customFormat="1" ht="15" spans="1:93">
      <c r="A192" s="104" t="s">
        <v>1203</v>
      </c>
      <c r="B192" s="104" t="s">
        <v>1146</v>
      </c>
      <c r="C192" s="104" t="s">
        <v>1147</v>
      </c>
      <c r="D192" s="104" t="s">
        <v>2734</v>
      </c>
      <c r="E192" s="104" t="s">
        <v>2735</v>
      </c>
      <c r="F192" s="104">
        <f t="shared" si="3"/>
        <v>3651</v>
      </c>
      <c r="G192" s="104" t="s">
        <v>2736</v>
      </c>
      <c r="H192" s="104" t="s">
        <v>1176</v>
      </c>
      <c r="I192" s="104" t="s">
        <v>1176</v>
      </c>
      <c r="J192" s="104" t="s">
        <v>1176</v>
      </c>
      <c r="K192" s="104" t="s">
        <v>1176</v>
      </c>
      <c r="L192" s="104" t="s">
        <v>2737</v>
      </c>
      <c r="M192" s="104" t="s">
        <v>2459</v>
      </c>
      <c r="N192" s="104" t="s">
        <v>1180</v>
      </c>
      <c r="O192" s="104" t="s">
        <v>1176</v>
      </c>
      <c r="P192" s="104" t="s">
        <v>1176</v>
      </c>
      <c r="Q192" s="104" t="s">
        <v>1176</v>
      </c>
      <c r="R192" s="104" t="s">
        <v>1176</v>
      </c>
      <c r="S192" s="104" t="s">
        <v>1176</v>
      </c>
      <c r="T192" s="104" t="s">
        <v>1176</v>
      </c>
      <c r="U192" s="104" t="s">
        <v>1179</v>
      </c>
      <c r="V192" s="104" t="s">
        <v>2738</v>
      </c>
      <c r="W192" s="104" t="s">
        <v>1176</v>
      </c>
      <c r="X192" s="104" t="s">
        <v>2739</v>
      </c>
      <c r="Y192" s="104" t="s">
        <v>1803</v>
      </c>
      <c r="Z192" s="104" t="s">
        <v>2740</v>
      </c>
      <c r="AA192" s="104" t="s">
        <v>1176</v>
      </c>
      <c r="AB192" s="104" t="s">
        <v>1176</v>
      </c>
      <c r="AC192" s="104" t="s">
        <v>1176</v>
      </c>
      <c r="AD192" s="104" t="s">
        <v>1176</v>
      </c>
      <c r="AE192" s="104" t="s">
        <v>1176</v>
      </c>
      <c r="AF192" s="104" t="s">
        <v>1176</v>
      </c>
      <c r="AG192" s="104" t="s">
        <v>1176</v>
      </c>
      <c r="AH192" s="104" t="s">
        <v>1176</v>
      </c>
      <c r="AI192" s="104" t="s">
        <v>1238</v>
      </c>
      <c r="AJ192" s="104" t="s">
        <v>2316</v>
      </c>
      <c r="AK192" s="104" t="s">
        <v>2152</v>
      </c>
      <c r="AL192" s="104" t="s">
        <v>2741</v>
      </c>
      <c r="AM192" s="104" t="s">
        <v>1176</v>
      </c>
      <c r="AN192" s="104" t="s">
        <v>1172</v>
      </c>
      <c r="AO192" s="104" t="s">
        <v>1176</v>
      </c>
      <c r="AP192" s="104" t="s">
        <v>1176</v>
      </c>
      <c r="AQ192" s="104" t="s">
        <v>1176</v>
      </c>
      <c r="AR192" s="104" t="s">
        <v>1176</v>
      </c>
      <c r="AS192" s="104" t="s">
        <v>1176</v>
      </c>
      <c r="AT192" s="104" t="s">
        <v>1176</v>
      </c>
      <c r="AU192" s="104" t="s">
        <v>1176</v>
      </c>
      <c r="AV192" s="104" t="s">
        <v>1176</v>
      </c>
      <c r="AW192" s="104" t="s">
        <v>1176</v>
      </c>
      <c r="AX192" s="104" t="s">
        <v>1176</v>
      </c>
      <c r="AY192" s="104" t="s">
        <v>1176</v>
      </c>
      <c r="AZ192" s="104" t="s">
        <v>1176</v>
      </c>
      <c r="BA192" s="104" t="s">
        <v>1176</v>
      </c>
      <c r="BB192" s="104" t="s">
        <v>1176</v>
      </c>
      <c r="BC192" s="104" t="s">
        <v>1176</v>
      </c>
      <c r="BD192" s="104" t="s">
        <v>1176</v>
      </c>
      <c r="BE192" s="104" t="s">
        <v>1176</v>
      </c>
      <c r="BF192" s="104" t="s">
        <v>1176</v>
      </c>
      <c r="BG192" s="104" t="s">
        <v>1249</v>
      </c>
      <c r="BH192" s="104" t="s">
        <v>1249</v>
      </c>
      <c r="BI192" s="104" t="s">
        <v>2742</v>
      </c>
      <c r="BJ192" s="104" t="s">
        <v>1176</v>
      </c>
      <c r="BK192" s="104" t="s">
        <v>1176</v>
      </c>
      <c r="BL192" s="104" t="s">
        <v>1176</v>
      </c>
      <c r="BM192" s="104" t="s">
        <v>1176</v>
      </c>
      <c r="BN192" s="104" t="s">
        <v>1176</v>
      </c>
      <c r="BO192" s="104" t="s">
        <v>1176</v>
      </c>
      <c r="BP192" s="104" t="s">
        <v>1176</v>
      </c>
      <c r="BQ192" s="104" t="s">
        <v>1176</v>
      </c>
      <c r="BR192" s="104" t="s">
        <v>1176</v>
      </c>
      <c r="BS192" s="104" t="s">
        <v>1176</v>
      </c>
      <c r="BT192" s="104" t="s">
        <v>1249</v>
      </c>
      <c r="BU192" s="104" t="s">
        <v>2742</v>
      </c>
      <c r="BV192" s="104" t="s">
        <v>1176</v>
      </c>
      <c r="BW192" s="104" t="s">
        <v>1176</v>
      </c>
      <c r="BX192" s="104" t="s">
        <v>1176</v>
      </c>
      <c r="BY192" s="104" t="s">
        <v>1176</v>
      </c>
      <c r="BZ192" s="104" t="s">
        <v>1176</v>
      </c>
      <c r="CA192" s="104" t="s">
        <v>1176</v>
      </c>
      <c r="CB192" s="104" t="s">
        <v>1176</v>
      </c>
      <c r="CC192" s="104" t="s">
        <v>1176</v>
      </c>
      <c r="CD192" s="104" t="s">
        <v>1176</v>
      </c>
      <c r="CE192" s="104" t="s">
        <v>1176</v>
      </c>
      <c r="CF192" s="104" t="s">
        <v>1176</v>
      </c>
      <c r="CG192" s="104" t="s">
        <v>1176</v>
      </c>
      <c r="CH192" s="104" t="s">
        <v>1176</v>
      </c>
      <c r="CI192" s="104" t="s">
        <v>1176</v>
      </c>
      <c r="CJ192" s="104" t="s">
        <v>1176</v>
      </c>
      <c r="CK192" s="104" t="s">
        <v>1176</v>
      </c>
      <c r="CL192" s="104" t="s">
        <v>1176</v>
      </c>
      <c r="CM192" s="104" t="s">
        <v>1176</v>
      </c>
      <c r="CN192" s="104" t="s">
        <v>1176</v>
      </c>
      <c r="CO192" s="104" t="s">
        <v>1176</v>
      </c>
    </row>
    <row r="193" s="102" customFormat="1" ht="15" spans="1:93">
      <c r="A193" s="104" t="s">
        <v>1306</v>
      </c>
      <c r="B193" s="104" t="s">
        <v>1146</v>
      </c>
      <c r="C193" s="104" t="s">
        <v>1147</v>
      </c>
      <c r="D193" s="104" t="s">
        <v>2743</v>
      </c>
      <c r="E193" s="104" t="s">
        <v>2744</v>
      </c>
      <c r="F193" s="104">
        <f t="shared" si="3"/>
        <v>1613</v>
      </c>
      <c r="G193" s="104" t="s">
        <v>2745</v>
      </c>
      <c r="H193" s="104" t="s">
        <v>1176</v>
      </c>
      <c r="I193" s="104" t="s">
        <v>1176</v>
      </c>
      <c r="J193" s="104" t="s">
        <v>1176</v>
      </c>
      <c r="K193" s="104" t="s">
        <v>1176</v>
      </c>
      <c r="L193" s="104" t="s">
        <v>1241</v>
      </c>
      <c r="M193" s="104" t="s">
        <v>2746</v>
      </c>
      <c r="N193" s="104" t="s">
        <v>1176</v>
      </c>
      <c r="O193" s="104" t="s">
        <v>1176</v>
      </c>
      <c r="P193" s="104" t="s">
        <v>1176</v>
      </c>
      <c r="Q193" s="104" t="s">
        <v>1176</v>
      </c>
      <c r="R193" s="104" t="s">
        <v>1176</v>
      </c>
      <c r="S193" s="104" t="s">
        <v>1176</v>
      </c>
      <c r="T193" s="104" t="s">
        <v>1176</v>
      </c>
      <c r="U193" s="104" t="s">
        <v>1176</v>
      </c>
      <c r="V193" s="104" t="s">
        <v>1245</v>
      </c>
      <c r="W193" s="104" t="s">
        <v>1176</v>
      </c>
      <c r="X193" s="104" t="s">
        <v>2747</v>
      </c>
      <c r="Y193" s="104" t="s">
        <v>1533</v>
      </c>
      <c r="Z193" s="104" t="s">
        <v>1509</v>
      </c>
      <c r="AA193" s="104" t="s">
        <v>1176</v>
      </c>
      <c r="AB193" s="104" t="s">
        <v>1176</v>
      </c>
      <c r="AC193" s="104" t="s">
        <v>1172</v>
      </c>
      <c r="AD193" s="104" t="s">
        <v>1366</v>
      </c>
      <c r="AE193" s="104" t="s">
        <v>1176</v>
      </c>
      <c r="AF193" s="104" t="s">
        <v>1176</v>
      </c>
      <c r="AG193" s="104" t="s">
        <v>1176</v>
      </c>
      <c r="AH193" s="104" t="s">
        <v>1176</v>
      </c>
      <c r="AI193" s="104" t="s">
        <v>1326</v>
      </c>
      <c r="AJ193" s="104" t="s">
        <v>1606</v>
      </c>
      <c r="AK193" s="104" t="s">
        <v>1712</v>
      </c>
      <c r="AL193" s="104" t="s">
        <v>2748</v>
      </c>
      <c r="AM193" s="104" t="s">
        <v>1176</v>
      </c>
      <c r="AN193" s="104" t="s">
        <v>1172</v>
      </c>
      <c r="AO193" s="104" t="s">
        <v>1176</v>
      </c>
      <c r="AP193" s="104" t="s">
        <v>1176</v>
      </c>
      <c r="AQ193" s="104" t="s">
        <v>1176</v>
      </c>
      <c r="AR193" s="104" t="s">
        <v>1176</v>
      </c>
      <c r="AS193" s="104" t="s">
        <v>1176</v>
      </c>
      <c r="AT193" s="104" t="s">
        <v>1176</v>
      </c>
      <c r="AU193" s="104" t="s">
        <v>1176</v>
      </c>
      <c r="AV193" s="104" t="s">
        <v>1176</v>
      </c>
      <c r="AW193" s="104" t="s">
        <v>1176</v>
      </c>
      <c r="AX193" s="104" t="s">
        <v>1176</v>
      </c>
      <c r="AY193" s="104" t="s">
        <v>1176</v>
      </c>
      <c r="AZ193" s="104" t="s">
        <v>1176</v>
      </c>
      <c r="BA193" s="104" t="s">
        <v>1176</v>
      </c>
      <c r="BB193" s="104" t="s">
        <v>1176</v>
      </c>
      <c r="BC193" s="104" t="s">
        <v>1176</v>
      </c>
      <c r="BD193" s="104" t="s">
        <v>1176</v>
      </c>
      <c r="BE193" s="104" t="s">
        <v>1176</v>
      </c>
      <c r="BF193" s="104" t="s">
        <v>1176</v>
      </c>
      <c r="BG193" s="104" t="s">
        <v>1176</v>
      </c>
      <c r="BH193" s="104" t="s">
        <v>1176</v>
      </c>
      <c r="BI193" s="104" t="s">
        <v>1176</v>
      </c>
      <c r="BJ193" s="104" t="s">
        <v>1176</v>
      </c>
      <c r="BK193" s="104" t="s">
        <v>1176</v>
      </c>
      <c r="BL193" s="104" t="s">
        <v>1176</v>
      </c>
      <c r="BM193" s="104" t="s">
        <v>1176</v>
      </c>
      <c r="BN193" s="104" t="s">
        <v>1176</v>
      </c>
      <c r="BO193" s="104" t="s">
        <v>1176</v>
      </c>
      <c r="BP193" s="104" t="s">
        <v>1176</v>
      </c>
      <c r="BQ193" s="104" t="s">
        <v>1176</v>
      </c>
      <c r="BR193" s="104" t="s">
        <v>1176</v>
      </c>
      <c r="BS193" s="104" t="s">
        <v>1176</v>
      </c>
      <c r="BT193" s="104" t="s">
        <v>1176</v>
      </c>
      <c r="BU193" s="104" t="s">
        <v>1176</v>
      </c>
      <c r="BV193" s="104" t="s">
        <v>1176</v>
      </c>
      <c r="BW193" s="104" t="s">
        <v>1176</v>
      </c>
      <c r="BX193" s="104" t="s">
        <v>1176</v>
      </c>
      <c r="BY193" s="104" t="s">
        <v>1176</v>
      </c>
      <c r="BZ193" s="104" t="s">
        <v>1176</v>
      </c>
      <c r="CA193" s="104" t="s">
        <v>1176</v>
      </c>
      <c r="CB193" s="104" t="s">
        <v>1176</v>
      </c>
      <c r="CC193" s="104" t="s">
        <v>1176</v>
      </c>
      <c r="CD193" s="104" t="s">
        <v>1176</v>
      </c>
      <c r="CE193" s="104" t="s">
        <v>1176</v>
      </c>
      <c r="CF193" s="104" t="s">
        <v>1176</v>
      </c>
      <c r="CG193" s="104" t="s">
        <v>1176</v>
      </c>
      <c r="CH193" s="104" t="s">
        <v>1176</v>
      </c>
      <c r="CI193" s="104" t="s">
        <v>1176</v>
      </c>
      <c r="CJ193" s="104" t="s">
        <v>1176</v>
      </c>
      <c r="CK193" s="104" t="s">
        <v>1176</v>
      </c>
      <c r="CL193" s="104" t="s">
        <v>1176</v>
      </c>
      <c r="CM193" s="104" t="s">
        <v>1176</v>
      </c>
      <c r="CN193" s="104" t="s">
        <v>1176</v>
      </c>
      <c r="CO193" s="104" t="s">
        <v>1176</v>
      </c>
    </row>
    <row r="194" s="102" customFormat="1" ht="15" spans="1:93">
      <c r="A194" s="104" t="s">
        <v>1421</v>
      </c>
      <c r="B194" s="104" t="s">
        <v>1146</v>
      </c>
      <c r="C194" s="104" t="s">
        <v>1147</v>
      </c>
      <c r="D194" s="104" t="s">
        <v>2749</v>
      </c>
      <c r="E194" s="104" t="s">
        <v>2750</v>
      </c>
      <c r="F194" s="104">
        <f t="shared" si="3"/>
        <v>4477</v>
      </c>
      <c r="G194" s="104" t="s">
        <v>2751</v>
      </c>
      <c r="H194" s="104" t="s">
        <v>1176</v>
      </c>
      <c r="I194" s="104" t="s">
        <v>1176</v>
      </c>
      <c r="J194" s="104" t="s">
        <v>1176</v>
      </c>
      <c r="K194" s="104" t="s">
        <v>1176</v>
      </c>
      <c r="L194" s="104" t="s">
        <v>1304</v>
      </c>
      <c r="M194" s="104" t="s">
        <v>2752</v>
      </c>
      <c r="N194" s="104" t="s">
        <v>1176</v>
      </c>
      <c r="O194" s="104" t="s">
        <v>1176</v>
      </c>
      <c r="P194" s="104" t="s">
        <v>1176</v>
      </c>
      <c r="Q194" s="104" t="s">
        <v>1176</v>
      </c>
      <c r="R194" s="104" t="s">
        <v>1176</v>
      </c>
      <c r="S194" s="104" t="s">
        <v>1176</v>
      </c>
      <c r="T194" s="104" t="s">
        <v>1176</v>
      </c>
      <c r="U194" s="104" t="s">
        <v>1172</v>
      </c>
      <c r="V194" s="104" t="s">
        <v>2753</v>
      </c>
      <c r="W194" s="104" t="s">
        <v>1176</v>
      </c>
      <c r="X194" s="104" t="s">
        <v>2754</v>
      </c>
      <c r="Y194" s="104" t="s">
        <v>1420</v>
      </c>
      <c r="Z194" s="104" t="s">
        <v>1939</v>
      </c>
      <c r="AA194" s="104" t="s">
        <v>1176</v>
      </c>
      <c r="AB194" s="104" t="s">
        <v>1176</v>
      </c>
      <c r="AC194" s="104" t="s">
        <v>1176</v>
      </c>
      <c r="AD194" s="104" t="s">
        <v>1176</v>
      </c>
      <c r="AE194" s="104" t="s">
        <v>1176</v>
      </c>
      <c r="AF194" s="104" t="s">
        <v>1176</v>
      </c>
      <c r="AG194" s="104" t="s">
        <v>1176</v>
      </c>
      <c r="AH194" s="104" t="s">
        <v>1176</v>
      </c>
      <c r="AI194" s="104" t="s">
        <v>1172</v>
      </c>
      <c r="AJ194" s="104" t="s">
        <v>1172</v>
      </c>
      <c r="AK194" s="104" t="s">
        <v>1620</v>
      </c>
      <c r="AL194" s="104" t="s">
        <v>2755</v>
      </c>
      <c r="AM194" s="104" t="s">
        <v>1176</v>
      </c>
      <c r="AN194" s="104" t="s">
        <v>1176</v>
      </c>
      <c r="AO194" s="104" t="s">
        <v>1176</v>
      </c>
      <c r="AP194" s="104" t="s">
        <v>1176</v>
      </c>
      <c r="AQ194" s="104" t="s">
        <v>1176</v>
      </c>
      <c r="AR194" s="104" t="s">
        <v>1176</v>
      </c>
      <c r="AS194" s="104" t="s">
        <v>1176</v>
      </c>
      <c r="AT194" s="104" t="s">
        <v>1176</v>
      </c>
      <c r="AU194" s="104" t="s">
        <v>1176</v>
      </c>
      <c r="AV194" s="104" t="s">
        <v>1176</v>
      </c>
      <c r="AW194" s="104" t="s">
        <v>1176</v>
      </c>
      <c r="AX194" s="104" t="s">
        <v>1176</v>
      </c>
      <c r="AY194" s="104" t="s">
        <v>1176</v>
      </c>
      <c r="AZ194" s="104" t="s">
        <v>1176</v>
      </c>
      <c r="BA194" s="104" t="s">
        <v>1176</v>
      </c>
      <c r="BB194" s="104" t="s">
        <v>1176</v>
      </c>
      <c r="BC194" s="104" t="s">
        <v>1176</v>
      </c>
      <c r="BD194" s="104" t="s">
        <v>1176</v>
      </c>
      <c r="BE194" s="104" t="s">
        <v>1176</v>
      </c>
      <c r="BF194" s="104" t="s">
        <v>1176</v>
      </c>
      <c r="BG194" s="104" t="s">
        <v>1176</v>
      </c>
      <c r="BH194" s="104" t="s">
        <v>1176</v>
      </c>
      <c r="BI194" s="104" t="s">
        <v>1176</v>
      </c>
      <c r="BJ194" s="104" t="s">
        <v>1176</v>
      </c>
      <c r="BK194" s="104" t="s">
        <v>1176</v>
      </c>
      <c r="BL194" s="104" t="s">
        <v>1176</v>
      </c>
      <c r="BM194" s="104" t="s">
        <v>1176</v>
      </c>
      <c r="BN194" s="104" t="s">
        <v>1176</v>
      </c>
      <c r="BO194" s="104" t="s">
        <v>1176</v>
      </c>
      <c r="BP194" s="104" t="s">
        <v>1176</v>
      </c>
      <c r="BQ194" s="104" t="s">
        <v>1176</v>
      </c>
      <c r="BR194" s="104" t="s">
        <v>1176</v>
      </c>
      <c r="BS194" s="104" t="s">
        <v>1176</v>
      </c>
      <c r="BT194" s="104" t="s">
        <v>1176</v>
      </c>
      <c r="BU194" s="104" t="s">
        <v>1176</v>
      </c>
      <c r="BV194" s="104" t="s">
        <v>1176</v>
      </c>
      <c r="BW194" s="104" t="s">
        <v>1176</v>
      </c>
      <c r="BX194" s="104" t="s">
        <v>1176</v>
      </c>
      <c r="BY194" s="104" t="s">
        <v>1176</v>
      </c>
      <c r="BZ194" s="104" t="s">
        <v>1176</v>
      </c>
      <c r="CA194" s="104" t="s">
        <v>1176</v>
      </c>
      <c r="CB194" s="104" t="s">
        <v>1176</v>
      </c>
      <c r="CC194" s="104" t="s">
        <v>1176</v>
      </c>
      <c r="CD194" s="104" t="s">
        <v>1176</v>
      </c>
      <c r="CE194" s="104" t="s">
        <v>1176</v>
      </c>
      <c r="CF194" s="104" t="s">
        <v>1176</v>
      </c>
      <c r="CG194" s="104" t="s">
        <v>1176</v>
      </c>
      <c r="CH194" s="104" t="s">
        <v>1176</v>
      </c>
      <c r="CI194" s="104" t="s">
        <v>1176</v>
      </c>
      <c r="CJ194" s="104" t="s">
        <v>1176</v>
      </c>
      <c r="CK194" s="104" t="s">
        <v>1176</v>
      </c>
      <c r="CL194" s="104" t="s">
        <v>1176</v>
      </c>
      <c r="CM194" s="104" t="s">
        <v>1176</v>
      </c>
      <c r="CN194" s="104" t="s">
        <v>1176</v>
      </c>
      <c r="CO194" s="104" t="s">
        <v>1176</v>
      </c>
    </row>
    <row r="195" s="102" customFormat="1" ht="15" spans="1:93">
      <c r="A195" s="104" t="s">
        <v>1296</v>
      </c>
      <c r="B195" s="104" t="s">
        <v>1146</v>
      </c>
      <c r="C195" s="104" t="s">
        <v>1147</v>
      </c>
      <c r="D195" s="104" t="s">
        <v>2756</v>
      </c>
      <c r="E195" s="104" t="s">
        <v>2757</v>
      </c>
      <c r="F195" s="104">
        <f t="shared" si="3"/>
        <v>4641</v>
      </c>
      <c r="G195" s="104" t="s">
        <v>2758</v>
      </c>
      <c r="H195" s="104" t="s">
        <v>1176</v>
      </c>
      <c r="I195" s="104" t="s">
        <v>1176</v>
      </c>
      <c r="J195" s="104" t="s">
        <v>1176</v>
      </c>
      <c r="K195" s="104" t="s">
        <v>1176</v>
      </c>
      <c r="L195" s="104" t="s">
        <v>2759</v>
      </c>
      <c r="M195" s="104" t="s">
        <v>2760</v>
      </c>
      <c r="N195" s="104" t="s">
        <v>1230</v>
      </c>
      <c r="O195" s="104" t="s">
        <v>1176</v>
      </c>
      <c r="P195" s="104" t="s">
        <v>1176</v>
      </c>
      <c r="Q195" s="104" t="s">
        <v>1176</v>
      </c>
      <c r="R195" s="104" t="s">
        <v>1176</v>
      </c>
      <c r="S195" s="104" t="s">
        <v>1176</v>
      </c>
      <c r="T195" s="104" t="s">
        <v>1176</v>
      </c>
      <c r="U195" s="104" t="s">
        <v>1188</v>
      </c>
      <c r="V195" s="104" t="s">
        <v>2761</v>
      </c>
      <c r="W195" s="104" t="s">
        <v>1176</v>
      </c>
      <c r="X195" s="104" t="s">
        <v>2762</v>
      </c>
      <c r="Y195" s="104" t="s">
        <v>2549</v>
      </c>
      <c r="Z195" s="104" t="s">
        <v>2763</v>
      </c>
      <c r="AA195" s="104" t="s">
        <v>1176</v>
      </c>
      <c r="AB195" s="104" t="s">
        <v>1176</v>
      </c>
      <c r="AC195" s="104" t="s">
        <v>1176</v>
      </c>
      <c r="AD195" s="104" t="s">
        <v>1176</v>
      </c>
      <c r="AE195" s="104" t="s">
        <v>1176</v>
      </c>
      <c r="AF195" s="104" t="s">
        <v>1176</v>
      </c>
      <c r="AG195" s="104" t="s">
        <v>1176</v>
      </c>
      <c r="AH195" s="104" t="s">
        <v>1176</v>
      </c>
      <c r="AI195" s="104" t="s">
        <v>1442</v>
      </c>
      <c r="AJ195" s="104" t="s">
        <v>2764</v>
      </c>
      <c r="AK195" s="104" t="s">
        <v>2765</v>
      </c>
      <c r="AL195" s="104" t="s">
        <v>2442</v>
      </c>
      <c r="AM195" s="104" t="s">
        <v>1176</v>
      </c>
      <c r="AN195" s="104" t="s">
        <v>1243</v>
      </c>
      <c r="AO195" s="104" t="s">
        <v>1176</v>
      </c>
      <c r="AP195" s="104" t="s">
        <v>1176</v>
      </c>
      <c r="AQ195" s="104" t="s">
        <v>1176</v>
      </c>
      <c r="AR195" s="104" t="s">
        <v>1176</v>
      </c>
      <c r="AS195" s="104" t="s">
        <v>1176</v>
      </c>
      <c r="AT195" s="104" t="s">
        <v>1176</v>
      </c>
      <c r="AU195" s="104" t="s">
        <v>1176</v>
      </c>
      <c r="AV195" s="104" t="s">
        <v>1176</v>
      </c>
      <c r="AW195" s="104" t="s">
        <v>1176</v>
      </c>
      <c r="AX195" s="104" t="s">
        <v>1176</v>
      </c>
      <c r="AY195" s="104" t="s">
        <v>1176</v>
      </c>
      <c r="AZ195" s="104" t="s">
        <v>1176</v>
      </c>
      <c r="BA195" s="104" t="s">
        <v>1176</v>
      </c>
      <c r="BB195" s="104" t="s">
        <v>1176</v>
      </c>
      <c r="BC195" s="104" t="s">
        <v>1176</v>
      </c>
      <c r="BD195" s="104" t="s">
        <v>1176</v>
      </c>
      <c r="BE195" s="104" t="s">
        <v>1176</v>
      </c>
      <c r="BF195" s="104" t="s">
        <v>1176</v>
      </c>
      <c r="BG195" s="104" t="s">
        <v>1232</v>
      </c>
      <c r="BH195" s="104" t="s">
        <v>1232</v>
      </c>
      <c r="BI195" s="104" t="s">
        <v>1218</v>
      </c>
      <c r="BJ195" s="104" t="s">
        <v>1176</v>
      </c>
      <c r="BK195" s="104" t="s">
        <v>1176</v>
      </c>
      <c r="BL195" s="104" t="s">
        <v>1176</v>
      </c>
      <c r="BM195" s="104" t="s">
        <v>1176</v>
      </c>
      <c r="BN195" s="104" t="s">
        <v>1176</v>
      </c>
      <c r="BO195" s="104" t="s">
        <v>1176</v>
      </c>
      <c r="BP195" s="104" t="s">
        <v>1176</v>
      </c>
      <c r="BQ195" s="104" t="s">
        <v>1176</v>
      </c>
      <c r="BR195" s="104" t="s">
        <v>1176</v>
      </c>
      <c r="BS195" s="104" t="s">
        <v>1176</v>
      </c>
      <c r="BT195" s="104" t="s">
        <v>1176</v>
      </c>
      <c r="BU195" s="104" t="s">
        <v>1176</v>
      </c>
      <c r="BV195" s="104" t="s">
        <v>1176</v>
      </c>
      <c r="BW195" s="104" t="s">
        <v>1176</v>
      </c>
      <c r="BX195" s="104" t="s">
        <v>1212</v>
      </c>
      <c r="BY195" s="104" t="s">
        <v>1201</v>
      </c>
      <c r="BZ195" s="104" t="s">
        <v>1176</v>
      </c>
      <c r="CA195" s="104" t="s">
        <v>1176</v>
      </c>
      <c r="CB195" s="104" t="s">
        <v>1176</v>
      </c>
      <c r="CC195" s="104" t="s">
        <v>1176</v>
      </c>
      <c r="CD195" s="104" t="s">
        <v>1187</v>
      </c>
      <c r="CE195" s="104" t="s">
        <v>1187</v>
      </c>
      <c r="CF195" s="104" t="s">
        <v>1176</v>
      </c>
      <c r="CG195" s="104" t="s">
        <v>1176</v>
      </c>
      <c r="CH195" s="104" t="s">
        <v>1176</v>
      </c>
      <c r="CI195" s="104" t="s">
        <v>1176</v>
      </c>
      <c r="CJ195" s="104" t="s">
        <v>1176</v>
      </c>
      <c r="CK195" s="104" t="s">
        <v>1176</v>
      </c>
      <c r="CL195" s="104" t="s">
        <v>1176</v>
      </c>
      <c r="CM195" s="104" t="s">
        <v>1176</v>
      </c>
      <c r="CN195" s="104" t="s">
        <v>1176</v>
      </c>
      <c r="CO195" s="104" t="s">
        <v>1176</v>
      </c>
    </row>
    <row r="196" s="102" customFormat="1" ht="15" spans="1:93">
      <c r="A196" s="104" t="s">
        <v>1442</v>
      </c>
      <c r="B196" s="104" t="s">
        <v>1146</v>
      </c>
      <c r="C196" s="104" t="s">
        <v>1147</v>
      </c>
      <c r="D196" s="104" t="s">
        <v>2766</v>
      </c>
      <c r="E196" s="104" t="s">
        <v>2767</v>
      </c>
      <c r="F196" s="104">
        <f t="shared" si="3"/>
        <v>6108</v>
      </c>
      <c r="G196" s="104" t="s">
        <v>2768</v>
      </c>
      <c r="H196" s="104" t="s">
        <v>1176</v>
      </c>
      <c r="I196" s="104" t="s">
        <v>1176</v>
      </c>
      <c r="J196" s="104" t="s">
        <v>1176</v>
      </c>
      <c r="K196" s="104" t="s">
        <v>1176</v>
      </c>
      <c r="L196" s="104" t="s">
        <v>2769</v>
      </c>
      <c r="M196" s="104" t="s">
        <v>2770</v>
      </c>
      <c r="N196" s="104" t="s">
        <v>1601</v>
      </c>
      <c r="O196" s="104" t="s">
        <v>1176</v>
      </c>
      <c r="P196" s="104" t="s">
        <v>1176</v>
      </c>
      <c r="Q196" s="104" t="s">
        <v>1176</v>
      </c>
      <c r="R196" s="104" t="s">
        <v>1176</v>
      </c>
      <c r="S196" s="104" t="s">
        <v>1176</v>
      </c>
      <c r="T196" s="104" t="s">
        <v>1176</v>
      </c>
      <c r="U196" s="104" t="s">
        <v>1223</v>
      </c>
      <c r="V196" s="104" t="s">
        <v>2771</v>
      </c>
      <c r="W196" s="104" t="s">
        <v>1176</v>
      </c>
      <c r="X196" s="104" t="s">
        <v>2772</v>
      </c>
      <c r="Y196" s="104" t="s">
        <v>2773</v>
      </c>
      <c r="Z196" s="104" t="s">
        <v>2774</v>
      </c>
      <c r="AA196" s="104" t="s">
        <v>1176</v>
      </c>
      <c r="AB196" s="104" t="s">
        <v>1176</v>
      </c>
      <c r="AC196" s="104" t="s">
        <v>1176</v>
      </c>
      <c r="AD196" s="104" t="s">
        <v>1176</v>
      </c>
      <c r="AE196" s="104" t="s">
        <v>1176</v>
      </c>
      <c r="AF196" s="104" t="s">
        <v>1176</v>
      </c>
      <c r="AG196" s="104" t="s">
        <v>1176</v>
      </c>
      <c r="AH196" s="104" t="s">
        <v>1176</v>
      </c>
      <c r="AI196" s="104" t="s">
        <v>1582</v>
      </c>
      <c r="AJ196" s="104" t="s">
        <v>2565</v>
      </c>
      <c r="AK196" s="104" t="s">
        <v>2037</v>
      </c>
      <c r="AL196" s="104" t="s">
        <v>2775</v>
      </c>
      <c r="AM196" s="104" t="s">
        <v>1176</v>
      </c>
      <c r="AN196" s="104" t="s">
        <v>1203</v>
      </c>
      <c r="AO196" s="104" t="s">
        <v>1176</v>
      </c>
      <c r="AP196" s="104" t="s">
        <v>1176</v>
      </c>
      <c r="AQ196" s="104" t="s">
        <v>1176</v>
      </c>
      <c r="AR196" s="104" t="s">
        <v>1176</v>
      </c>
      <c r="AS196" s="104" t="s">
        <v>1176</v>
      </c>
      <c r="AT196" s="104" t="s">
        <v>1176</v>
      </c>
      <c r="AU196" s="104" t="s">
        <v>1176</v>
      </c>
      <c r="AV196" s="104" t="s">
        <v>1176</v>
      </c>
      <c r="AW196" s="104" t="s">
        <v>1176</v>
      </c>
      <c r="AX196" s="104" t="s">
        <v>1176</v>
      </c>
      <c r="AY196" s="104" t="s">
        <v>1176</v>
      </c>
      <c r="AZ196" s="104" t="s">
        <v>1176</v>
      </c>
      <c r="BA196" s="104" t="s">
        <v>1176</v>
      </c>
      <c r="BB196" s="104" t="s">
        <v>1176</v>
      </c>
      <c r="BC196" s="104" t="s">
        <v>1176</v>
      </c>
      <c r="BD196" s="104" t="s">
        <v>1176</v>
      </c>
      <c r="BE196" s="104" t="s">
        <v>1176</v>
      </c>
      <c r="BF196" s="104" t="s">
        <v>1176</v>
      </c>
      <c r="BG196" s="104" t="s">
        <v>1176</v>
      </c>
      <c r="BH196" s="104" t="s">
        <v>1176</v>
      </c>
      <c r="BI196" s="104" t="s">
        <v>1176</v>
      </c>
      <c r="BJ196" s="104" t="s">
        <v>1176</v>
      </c>
      <c r="BK196" s="104" t="s">
        <v>1176</v>
      </c>
      <c r="BL196" s="104" t="s">
        <v>1176</v>
      </c>
      <c r="BM196" s="104" t="s">
        <v>1176</v>
      </c>
      <c r="BN196" s="104" t="s">
        <v>1176</v>
      </c>
      <c r="BO196" s="104" t="s">
        <v>1176</v>
      </c>
      <c r="BP196" s="104" t="s">
        <v>1176</v>
      </c>
      <c r="BQ196" s="104" t="s">
        <v>1176</v>
      </c>
      <c r="BR196" s="104" t="s">
        <v>1176</v>
      </c>
      <c r="BS196" s="104" t="s">
        <v>1176</v>
      </c>
      <c r="BT196" s="104" t="s">
        <v>1176</v>
      </c>
      <c r="BU196" s="104" t="s">
        <v>1176</v>
      </c>
      <c r="BV196" s="104" t="s">
        <v>1176</v>
      </c>
      <c r="BW196" s="104" t="s">
        <v>1176</v>
      </c>
      <c r="BX196" s="104" t="s">
        <v>1176</v>
      </c>
      <c r="BY196" s="104" t="s">
        <v>1176</v>
      </c>
      <c r="BZ196" s="104" t="s">
        <v>1176</v>
      </c>
      <c r="CA196" s="104" t="s">
        <v>1176</v>
      </c>
      <c r="CB196" s="104" t="s">
        <v>1176</v>
      </c>
      <c r="CC196" s="104" t="s">
        <v>1176</v>
      </c>
      <c r="CD196" s="104" t="s">
        <v>1176</v>
      </c>
      <c r="CE196" s="104" t="s">
        <v>1176</v>
      </c>
      <c r="CF196" s="104" t="s">
        <v>1176</v>
      </c>
      <c r="CG196" s="104" t="s">
        <v>1176</v>
      </c>
      <c r="CH196" s="104" t="s">
        <v>1176</v>
      </c>
      <c r="CI196" s="104" t="s">
        <v>1176</v>
      </c>
      <c r="CJ196" s="104" t="s">
        <v>1176</v>
      </c>
      <c r="CK196" s="104" t="s">
        <v>1176</v>
      </c>
      <c r="CL196" s="104" t="s">
        <v>1176</v>
      </c>
      <c r="CM196" s="104" t="s">
        <v>1176</v>
      </c>
      <c r="CN196" s="104" t="s">
        <v>1176</v>
      </c>
      <c r="CO196" s="104" t="s">
        <v>1176</v>
      </c>
    </row>
    <row r="197" s="102" customFormat="1" ht="15" spans="1:93">
      <c r="A197" s="104" t="s">
        <v>1456</v>
      </c>
      <c r="B197" s="104" t="s">
        <v>1146</v>
      </c>
      <c r="C197" s="104" t="s">
        <v>1147</v>
      </c>
      <c r="D197" s="104" t="s">
        <v>2776</v>
      </c>
      <c r="E197" s="104" t="s">
        <v>1432</v>
      </c>
      <c r="F197" s="104">
        <f t="shared" si="3"/>
        <v>4751</v>
      </c>
      <c r="G197" s="104" t="s">
        <v>2777</v>
      </c>
      <c r="H197" s="104" t="s">
        <v>1176</v>
      </c>
      <c r="I197" s="104" t="s">
        <v>1176</v>
      </c>
      <c r="J197" s="104" t="s">
        <v>1176</v>
      </c>
      <c r="K197" s="104" t="s">
        <v>1176</v>
      </c>
      <c r="L197" s="104" t="s">
        <v>1595</v>
      </c>
      <c r="M197" s="104" t="s">
        <v>2778</v>
      </c>
      <c r="N197" s="104" t="s">
        <v>1412</v>
      </c>
      <c r="O197" s="104" t="s">
        <v>1176</v>
      </c>
      <c r="P197" s="104" t="s">
        <v>1176</v>
      </c>
      <c r="Q197" s="104" t="s">
        <v>1176</v>
      </c>
      <c r="R197" s="104" t="s">
        <v>1176</v>
      </c>
      <c r="S197" s="104" t="s">
        <v>1176</v>
      </c>
      <c r="T197" s="104" t="s">
        <v>1176</v>
      </c>
      <c r="U197" s="104" t="s">
        <v>1472</v>
      </c>
      <c r="V197" s="104" t="s">
        <v>2779</v>
      </c>
      <c r="W197" s="104" t="s">
        <v>1176</v>
      </c>
      <c r="X197" s="104" t="s">
        <v>2780</v>
      </c>
      <c r="Y197" s="104" t="s">
        <v>1723</v>
      </c>
      <c r="Z197" s="104" t="s">
        <v>2781</v>
      </c>
      <c r="AA197" s="104" t="s">
        <v>1176</v>
      </c>
      <c r="AB197" s="104" t="s">
        <v>1176</v>
      </c>
      <c r="AC197" s="104" t="s">
        <v>1180</v>
      </c>
      <c r="AD197" s="104" t="s">
        <v>1548</v>
      </c>
      <c r="AE197" s="104" t="s">
        <v>1176</v>
      </c>
      <c r="AF197" s="104" t="s">
        <v>1176</v>
      </c>
      <c r="AG197" s="104" t="s">
        <v>1176</v>
      </c>
      <c r="AH197" s="104" t="s">
        <v>1176</v>
      </c>
      <c r="AI197" s="104" t="s">
        <v>1345</v>
      </c>
      <c r="AJ197" s="104" t="s">
        <v>2782</v>
      </c>
      <c r="AK197" s="104" t="s">
        <v>2783</v>
      </c>
      <c r="AL197" s="104" t="s">
        <v>2784</v>
      </c>
      <c r="AM197" s="104" t="s">
        <v>1176</v>
      </c>
      <c r="AN197" s="104" t="s">
        <v>1601</v>
      </c>
      <c r="AO197" s="104" t="s">
        <v>1176</v>
      </c>
      <c r="AP197" s="104" t="s">
        <v>1176</v>
      </c>
      <c r="AQ197" s="104" t="s">
        <v>1176</v>
      </c>
      <c r="AR197" s="104" t="s">
        <v>1176</v>
      </c>
      <c r="AS197" s="104" t="s">
        <v>1176</v>
      </c>
      <c r="AT197" s="104" t="s">
        <v>1176</v>
      </c>
      <c r="AU197" s="104" t="s">
        <v>1238</v>
      </c>
      <c r="AV197" s="104" t="s">
        <v>1807</v>
      </c>
      <c r="AW197" s="104" t="s">
        <v>1176</v>
      </c>
      <c r="AX197" s="104" t="s">
        <v>1176</v>
      </c>
      <c r="AY197" s="104" t="s">
        <v>1176</v>
      </c>
      <c r="AZ197" s="104" t="s">
        <v>1176</v>
      </c>
      <c r="BA197" s="104" t="s">
        <v>1176</v>
      </c>
      <c r="BB197" s="104" t="s">
        <v>1176</v>
      </c>
      <c r="BC197" s="104" t="s">
        <v>1176</v>
      </c>
      <c r="BD197" s="104" t="s">
        <v>1176</v>
      </c>
      <c r="BE197" s="104" t="s">
        <v>1176</v>
      </c>
      <c r="BF197" s="104" t="s">
        <v>1176</v>
      </c>
      <c r="BG197" s="104" t="s">
        <v>1180</v>
      </c>
      <c r="BH197" s="104" t="s">
        <v>1180</v>
      </c>
      <c r="BI197" s="104" t="s">
        <v>1521</v>
      </c>
      <c r="BJ197" s="104" t="s">
        <v>1176</v>
      </c>
      <c r="BK197" s="104" t="s">
        <v>1176</v>
      </c>
      <c r="BL197" s="104" t="s">
        <v>1176</v>
      </c>
      <c r="BM197" s="104" t="s">
        <v>1176</v>
      </c>
      <c r="BN197" s="104" t="s">
        <v>1176</v>
      </c>
      <c r="BO197" s="104" t="s">
        <v>1176</v>
      </c>
      <c r="BP197" s="104" t="s">
        <v>1176</v>
      </c>
      <c r="BQ197" s="104" t="s">
        <v>1176</v>
      </c>
      <c r="BR197" s="104" t="s">
        <v>1180</v>
      </c>
      <c r="BS197" s="104" t="s">
        <v>1521</v>
      </c>
      <c r="BT197" s="104" t="s">
        <v>1176</v>
      </c>
      <c r="BU197" s="104" t="s">
        <v>1176</v>
      </c>
      <c r="BV197" s="104" t="s">
        <v>1176</v>
      </c>
      <c r="BW197" s="104" t="s">
        <v>1176</v>
      </c>
      <c r="BX197" s="104" t="s">
        <v>1176</v>
      </c>
      <c r="BY197" s="104" t="s">
        <v>1176</v>
      </c>
      <c r="BZ197" s="104" t="s">
        <v>1176</v>
      </c>
      <c r="CA197" s="104" t="s">
        <v>1176</v>
      </c>
      <c r="CB197" s="104" t="s">
        <v>1176</v>
      </c>
      <c r="CC197" s="104" t="s">
        <v>1176</v>
      </c>
      <c r="CD197" s="104" t="s">
        <v>1176</v>
      </c>
      <c r="CE197" s="104" t="s">
        <v>1176</v>
      </c>
      <c r="CF197" s="104" t="s">
        <v>1176</v>
      </c>
      <c r="CG197" s="104" t="s">
        <v>1176</v>
      </c>
      <c r="CH197" s="104" t="s">
        <v>1176</v>
      </c>
      <c r="CI197" s="104" t="s">
        <v>1176</v>
      </c>
      <c r="CJ197" s="104" t="s">
        <v>1176</v>
      </c>
      <c r="CK197" s="104" t="s">
        <v>1176</v>
      </c>
      <c r="CL197" s="104" t="s">
        <v>1176</v>
      </c>
      <c r="CM197" s="104" t="s">
        <v>1176</v>
      </c>
      <c r="CN197" s="104" t="s">
        <v>1176</v>
      </c>
      <c r="CO197" s="104" t="s">
        <v>1176</v>
      </c>
    </row>
    <row r="198" s="102" customFormat="1" ht="15" spans="1:93">
      <c r="A198" s="104" t="s">
        <v>1472</v>
      </c>
      <c r="B198" s="104" t="s">
        <v>1146</v>
      </c>
      <c r="C198" s="104" t="s">
        <v>1147</v>
      </c>
      <c r="D198" s="104" t="s">
        <v>2785</v>
      </c>
      <c r="E198" s="104" t="s">
        <v>2786</v>
      </c>
      <c r="F198" s="104">
        <f t="shared" si="3"/>
        <v>3900</v>
      </c>
      <c r="G198" s="104" t="s">
        <v>2787</v>
      </c>
      <c r="H198" s="104" t="s">
        <v>1176</v>
      </c>
      <c r="I198" s="104" t="s">
        <v>1176</v>
      </c>
      <c r="J198" s="104" t="s">
        <v>1176</v>
      </c>
      <c r="K198" s="104" t="s">
        <v>1176</v>
      </c>
      <c r="L198" s="104" t="s">
        <v>1556</v>
      </c>
      <c r="M198" s="104" t="s">
        <v>1407</v>
      </c>
      <c r="N198" s="104" t="s">
        <v>1238</v>
      </c>
      <c r="O198" s="104" t="s">
        <v>1176</v>
      </c>
      <c r="P198" s="104" t="s">
        <v>1176</v>
      </c>
      <c r="Q198" s="104" t="s">
        <v>1176</v>
      </c>
      <c r="R198" s="104" t="s">
        <v>1176</v>
      </c>
      <c r="S198" s="104" t="s">
        <v>1176</v>
      </c>
      <c r="T198" s="104" t="s">
        <v>1176</v>
      </c>
      <c r="U198" s="104" t="s">
        <v>1176</v>
      </c>
      <c r="V198" s="104" t="s">
        <v>2788</v>
      </c>
      <c r="W198" s="104" t="s">
        <v>1176</v>
      </c>
      <c r="X198" s="104" t="s">
        <v>2789</v>
      </c>
      <c r="Y198" s="104" t="s">
        <v>1869</v>
      </c>
      <c r="Z198" s="104" t="s">
        <v>2790</v>
      </c>
      <c r="AA198" s="104" t="s">
        <v>1176</v>
      </c>
      <c r="AB198" s="104" t="s">
        <v>1176</v>
      </c>
      <c r="AC198" s="104" t="s">
        <v>1176</v>
      </c>
      <c r="AD198" s="104" t="s">
        <v>1176</v>
      </c>
      <c r="AE198" s="104" t="s">
        <v>1176</v>
      </c>
      <c r="AF198" s="104" t="s">
        <v>1176</v>
      </c>
      <c r="AG198" s="104" t="s">
        <v>1176</v>
      </c>
      <c r="AH198" s="104" t="s">
        <v>1176</v>
      </c>
      <c r="AI198" s="104" t="s">
        <v>1172</v>
      </c>
      <c r="AJ198" s="104" t="s">
        <v>1211</v>
      </c>
      <c r="AK198" s="104" t="s">
        <v>2061</v>
      </c>
      <c r="AL198" s="104" t="s">
        <v>2791</v>
      </c>
      <c r="AM198" s="104" t="s">
        <v>1176</v>
      </c>
      <c r="AN198" s="104" t="s">
        <v>1229</v>
      </c>
      <c r="AO198" s="104" t="s">
        <v>1176</v>
      </c>
      <c r="AP198" s="104" t="s">
        <v>1176</v>
      </c>
      <c r="AQ198" s="104" t="s">
        <v>1176</v>
      </c>
      <c r="AR198" s="104" t="s">
        <v>1176</v>
      </c>
      <c r="AS198" s="104" t="s">
        <v>1176</v>
      </c>
      <c r="AT198" s="104" t="s">
        <v>1176</v>
      </c>
      <c r="AU198" s="104" t="s">
        <v>1176</v>
      </c>
      <c r="AV198" s="104" t="s">
        <v>1176</v>
      </c>
      <c r="AW198" s="104" t="s">
        <v>1176</v>
      </c>
      <c r="AX198" s="104" t="s">
        <v>1176</v>
      </c>
      <c r="AY198" s="104" t="s">
        <v>1176</v>
      </c>
      <c r="AZ198" s="104" t="s">
        <v>1176</v>
      </c>
      <c r="BA198" s="104" t="s">
        <v>1176</v>
      </c>
      <c r="BB198" s="104" t="s">
        <v>1176</v>
      </c>
      <c r="BC198" s="104" t="s">
        <v>1187</v>
      </c>
      <c r="BD198" s="104" t="s">
        <v>1187</v>
      </c>
      <c r="BE198" s="104" t="s">
        <v>1176</v>
      </c>
      <c r="BF198" s="104" t="s">
        <v>1176</v>
      </c>
      <c r="BG198" s="104" t="s">
        <v>1325</v>
      </c>
      <c r="BH198" s="104" t="s">
        <v>1325</v>
      </c>
      <c r="BI198" s="104" t="s">
        <v>2576</v>
      </c>
      <c r="BJ198" s="104" t="s">
        <v>1212</v>
      </c>
      <c r="BK198" s="104" t="s">
        <v>1176</v>
      </c>
      <c r="BL198" s="104" t="s">
        <v>1176</v>
      </c>
      <c r="BM198" s="104" t="s">
        <v>1176</v>
      </c>
      <c r="BN198" s="104" t="s">
        <v>1179</v>
      </c>
      <c r="BO198" s="104" t="s">
        <v>1179</v>
      </c>
      <c r="BP198" s="104" t="s">
        <v>1212</v>
      </c>
      <c r="BQ198" s="104" t="s">
        <v>1212</v>
      </c>
      <c r="BR198" s="104" t="s">
        <v>1176</v>
      </c>
      <c r="BS198" s="104" t="s">
        <v>1176</v>
      </c>
      <c r="BT198" s="104" t="s">
        <v>1176</v>
      </c>
      <c r="BU198" s="104" t="s">
        <v>1176</v>
      </c>
      <c r="BV198" s="104" t="s">
        <v>1176</v>
      </c>
      <c r="BW198" s="104" t="s">
        <v>1176</v>
      </c>
      <c r="BX198" s="104" t="s">
        <v>1367</v>
      </c>
      <c r="BY198" s="104" t="s">
        <v>2792</v>
      </c>
      <c r="BZ198" s="104" t="s">
        <v>1212</v>
      </c>
      <c r="CA198" s="104" t="s">
        <v>1212</v>
      </c>
      <c r="CB198" s="104" t="s">
        <v>1176</v>
      </c>
      <c r="CC198" s="104" t="s">
        <v>1176</v>
      </c>
      <c r="CD198" s="104" t="s">
        <v>1187</v>
      </c>
      <c r="CE198" s="104" t="s">
        <v>1232</v>
      </c>
      <c r="CF198" s="104" t="s">
        <v>1176</v>
      </c>
      <c r="CG198" s="104" t="s">
        <v>1176</v>
      </c>
      <c r="CH198" s="104" t="s">
        <v>1176</v>
      </c>
      <c r="CI198" s="104" t="s">
        <v>1176</v>
      </c>
      <c r="CJ198" s="104" t="s">
        <v>1176</v>
      </c>
      <c r="CK198" s="104" t="s">
        <v>1176</v>
      </c>
      <c r="CL198" s="104" t="s">
        <v>1176</v>
      </c>
      <c r="CM198" s="104" t="s">
        <v>1176</v>
      </c>
      <c r="CN198" s="104" t="s">
        <v>1176</v>
      </c>
      <c r="CO198" s="104" t="s">
        <v>1176</v>
      </c>
    </row>
    <row r="199" s="102" customFormat="1" ht="15" spans="1:93">
      <c r="A199" s="104" t="s">
        <v>1326</v>
      </c>
      <c r="B199" s="104" t="s">
        <v>1146</v>
      </c>
      <c r="C199" s="104" t="s">
        <v>1147</v>
      </c>
      <c r="D199" s="104" t="s">
        <v>2793</v>
      </c>
      <c r="E199" s="104" t="s">
        <v>2794</v>
      </c>
      <c r="F199" s="104">
        <f t="shared" si="3"/>
        <v>2102</v>
      </c>
      <c r="G199" s="104" t="s">
        <v>1700</v>
      </c>
      <c r="H199" s="104" t="s">
        <v>1176</v>
      </c>
      <c r="I199" s="104" t="s">
        <v>1176</v>
      </c>
      <c r="J199" s="104" t="s">
        <v>1176</v>
      </c>
      <c r="K199" s="104" t="s">
        <v>1176</v>
      </c>
      <c r="L199" s="104" t="s">
        <v>1366</v>
      </c>
      <c r="M199" s="104" t="s">
        <v>1886</v>
      </c>
      <c r="N199" s="104" t="s">
        <v>1203</v>
      </c>
      <c r="O199" s="104" t="s">
        <v>1176</v>
      </c>
      <c r="P199" s="104" t="s">
        <v>1176</v>
      </c>
      <c r="Q199" s="104" t="s">
        <v>1176</v>
      </c>
      <c r="R199" s="104" t="s">
        <v>1176</v>
      </c>
      <c r="S199" s="104" t="s">
        <v>1176</v>
      </c>
      <c r="T199" s="104" t="s">
        <v>1176</v>
      </c>
      <c r="U199" s="104" t="s">
        <v>1212</v>
      </c>
      <c r="V199" s="104" t="s">
        <v>2795</v>
      </c>
      <c r="W199" s="104" t="s">
        <v>1176</v>
      </c>
      <c r="X199" s="104" t="s">
        <v>2796</v>
      </c>
      <c r="Y199" s="104" t="s">
        <v>1218</v>
      </c>
      <c r="Z199" s="104" t="s">
        <v>2209</v>
      </c>
      <c r="AA199" s="104" t="s">
        <v>1176</v>
      </c>
      <c r="AB199" s="104" t="s">
        <v>1176</v>
      </c>
      <c r="AC199" s="104" t="s">
        <v>1176</v>
      </c>
      <c r="AD199" s="104" t="s">
        <v>1176</v>
      </c>
      <c r="AE199" s="104" t="s">
        <v>1176</v>
      </c>
      <c r="AF199" s="104" t="s">
        <v>1176</v>
      </c>
      <c r="AG199" s="104" t="s">
        <v>1176</v>
      </c>
      <c r="AH199" s="104" t="s">
        <v>1176</v>
      </c>
      <c r="AI199" s="104" t="s">
        <v>1187</v>
      </c>
      <c r="AJ199" s="104" t="s">
        <v>1212</v>
      </c>
      <c r="AK199" s="104" t="s">
        <v>1201</v>
      </c>
      <c r="AL199" s="104" t="s">
        <v>2797</v>
      </c>
      <c r="AM199" s="104" t="s">
        <v>1176</v>
      </c>
      <c r="AN199" s="104" t="s">
        <v>1176</v>
      </c>
      <c r="AO199" s="104" t="s">
        <v>1176</v>
      </c>
      <c r="AP199" s="104" t="s">
        <v>1176</v>
      </c>
      <c r="AQ199" s="104" t="s">
        <v>1176</v>
      </c>
      <c r="AR199" s="104" t="s">
        <v>1176</v>
      </c>
      <c r="AS199" s="104" t="s">
        <v>1176</v>
      </c>
      <c r="AT199" s="104" t="s">
        <v>1176</v>
      </c>
      <c r="AU199" s="104" t="s">
        <v>1176</v>
      </c>
      <c r="AV199" s="104" t="s">
        <v>1176</v>
      </c>
      <c r="AW199" s="104" t="s">
        <v>1176</v>
      </c>
      <c r="AX199" s="104" t="s">
        <v>1176</v>
      </c>
      <c r="AY199" s="104" t="s">
        <v>1176</v>
      </c>
      <c r="AZ199" s="104" t="s">
        <v>1176</v>
      </c>
      <c r="BA199" s="104" t="s">
        <v>1176</v>
      </c>
      <c r="BB199" s="104" t="s">
        <v>1176</v>
      </c>
      <c r="BC199" s="104" t="s">
        <v>1176</v>
      </c>
      <c r="BD199" s="104" t="s">
        <v>1176</v>
      </c>
      <c r="BE199" s="104" t="s">
        <v>1176</v>
      </c>
      <c r="BF199" s="104" t="s">
        <v>1176</v>
      </c>
      <c r="BG199" s="104" t="s">
        <v>1612</v>
      </c>
      <c r="BH199" s="104" t="s">
        <v>1612</v>
      </c>
      <c r="BI199" s="104" t="s">
        <v>2798</v>
      </c>
      <c r="BJ199" s="104" t="s">
        <v>1176</v>
      </c>
      <c r="BK199" s="104" t="s">
        <v>1176</v>
      </c>
      <c r="BL199" s="104" t="s">
        <v>1176</v>
      </c>
      <c r="BM199" s="104" t="s">
        <v>1176</v>
      </c>
      <c r="BN199" s="104" t="s">
        <v>1212</v>
      </c>
      <c r="BO199" s="104" t="s">
        <v>1212</v>
      </c>
      <c r="BP199" s="104" t="s">
        <v>1176</v>
      </c>
      <c r="BQ199" s="104" t="s">
        <v>1176</v>
      </c>
      <c r="BR199" s="104" t="s">
        <v>1176</v>
      </c>
      <c r="BS199" s="104" t="s">
        <v>1176</v>
      </c>
      <c r="BT199" s="104" t="s">
        <v>1455</v>
      </c>
      <c r="BU199" s="104" t="s">
        <v>1453</v>
      </c>
      <c r="BV199" s="104" t="s">
        <v>1176</v>
      </c>
      <c r="BW199" s="104" t="s">
        <v>1176</v>
      </c>
      <c r="BX199" s="104" t="s">
        <v>1172</v>
      </c>
      <c r="BY199" s="104" t="s">
        <v>1212</v>
      </c>
      <c r="BZ199" s="104" t="s">
        <v>1176</v>
      </c>
      <c r="CA199" s="104" t="s">
        <v>1176</v>
      </c>
      <c r="CB199" s="104" t="s">
        <v>1176</v>
      </c>
      <c r="CC199" s="104" t="s">
        <v>1176</v>
      </c>
      <c r="CD199" s="104" t="s">
        <v>1176</v>
      </c>
      <c r="CE199" s="104" t="s">
        <v>1176</v>
      </c>
      <c r="CF199" s="104" t="s">
        <v>1176</v>
      </c>
      <c r="CG199" s="104" t="s">
        <v>1176</v>
      </c>
      <c r="CH199" s="104" t="s">
        <v>1176</v>
      </c>
      <c r="CI199" s="104" t="s">
        <v>1176</v>
      </c>
      <c r="CJ199" s="104" t="s">
        <v>1176</v>
      </c>
      <c r="CK199" s="104" t="s">
        <v>1176</v>
      </c>
      <c r="CL199" s="104" t="s">
        <v>1176</v>
      </c>
      <c r="CM199" s="104" t="s">
        <v>1176</v>
      </c>
      <c r="CN199" s="104" t="s">
        <v>1176</v>
      </c>
      <c r="CO199" s="104" t="s">
        <v>1176</v>
      </c>
    </row>
    <row r="200" s="102" customFormat="1" ht="15" spans="1:93">
      <c r="A200" s="104" t="s">
        <v>1476</v>
      </c>
      <c r="B200" s="104" t="s">
        <v>1146</v>
      </c>
      <c r="C200" s="104" t="s">
        <v>1147</v>
      </c>
      <c r="D200" s="104" t="s">
        <v>2799</v>
      </c>
      <c r="E200" s="104" t="s">
        <v>2800</v>
      </c>
      <c r="F200" s="104">
        <f t="shared" si="3"/>
        <v>1630</v>
      </c>
      <c r="G200" s="104" t="s">
        <v>2801</v>
      </c>
      <c r="H200" s="104" t="s">
        <v>1176</v>
      </c>
      <c r="I200" s="104" t="s">
        <v>1176</v>
      </c>
      <c r="J200" s="104" t="s">
        <v>1176</v>
      </c>
      <c r="K200" s="104" t="s">
        <v>1176</v>
      </c>
      <c r="L200" s="104" t="s">
        <v>2260</v>
      </c>
      <c r="M200" s="104" t="s">
        <v>2802</v>
      </c>
      <c r="N200" s="104" t="s">
        <v>1179</v>
      </c>
      <c r="O200" s="104" t="s">
        <v>1176</v>
      </c>
      <c r="P200" s="104" t="s">
        <v>1176</v>
      </c>
      <c r="Q200" s="104" t="s">
        <v>1176</v>
      </c>
      <c r="R200" s="104" t="s">
        <v>1176</v>
      </c>
      <c r="S200" s="104" t="s">
        <v>1176</v>
      </c>
      <c r="T200" s="104" t="s">
        <v>1176</v>
      </c>
      <c r="U200" s="104" t="s">
        <v>1187</v>
      </c>
      <c r="V200" s="104" t="s">
        <v>1849</v>
      </c>
      <c r="W200" s="104" t="s">
        <v>1176</v>
      </c>
      <c r="X200" s="104" t="s">
        <v>2803</v>
      </c>
      <c r="Y200" s="104" t="s">
        <v>1710</v>
      </c>
      <c r="Z200" s="104" t="s">
        <v>2804</v>
      </c>
      <c r="AA200" s="104" t="s">
        <v>1176</v>
      </c>
      <c r="AB200" s="104" t="s">
        <v>1176</v>
      </c>
      <c r="AC200" s="104" t="s">
        <v>1176</v>
      </c>
      <c r="AD200" s="104" t="s">
        <v>1176</v>
      </c>
      <c r="AE200" s="104" t="s">
        <v>1176</v>
      </c>
      <c r="AF200" s="104" t="s">
        <v>1176</v>
      </c>
      <c r="AG200" s="104" t="s">
        <v>1176</v>
      </c>
      <c r="AH200" s="104" t="s">
        <v>1176</v>
      </c>
      <c r="AI200" s="104" t="s">
        <v>1212</v>
      </c>
      <c r="AJ200" s="104" t="s">
        <v>1755</v>
      </c>
      <c r="AK200" s="104" t="s">
        <v>2697</v>
      </c>
      <c r="AL200" s="104" t="s">
        <v>2805</v>
      </c>
      <c r="AM200" s="104" t="s">
        <v>1176</v>
      </c>
      <c r="AN200" s="104" t="s">
        <v>1201</v>
      </c>
      <c r="AO200" s="104" t="s">
        <v>1176</v>
      </c>
      <c r="AP200" s="104" t="s">
        <v>1176</v>
      </c>
      <c r="AQ200" s="104" t="s">
        <v>1176</v>
      </c>
      <c r="AR200" s="104" t="s">
        <v>1176</v>
      </c>
      <c r="AS200" s="104" t="s">
        <v>1176</v>
      </c>
      <c r="AT200" s="104" t="s">
        <v>1176</v>
      </c>
      <c r="AU200" s="104" t="s">
        <v>1176</v>
      </c>
      <c r="AV200" s="104" t="s">
        <v>1176</v>
      </c>
      <c r="AW200" s="104" t="s">
        <v>1176</v>
      </c>
      <c r="AX200" s="104" t="s">
        <v>1176</v>
      </c>
      <c r="AY200" s="104" t="s">
        <v>1176</v>
      </c>
      <c r="AZ200" s="104" t="s">
        <v>1176</v>
      </c>
      <c r="BA200" s="104" t="s">
        <v>1176</v>
      </c>
      <c r="BB200" s="104" t="s">
        <v>1176</v>
      </c>
      <c r="BC200" s="104" t="s">
        <v>1176</v>
      </c>
      <c r="BD200" s="104" t="s">
        <v>1176</v>
      </c>
      <c r="BE200" s="104" t="s">
        <v>1176</v>
      </c>
      <c r="BF200" s="104" t="s">
        <v>1176</v>
      </c>
      <c r="BG200" s="104" t="s">
        <v>1207</v>
      </c>
      <c r="BH200" s="104" t="s">
        <v>1207</v>
      </c>
      <c r="BI200" s="104" t="s">
        <v>2806</v>
      </c>
      <c r="BJ200" s="104" t="s">
        <v>1176</v>
      </c>
      <c r="BK200" s="104" t="s">
        <v>1176</v>
      </c>
      <c r="BL200" s="104" t="s">
        <v>1176</v>
      </c>
      <c r="BM200" s="104" t="s">
        <v>1176</v>
      </c>
      <c r="BN200" s="104" t="s">
        <v>1601</v>
      </c>
      <c r="BO200" s="104" t="s">
        <v>1601</v>
      </c>
      <c r="BP200" s="104" t="s">
        <v>1176</v>
      </c>
      <c r="BQ200" s="104" t="s">
        <v>1176</v>
      </c>
      <c r="BR200" s="104" t="s">
        <v>1176</v>
      </c>
      <c r="BS200" s="104" t="s">
        <v>1176</v>
      </c>
      <c r="BT200" s="104" t="s">
        <v>1306</v>
      </c>
      <c r="BU200" s="104" t="s">
        <v>2807</v>
      </c>
      <c r="BV200" s="104" t="s">
        <v>1176</v>
      </c>
      <c r="BW200" s="104" t="s">
        <v>1176</v>
      </c>
      <c r="BX200" s="104" t="s">
        <v>1187</v>
      </c>
      <c r="BY200" s="104" t="s">
        <v>1212</v>
      </c>
      <c r="BZ200" s="104" t="s">
        <v>1176</v>
      </c>
      <c r="CA200" s="104" t="s">
        <v>1176</v>
      </c>
      <c r="CB200" s="104" t="s">
        <v>1176</v>
      </c>
      <c r="CC200" s="104" t="s">
        <v>1176</v>
      </c>
      <c r="CD200" s="104" t="s">
        <v>1176</v>
      </c>
      <c r="CE200" s="104" t="s">
        <v>1176</v>
      </c>
      <c r="CF200" s="104" t="s">
        <v>1176</v>
      </c>
      <c r="CG200" s="104" t="s">
        <v>1176</v>
      </c>
      <c r="CH200" s="104" t="s">
        <v>1176</v>
      </c>
      <c r="CI200" s="104" t="s">
        <v>1176</v>
      </c>
      <c r="CJ200" s="104" t="s">
        <v>1176</v>
      </c>
      <c r="CK200" s="104" t="s">
        <v>1176</v>
      </c>
      <c r="CL200" s="104" t="s">
        <v>1176</v>
      </c>
      <c r="CM200" s="104" t="s">
        <v>1176</v>
      </c>
      <c r="CN200" s="104" t="s">
        <v>1176</v>
      </c>
      <c r="CO200" s="104" t="s">
        <v>1176</v>
      </c>
    </row>
    <row r="201" s="102" customFormat="1" ht="15" spans="1:93">
      <c r="A201" s="104" t="s">
        <v>1323</v>
      </c>
      <c r="B201" s="104" t="s">
        <v>1146</v>
      </c>
      <c r="C201" s="104" t="s">
        <v>1147</v>
      </c>
      <c r="D201" s="104" t="s">
        <v>2808</v>
      </c>
      <c r="E201" s="104" t="s">
        <v>2809</v>
      </c>
      <c r="F201" s="104">
        <f t="shared" si="3"/>
        <v>3864</v>
      </c>
      <c r="G201" s="104" t="s">
        <v>2810</v>
      </c>
      <c r="H201" s="104" t="s">
        <v>1176</v>
      </c>
      <c r="I201" s="104" t="s">
        <v>1176</v>
      </c>
      <c r="J201" s="104" t="s">
        <v>1176</v>
      </c>
      <c r="K201" s="104" t="s">
        <v>1176</v>
      </c>
      <c r="L201" s="104" t="s">
        <v>1311</v>
      </c>
      <c r="M201" s="104" t="s">
        <v>2811</v>
      </c>
      <c r="N201" s="104" t="s">
        <v>1238</v>
      </c>
      <c r="O201" s="104" t="s">
        <v>1176</v>
      </c>
      <c r="P201" s="104" t="s">
        <v>1176</v>
      </c>
      <c r="Q201" s="104" t="s">
        <v>1176</v>
      </c>
      <c r="R201" s="104" t="s">
        <v>1176</v>
      </c>
      <c r="S201" s="104" t="s">
        <v>1176</v>
      </c>
      <c r="T201" s="104" t="s">
        <v>1176</v>
      </c>
      <c r="U201" s="104" t="s">
        <v>1211</v>
      </c>
      <c r="V201" s="104" t="s">
        <v>2812</v>
      </c>
      <c r="W201" s="104" t="s">
        <v>1176</v>
      </c>
      <c r="X201" s="104" t="s">
        <v>2813</v>
      </c>
      <c r="Y201" s="104" t="s">
        <v>1629</v>
      </c>
      <c r="Z201" s="104" t="s">
        <v>2814</v>
      </c>
      <c r="AA201" s="104" t="s">
        <v>1176</v>
      </c>
      <c r="AB201" s="104" t="s">
        <v>1176</v>
      </c>
      <c r="AC201" s="104" t="s">
        <v>1176</v>
      </c>
      <c r="AD201" s="104" t="s">
        <v>1176</v>
      </c>
      <c r="AE201" s="104" t="s">
        <v>1176</v>
      </c>
      <c r="AF201" s="104" t="s">
        <v>1176</v>
      </c>
      <c r="AG201" s="104" t="s">
        <v>1176</v>
      </c>
      <c r="AH201" s="104" t="s">
        <v>1176</v>
      </c>
      <c r="AI201" s="104" t="s">
        <v>1218</v>
      </c>
      <c r="AJ201" s="104" t="s">
        <v>2245</v>
      </c>
      <c r="AK201" s="104" t="s">
        <v>2737</v>
      </c>
      <c r="AL201" s="104" t="s">
        <v>2815</v>
      </c>
      <c r="AM201" s="104" t="s">
        <v>1176</v>
      </c>
      <c r="AN201" s="104" t="s">
        <v>1172</v>
      </c>
      <c r="AO201" s="104" t="s">
        <v>1176</v>
      </c>
      <c r="AP201" s="104" t="s">
        <v>1176</v>
      </c>
      <c r="AQ201" s="104" t="s">
        <v>1176</v>
      </c>
      <c r="AR201" s="104" t="s">
        <v>1176</v>
      </c>
      <c r="AS201" s="104" t="s">
        <v>1176</v>
      </c>
      <c r="AT201" s="104" t="s">
        <v>1176</v>
      </c>
      <c r="AU201" s="104" t="s">
        <v>1176</v>
      </c>
      <c r="AV201" s="104" t="s">
        <v>1176</v>
      </c>
      <c r="AW201" s="104" t="s">
        <v>1176</v>
      </c>
      <c r="AX201" s="104" t="s">
        <v>1176</v>
      </c>
      <c r="AY201" s="104" t="s">
        <v>1176</v>
      </c>
      <c r="AZ201" s="104" t="s">
        <v>1176</v>
      </c>
      <c r="BA201" s="104" t="s">
        <v>1176</v>
      </c>
      <c r="BB201" s="104" t="s">
        <v>1176</v>
      </c>
      <c r="BC201" s="104" t="s">
        <v>1176</v>
      </c>
      <c r="BD201" s="104" t="s">
        <v>1176</v>
      </c>
      <c r="BE201" s="104" t="s">
        <v>1176</v>
      </c>
      <c r="BF201" s="104" t="s">
        <v>1176</v>
      </c>
      <c r="BG201" s="104" t="s">
        <v>1860</v>
      </c>
      <c r="BH201" s="104" t="s">
        <v>1860</v>
      </c>
      <c r="BI201" s="104" t="s">
        <v>2816</v>
      </c>
      <c r="BJ201" s="104" t="s">
        <v>1176</v>
      </c>
      <c r="BK201" s="104" t="s">
        <v>1176</v>
      </c>
      <c r="BL201" s="104" t="s">
        <v>1176</v>
      </c>
      <c r="BM201" s="104" t="s">
        <v>1176</v>
      </c>
      <c r="BN201" s="104" t="s">
        <v>1218</v>
      </c>
      <c r="BO201" s="104" t="s">
        <v>1218</v>
      </c>
      <c r="BP201" s="104" t="s">
        <v>1176</v>
      </c>
      <c r="BQ201" s="104" t="s">
        <v>1176</v>
      </c>
      <c r="BR201" s="104" t="s">
        <v>1176</v>
      </c>
      <c r="BS201" s="104" t="s">
        <v>1176</v>
      </c>
      <c r="BT201" s="104" t="s">
        <v>1702</v>
      </c>
      <c r="BU201" s="104" t="s">
        <v>2812</v>
      </c>
      <c r="BV201" s="104" t="s">
        <v>1176</v>
      </c>
      <c r="BW201" s="104" t="s">
        <v>1176</v>
      </c>
      <c r="BX201" s="104" t="s">
        <v>1354</v>
      </c>
      <c r="BY201" s="104" t="s">
        <v>2221</v>
      </c>
      <c r="BZ201" s="104" t="s">
        <v>1176</v>
      </c>
      <c r="CA201" s="104" t="s">
        <v>1176</v>
      </c>
      <c r="CB201" s="104" t="s">
        <v>1176</v>
      </c>
      <c r="CC201" s="104" t="s">
        <v>1176</v>
      </c>
      <c r="CD201" s="104" t="s">
        <v>1176</v>
      </c>
      <c r="CE201" s="104" t="s">
        <v>1176</v>
      </c>
      <c r="CF201" s="104" t="s">
        <v>1176</v>
      </c>
      <c r="CG201" s="104" t="s">
        <v>1176</v>
      </c>
      <c r="CH201" s="104" t="s">
        <v>1176</v>
      </c>
      <c r="CI201" s="104" t="s">
        <v>1176</v>
      </c>
      <c r="CJ201" s="104" t="s">
        <v>1176</v>
      </c>
      <c r="CK201" s="104" t="s">
        <v>1176</v>
      </c>
      <c r="CL201" s="104" t="s">
        <v>1176</v>
      </c>
      <c r="CM201" s="104" t="s">
        <v>1176</v>
      </c>
      <c r="CN201" s="104" t="s">
        <v>1176</v>
      </c>
      <c r="CO201" s="104" t="s">
        <v>1176</v>
      </c>
    </row>
    <row r="202" s="102" customFormat="1" ht="15" spans="1:93">
      <c r="A202" s="104" t="s">
        <v>1345</v>
      </c>
      <c r="B202" s="104" t="s">
        <v>1146</v>
      </c>
      <c r="C202" s="104" t="s">
        <v>1147</v>
      </c>
      <c r="D202" s="104" t="s">
        <v>2817</v>
      </c>
      <c r="E202" s="104" t="s">
        <v>2818</v>
      </c>
      <c r="F202" s="104">
        <f t="shared" si="3"/>
        <v>3864</v>
      </c>
      <c r="G202" s="104" t="s">
        <v>2819</v>
      </c>
      <c r="H202" s="104" t="s">
        <v>1176</v>
      </c>
      <c r="I202" s="104" t="s">
        <v>1176</v>
      </c>
      <c r="J202" s="104" t="s">
        <v>1176</v>
      </c>
      <c r="K202" s="104" t="s">
        <v>1176</v>
      </c>
      <c r="L202" s="104" t="s">
        <v>1336</v>
      </c>
      <c r="M202" s="104" t="s">
        <v>2820</v>
      </c>
      <c r="N202" s="104" t="s">
        <v>1218</v>
      </c>
      <c r="O202" s="104" t="s">
        <v>1176</v>
      </c>
      <c r="P202" s="104" t="s">
        <v>1232</v>
      </c>
      <c r="Q202" s="104" t="s">
        <v>1176</v>
      </c>
      <c r="R202" s="104" t="s">
        <v>1176</v>
      </c>
      <c r="S202" s="104" t="s">
        <v>1176</v>
      </c>
      <c r="T202" s="104" t="s">
        <v>1176</v>
      </c>
      <c r="U202" s="104" t="s">
        <v>1218</v>
      </c>
      <c r="V202" s="104" t="s">
        <v>2821</v>
      </c>
      <c r="W202" s="104" t="s">
        <v>1176</v>
      </c>
      <c r="X202" s="104" t="s">
        <v>2822</v>
      </c>
      <c r="Y202" s="104" t="s">
        <v>2168</v>
      </c>
      <c r="Z202" s="104" t="s">
        <v>2823</v>
      </c>
      <c r="AA202" s="104" t="s">
        <v>1176</v>
      </c>
      <c r="AB202" s="104" t="s">
        <v>1176</v>
      </c>
      <c r="AC202" s="104" t="s">
        <v>1188</v>
      </c>
      <c r="AD202" s="104" t="s">
        <v>2672</v>
      </c>
      <c r="AE202" s="104" t="s">
        <v>1176</v>
      </c>
      <c r="AF202" s="104" t="s">
        <v>1176</v>
      </c>
      <c r="AG202" s="104" t="s">
        <v>1176</v>
      </c>
      <c r="AH202" s="104" t="s">
        <v>1176</v>
      </c>
      <c r="AI202" s="104" t="s">
        <v>1201</v>
      </c>
      <c r="AJ202" s="104" t="s">
        <v>1247</v>
      </c>
      <c r="AK202" s="104" t="s">
        <v>1400</v>
      </c>
      <c r="AL202" s="104" t="s">
        <v>2824</v>
      </c>
      <c r="AM202" s="104" t="s">
        <v>1176</v>
      </c>
      <c r="AN202" s="104" t="s">
        <v>1212</v>
      </c>
      <c r="AO202" s="104" t="s">
        <v>1176</v>
      </c>
      <c r="AP202" s="104" t="s">
        <v>1176</v>
      </c>
      <c r="AQ202" s="104" t="s">
        <v>1176</v>
      </c>
      <c r="AR202" s="104" t="s">
        <v>1176</v>
      </c>
      <c r="AS202" s="104" t="s">
        <v>1176</v>
      </c>
      <c r="AT202" s="104" t="s">
        <v>1176</v>
      </c>
      <c r="AU202" s="104" t="s">
        <v>1176</v>
      </c>
      <c r="AV202" s="104" t="s">
        <v>1176</v>
      </c>
      <c r="AW202" s="104" t="s">
        <v>1176</v>
      </c>
      <c r="AX202" s="104" t="s">
        <v>1176</v>
      </c>
      <c r="AY202" s="104" t="s">
        <v>1176</v>
      </c>
      <c r="AZ202" s="104" t="s">
        <v>1176</v>
      </c>
      <c r="BA202" s="104" t="s">
        <v>1176</v>
      </c>
      <c r="BB202" s="104" t="s">
        <v>1176</v>
      </c>
      <c r="BC202" s="104" t="s">
        <v>1176</v>
      </c>
      <c r="BD202" s="104" t="s">
        <v>1176</v>
      </c>
      <c r="BE202" s="104" t="s">
        <v>1176</v>
      </c>
      <c r="BF202" s="104" t="s">
        <v>1176</v>
      </c>
      <c r="BG202" s="104" t="s">
        <v>1259</v>
      </c>
      <c r="BH202" s="104" t="s">
        <v>1259</v>
      </c>
      <c r="BI202" s="104" t="s">
        <v>2825</v>
      </c>
      <c r="BJ202" s="104" t="s">
        <v>1176</v>
      </c>
      <c r="BK202" s="104" t="s">
        <v>1176</v>
      </c>
      <c r="BL202" s="104" t="s">
        <v>1176</v>
      </c>
      <c r="BM202" s="104" t="s">
        <v>1176</v>
      </c>
      <c r="BN202" s="104" t="s">
        <v>1442</v>
      </c>
      <c r="BO202" s="104" t="s">
        <v>1442</v>
      </c>
      <c r="BP202" s="104" t="s">
        <v>1176</v>
      </c>
      <c r="BQ202" s="104" t="s">
        <v>1176</v>
      </c>
      <c r="BR202" s="104" t="s">
        <v>1176</v>
      </c>
      <c r="BS202" s="104" t="s">
        <v>1176</v>
      </c>
      <c r="BT202" s="104" t="s">
        <v>1508</v>
      </c>
      <c r="BU202" s="104" t="s">
        <v>2826</v>
      </c>
      <c r="BV202" s="104" t="s">
        <v>1176</v>
      </c>
      <c r="BW202" s="104" t="s">
        <v>1176</v>
      </c>
      <c r="BX202" s="104" t="s">
        <v>1232</v>
      </c>
      <c r="BY202" s="104" t="s">
        <v>1211</v>
      </c>
      <c r="BZ202" s="104" t="s">
        <v>1176</v>
      </c>
      <c r="CA202" s="104" t="s">
        <v>1176</v>
      </c>
      <c r="CB202" s="104" t="s">
        <v>1176</v>
      </c>
      <c r="CC202" s="104" t="s">
        <v>1176</v>
      </c>
      <c r="CD202" s="104" t="s">
        <v>1176</v>
      </c>
      <c r="CE202" s="104" t="s">
        <v>1176</v>
      </c>
      <c r="CF202" s="104" t="s">
        <v>1176</v>
      </c>
      <c r="CG202" s="104" t="s">
        <v>1176</v>
      </c>
      <c r="CH202" s="104" t="s">
        <v>1176</v>
      </c>
      <c r="CI202" s="104" t="s">
        <v>1176</v>
      </c>
      <c r="CJ202" s="104" t="s">
        <v>1176</v>
      </c>
      <c r="CK202" s="104" t="s">
        <v>1176</v>
      </c>
      <c r="CL202" s="104" t="s">
        <v>1176</v>
      </c>
      <c r="CM202" s="104" t="s">
        <v>1176</v>
      </c>
      <c r="CN202" s="104" t="s">
        <v>1176</v>
      </c>
      <c r="CO202" s="104" t="s">
        <v>1176</v>
      </c>
    </row>
    <row r="203" s="102" customFormat="1" ht="15" spans="1:93">
      <c r="A203" s="104" t="s">
        <v>1429</v>
      </c>
      <c r="B203" s="104" t="s">
        <v>1146</v>
      </c>
      <c r="C203" s="104" t="s">
        <v>1147</v>
      </c>
      <c r="D203" s="104" t="s">
        <v>2827</v>
      </c>
      <c r="E203" s="104" t="s">
        <v>2828</v>
      </c>
      <c r="F203" s="104">
        <f t="shared" si="3"/>
        <v>4335</v>
      </c>
      <c r="G203" s="104" t="s">
        <v>2829</v>
      </c>
      <c r="H203" s="104" t="s">
        <v>1176</v>
      </c>
      <c r="I203" s="104" t="s">
        <v>1176</v>
      </c>
      <c r="J203" s="104" t="s">
        <v>1176</v>
      </c>
      <c r="K203" s="104" t="s">
        <v>1176</v>
      </c>
      <c r="L203" s="104" t="s">
        <v>2830</v>
      </c>
      <c r="M203" s="104" t="s">
        <v>2831</v>
      </c>
      <c r="N203" s="104" t="s">
        <v>1201</v>
      </c>
      <c r="O203" s="104" t="s">
        <v>1176</v>
      </c>
      <c r="P203" s="104" t="s">
        <v>1172</v>
      </c>
      <c r="Q203" s="104" t="s">
        <v>1176</v>
      </c>
      <c r="R203" s="104" t="s">
        <v>1176</v>
      </c>
      <c r="S203" s="104" t="s">
        <v>1176</v>
      </c>
      <c r="T203" s="104" t="s">
        <v>1176</v>
      </c>
      <c r="U203" s="104" t="s">
        <v>1187</v>
      </c>
      <c r="V203" s="104" t="s">
        <v>2232</v>
      </c>
      <c r="W203" s="104" t="s">
        <v>1176</v>
      </c>
      <c r="X203" s="104" t="s">
        <v>2832</v>
      </c>
      <c r="Y203" s="104" t="s">
        <v>1272</v>
      </c>
      <c r="Z203" s="104" t="s">
        <v>2150</v>
      </c>
      <c r="AA203" s="104" t="s">
        <v>1176</v>
      </c>
      <c r="AB203" s="104" t="s">
        <v>1176</v>
      </c>
      <c r="AC203" s="104" t="s">
        <v>1176</v>
      </c>
      <c r="AD203" s="104" t="s">
        <v>1176</v>
      </c>
      <c r="AE203" s="104" t="s">
        <v>1176</v>
      </c>
      <c r="AF203" s="104" t="s">
        <v>1176</v>
      </c>
      <c r="AG203" s="104" t="s">
        <v>1176</v>
      </c>
      <c r="AH203" s="104" t="s">
        <v>1176</v>
      </c>
      <c r="AI203" s="104" t="s">
        <v>1421</v>
      </c>
      <c r="AJ203" s="104" t="s">
        <v>1294</v>
      </c>
      <c r="AK203" s="104" t="s">
        <v>2545</v>
      </c>
      <c r="AL203" s="104" t="s">
        <v>2833</v>
      </c>
      <c r="AM203" s="104" t="s">
        <v>1176</v>
      </c>
      <c r="AN203" s="104" t="s">
        <v>1180</v>
      </c>
      <c r="AO203" s="104" t="s">
        <v>1176</v>
      </c>
      <c r="AP203" s="104" t="s">
        <v>1176</v>
      </c>
      <c r="AQ203" s="104" t="s">
        <v>1176</v>
      </c>
      <c r="AR203" s="104" t="s">
        <v>1176</v>
      </c>
      <c r="AS203" s="104" t="s">
        <v>1176</v>
      </c>
      <c r="AT203" s="104" t="s">
        <v>1176</v>
      </c>
      <c r="AU203" s="104" t="s">
        <v>1176</v>
      </c>
      <c r="AV203" s="104" t="s">
        <v>1176</v>
      </c>
      <c r="AW203" s="104" t="s">
        <v>1176</v>
      </c>
      <c r="AX203" s="104" t="s">
        <v>1176</v>
      </c>
      <c r="AY203" s="104" t="s">
        <v>1176</v>
      </c>
      <c r="AZ203" s="104" t="s">
        <v>1176</v>
      </c>
      <c r="BA203" s="104" t="s">
        <v>1176</v>
      </c>
      <c r="BB203" s="104" t="s">
        <v>1176</v>
      </c>
      <c r="BC203" s="104" t="s">
        <v>1176</v>
      </c>
      <c r="BD203" s="104" t="s">
        <v>1176</v>
      </c>
      <c r="BE203" s="104" t="s">
        <v>1176</v>
      </c>
      <c r="BF203" s="104" t="s">
        <v>1176</v>
      </c>
      <c r="BG203" s="104" t="s">
        <v>1238</v>
      </c>
      <c r="BH203" s="104" t="s">
        <v>1238</v>
      </c>
      <c r="BI203" s="104" t="s">
        <v>1712</v>
      </c>
      <c r="BJ203" s="104" t="s">
        <v>1176</v>
      </c>
      <c r="BK203" s="104" t="s">
        <v>1176</v>
      </c>
      <c r="BL203" s="104" t="s">
        <v>1176</v>
      </c>
      <c r="BM203" s="104" t="s">
        <v>1176</v>
      </c>
      <c r="BN203" s="104" t="s">
        <v>1232</v>
      </c>
      <c r="BO203" s="104" t="s">
        <v>1232</v>
      </c>
      <c r="BP203" s="104" t="s">
        <v>1176</v>
      </c>
      <c r="BQ203" s="104" t="s">
        <v>1176</v>
      </c>
      <c r="BR203" s="104" t="s">
        <v>1176</v>
      </c>
      <c r="BS203" s="104" t="s">
        <v>1176</v>
      </c>
      <c r="BT203" s="104" t="s">
        <v>1232</v>
      </c>
      <c r="BU203" s="104" t="s">
        <v>1294</v>
      </c>
      <c r="BV203" s="104" t="s">
        <v>1176</v>
      </c>
      <c r="BW203" s="104" t="s">
        <v>1176</v>
      </c>
      <c r="BX203" s="104" t="s">
        <v>1172</v>
      </c>
      <c r="BY203" s="104" t="s">
        <v>1188</v>
      </c>
      <c r="BZ203" s="104" t="s">
        <v>1176</v>
      </c>
      <c r="CA203" s="104" t="s">
        <v>1176</v>
      </c>
      <c r="CB203" s="104" t="s">
        <v>1176</v>
      </c>
      <c r="CC203" s="104" t="s">
        <v>1176</v>
      </c>
      <c r="CD203" s="104" t="s">
        <v>1176</v>
      </c>
      <c r="CE203" s="104" t="s">
        <v>1176</v>
      </c>
      <c r="CF203" s="104" t="s">
        <v>1176</v>
      </c>
      <c r="CG203" s="104" t="s">
        <v>1176</v>
      </c>
      <c r="CH203" s="104" t="s">
        <v>1176</v>
      </c>
      <c r="CI203" s="104" t="s">
        <v>1176</v>
      </c>
      <c r="CJ203" s="104" t="s">
        <v>1176</v>
      </c>
      <c r="CK203" s="104" t="s">
        <v>1176</v>
      </c>
      <c r="CL203" s="104" t="s">
        <v>1176</v>
      </c>
      <c r="CM203" s="104" t="s">
        <v>1176</v>
      </c>
      <c r="CN203" s="104" t="s">
        <v>1176</v>
      </c>
      <c r="CO203" s="104" t="s">
        <v>1176</v>
      </c>
    </row>
    <row r="204" s="102" customFormat="1" ht="15" spans="1:93">
      <c r="A204" s="104" t="s">
        <v>1556</v>
      </c>
      <c r="B204" s="104" t="s">
        <v>1146</v>
      </c>
      <c r="C204" s="104" t="s">
        <v>1147</v>
      </c>
      <c r="D204" s="104" t="s">
        <v>2834</v>
      </c>
      <c r="E204" s="104" t="s">
        <v>2835</v>
      </c>
      <c r="F204" s="104">
        <f t="shared" si="3"/>
        <v>4885</v>
      </c>
      <c r="G204" s="104" t="s">
        <v>2836</v>
      </c>
      <c r="H204" s="104" t="s">
        <v>1176</v>
      </c>
      <c r="I204" s="104" t="s">
        <v>1176</v>
      </c>
      <c r="J204" s="104" t="s">
        <v>1176</v>
      </c>
      <c r="K204" s="104" t="s">
        <v>1176</v>
      </c>
      <c r="L204" s="104" t="s">
        <v>2837</v>
      </c>
      <c r="M204" s="104" t="s">
        <v>1800</v>
      </c>
      <c r="N204" s="104" t="s">
        <v>1306</v>
      </c>
      <c r="O204" s="104" t="s">
        <v>1176</v>
      </c>
      <c r="P204" s="104" t="s">
        <v>1187</v>
      </c>
      <c r="Q204" s="104" t="s">
        <v>1176</v>
      </c>
      <c r="R204" s="104" t="s">
        <v>1176</v>
      </c>
      <c r="S204" s="104" t="s">
        <v>1176</v>
      </c>
      <c r="T204" s="104" t="s">
        <v>1176</v>
      </c>
      <c r="U204" s="104" t="s">
        <v>1212</v>
      </c>
      <c r="V204" s="104" t="s">
        <v>1438</v>
      </c>
      <c r="W204" s="104" t="s">
        <v>1176</v>
      </c>
      <c r="X204" s="104" t="s">
        <v>2838</v>
      </c>
      <c r="Y204" s="104" t="s">
        <v>1366</v>
      </c>
      <c r="Z204" s="104" t="s">
        <v>2839</v>
      </c>
      <c r="AA204" s="104" t="s">
        <v>1176</v>
      </c>
      <c r="AB204" s="104" t="s">
        <v>1176</v>
      </c>
      <c r="AC204" s="104" t="s">
        <v>1188</v>
      </c>
      <c r="AD204" s="104" t="s">
        <v>2672</v>
      </c>
      <c r="AE204" s="104" t="s">
        <v>1176</v>
      </c>
      <c r="AF204" s="104" t="s">
        <v>1176</v>
      </c>
      <c r="AG204" s="104" t="s">
        <v>1176</v>
      </c>
      <c r="AH204" s="104" t="s">
        <v>1176</v>
      </c>
      <c r="AI204" s="104" t="s">
        <v>1227</v>
      </c>
      <c r="AJ204" s="104" t="s">
        <v>2840</v>
      </c>
      <c r="AK204" s="104" t="s">
        <v>1421</v>
      </c>
      <c r="AL204" s="104" t="s">
        <v>2841</v>
      </c>
      <c r="AM204" s="104" t="s">
        <v>1176</v>
      </c>
      <c r="AN204" s="104" t="s">
        <v>1187</v>
      </c>
      <c r="AO204" s="104" t="s">
        <v>1176</v>
      </c>
      <c r="AP204" s="104" t="s">
        <v>1176</v>
      </c>
      <c r="AQ204" s="104" t="s">
        <v>1176</v>
      </c>
      <c r="AR204" s="104" t="s">
        <v>1176</v>
      </c>
      <c r="AS204" s="104" t="s">
        <v>1176</v>
      </c>
      <c r="AT204" s="104" t="s">
        <v>1176</v>
      </c>
      <c r="AU204" s="104" t="s">
        <v>1176</v>
      </c>
      <c r="AV204" s="104" t="s">
        <v>1176</v>
      </c>
      <c r="AW204" s="104" t="s">
        <v>1176</v>
      </c>
      <c r="AX204" s="104" t="s">
        <v>1176</v>
      </c>
      <c r="AY204" s="104" t="s">
        <v>1176</v>
      </c>
      <c r="AZ204" s="104" t="s">
        <v>1176</v>
      </c>
      <c r="BA204" s="104" t="s">
        <v>1176</v>
      </c>
      <c r="BB204" s="104" t="s">
        <v>1176</v>
      </c>
      <c r="BC204" s="104" t="s">
        <v>1176</v>
      </c>
      <c r="BD204" s="104" t="s">
        <v>1176</v>
      </c>
      <c r="BE204" s="104" t="s">
        <v>1176</v>
      </c>
      <c r="BF204" s="104" t="s">
        <v>1176</v>
      </c>
      <c r="BG204" s="104" t="s">
        <v>1314</v>
      </c>
      <c r="BH204" s="104" t="s">
        <v>1314</v>
      </c>
      <c r="BI204" s="104" t="s">
        <v>1503</v>
      </c>
      <c r="BJ204" s="104" t="s">
        <v>1176</v>
      </c>
      <c r="BK204" s="104" t="s">
        <v>1176</v>
      </c>
      <c r="BL204" s="104" t="s">
        <v>1176</v>
      </c>
      <c r="BM204" s="104" t="s">
        <v>1176</v>
      </c>
      <c r="BN204" s="104" t="s">
        <v>1187</v>
      </c>
      <c r="BO204" s="104" t="s">
        <v>1187</v>
      </c>
      <c r="BP204" s="104" t="s">
        <v>1176</v>
      </c>
      <c r="BQ204" s="104" t="s">
        <v>1176</v>
      </c>
      <c r="BR204" s="104" t="s">
        <v>1176</v>
      </c>
      <c r="BS204" s="104" t="s">
        <v>1176</v>
      </c>
      <c r="BT204" s="104" t="s">
        <v>1328</v>
      </c>
      <c r="BU204" s="104" t="s">
        <v>1589</v>
      </c>
      <c r="BV204" s="104" t="s">
        <v>1176</v>
      </c>
      <c r="BW204" s="104" t="s">
        <v>1176</v>
      </c>
      <c r="BX204" s="104" t="s">
        <v>1176</v>
      </c>
      <c r="BY204" s="104" t="s">
        <v>1176</v>
      </c>
      <c r="BZ204" s="104" t="s">
        <v>1176</v>
      </c>
      <c r="CA204" s="104" t="s">
        <v>1176</v>
      </c>
      <c r="CB204" s="104" t="s">
        <v>1176</v>
      </c>
      <c r="CC204" s="104" t="s">
        <v>1176</v>
      </c>
      <c r="CD204" s="104" t="s">
        <v>1176</v>
      </c>
      <c r="CE204" s="104" t="s">
        <v>1176</v>
      </c>
      <c r="CF204" s="104" t="s">
        <v>1176</v>
      </c>
      <c r="CG204" s="104" t="s">
        <v>1176</v>
      </c>
      <c r="CH204" s="104" t="s">
        <v>1176</v>
      </c>
      <c r="CI204" s="104" t="s">
        <v>1176</v>
      </c>
      <c r="CJ204" s="104" t="s">
        <v>1176</v>
      </c>
      <c r="CK204" s="104" t="s">
        <v>1176</v>
      </c>
      <c r="CL204" s="104" t="s">
        <v>1176</v>
      </c>
      <c r="CM204" s="104" t="s">
        <v>1176</v>
      </c>
      <c r="CN204" s="104" t="s">
        <v>1176</v>
      </c>
      <c r="CO204" s="104" t="s">
        <v>1176</v>
      </c>
    </row>
    <row r="205" s="102" customFormat="1" ht="15" spans="1:93">
      <c r="A205" s="104" t="s">
        <v>1455</v>
      </c>
      <c r="B205" s="104" t="s">
        <v>1146</v>
      </c>
      <c r="C205" s="104" t="s">
        <v>1147</v>
      </c>
      <c r="D205" s="104" t="s">
        <v>2842</v>
      </c>
      <c r="E205" s="104" t="s">
        <v>2843</v>
      </c>
      <c r="F205" s="104">
        <f t="shared" si="3"/>
        <v>3285</v>
      </c>
      <c r="G205" s="104" t="s">
        <v>1824</v>
      </c>
      <c r="H205" s="104" t="s">
        <v>1176</v>
      </c>
      <c r="I205" s="104" t="s">
        <v>1176</v>
      </c>
      <c r="J205" s="104" t="s">
        <v>1176</v>
      </c>
      <c r="K205" s="104" t="s">
        <v>1176</v>
      </c>
      <c r="L205" s="104" t="s">
        <v>1900</v>
      </c>
      <c r="M205" s="104" t="s">
        <v>2844</v>
      </c>
      <c r="N205" s="104" t="s">
        <v>1201</v>
      </c>
      <c r="O205" s="104" t="s">
        <v>1176</v>
      </c>
      <c r="P205" s="104" t="s">
        <v>1176</v>
      </c>
      <c r="Q205" s="104" t="s">
        <v>1176</v>
      </c>
      <c r="R205" s="104" t="s">
        <v>1176</v>
      </c>
      <c r="S205" s="104" t="s">
        <v>1176</v>
      </c>
      <c r="T205" s="104" t="s">
        <v>1176</v>
      </c>
      <c r="U205" s="104" t="s">
        <v>1232</v>
      </c>
      <c r="V205" s="104" t="s">
        <v>2845</v>
      </c>
      <c r="W205" s="104" t="s">
        <v>1176</v>
      </c>
      <c r="X205" s="104" t="s">
        <v>2846</v>
      </c>
      <c r="Y205" s="104" t="s">
        <v>1434</v>
      </c>
      <c r="Z205" s="104" t="s">
        <v>2847</v>
      </c>
      <c r="AA205" s="104" t="s">
        <v>1176</v>
      </c>
      <c r="AB205" s="104" t="s">
        <v>1176</v>
      </c>
      <c r="AC205" s="104" t="s">
        <v>1188</v>
      </c>
      <c r="AD205" s="104" t="s">
        <v>2672</v>
      </c>
      <c r="AE205" s="104" t="s">
        <v>1176</v>
      </c>
      <c r="AF205" s="104" t="s">
        <v>1176</v>
      </c>
      <c r="AG205" s="104" t="s">
        <v>1176</v>
      </c>
      <c r="AH205" s="104" t="s">
        <v>1176</v>
      </c>
      <c r="AI205" s="104" t="s">
        <v>1566</v>
      </c>
      <c r="AJ205" s="104" t="s">
        <v>2848</v>
      </c>
      <c r="AK205" s="104" t="s">
        <v>2849</v>
      </c>
      <c r="AL205" s="104" t="s">
        <v>2850</v>
      </c>
      <c r="AM205" s="104" t="s">
        <v>1176</v>
      </c>
      <c r="AN205" s="104" t="s">
        <v>1179</v>
      </c>
      <c r="AO205" s="104" t="s">
        <v>1176</v>
      </c>
      <c r="AP205" s="104" t="s">
        <v>1176</v>
      </c>
      <c r="AQ205" s="104" t="s">
        <v>1176</v>
      </c>
      <c r="AR205" s="104" t="s">
        <v>1176</v>
      </c>
      <c r="AS205" s="104" t="s">
        <v>1176</v>
      </c>
      <c r="AT205" s="104" t="s">
        <v>1176</v>
      </c>
      <c r="AU205" s="104" t="s">
        <v>1176</v>
      </c>
      <c r="AV205" s="104" t="s">
        <v>1172</v>
      </c>
      <c r="AW205" s="104" t="s">
        <v>1176</v>
      </c>
      <c r="AX205" s="104" t="s">
        <v>1176</v>
      </c>
      <c r="AY205" s="104" t="s">
        <v>1176</v>
      </c>
      <c r="AZ205" s="104" t="s">
        <v>1176</v>
      </c>
      <c r="BA205" s="104" t="s">
        <v>1176</v>
      </c>
      <c r="BB205" s="104" t="s">
        <v>1176</v>
      </c>
      <c r="BC205" s="104" t="s">
        <v>1176</v>
      </c>
      <c r="BD205" s="104" t="s">
        <v>1176</v>
      </c>
      <c r="BE205" s="104" t="s">
        <v>1176</v>
      </c>
      <c r="BF205" s="104" t="s">
        <v>1176</v>
      </c>
      <c r="BG205" s="104" t="s">
        <v>1350</v>
      </c>
      <c r="BH205" s="104" t="s">
        <v>1350</v>
      </c>
      <c r="BI205" s="104" t="s">
        <v>2851</v>
      </c>
      <c r="BJ205" s="104" t="s">
        <v>1176</v>
      </c>
      <c r="BK205" s="104" t="s">
        <v>1176</v>
      </c>
      <c r="BL205" s="104" t="s">
        <v>1176</v>
      </c>
      <c r="BM205" s="104" t="s">
        <v>1176</v>
      </c>
      <c r="BN205" s="104" t="s">
        <v>1556</v>
      </c>
      <c r="BO205" s="104" t="s">
        <v>1455</v>
      </c>
      <c r="BP205" s="104" t="s">
        <v>1176</v>
      </c>
      <c r="BQ205" s="104" t="s">
        <v>1176</v>
      </c>
      <c r="BR205" s="104" t="s">
        <v>1176</v>
      </c>
      <c r="BS205" s="104" t="s">
        <v>1176</v>
      </c>
      <c r="BT205" s="104" t="s">
        <v>1356</v>
      </c>
      <c r="BU205" s="104" t="s">
        <v>2285</v>
      </c>
      <c r="BV205" s="104" t="s">
        <v>1176</v>
      </c>
      <c r="BW205" s="104" t="s">
        <v>1176</v>
      </c>
      <c r="BX205" s="104" t="s">
        <v>1176</v>
      </c>
      <c r="BY205" s="104" t="s">
        <v>1176</v>
      </c>
      <c r="BZ205" s="104" t="s">
        <v>1176</v>
      </c>
      <c r="CA205" s="104" t="s">
        <v>1176</v>
      </c>
      <c r="CB205" s="104" t="s">
        <v>1176</v>
      </c>
      <c r="CC205" s="104" t="s">
        <v>1176</v>
      </c>
      <c r="CD205" s="104" t="s">
        <v>1176</v>
      </c>
      <c r="CE205" s="104" t="s">
        <v>1176</v>
      </c>
      <c r="CF205" s="104" t="s">
        <v>1176</v>
      </c>
      <c r="CG205" s="104" t="s">
        <v>1176</v>
      </c>
      <c r="CH205" s="104" t="s">
        <v>1176</v>
      </c>
      <c r="CI205" s="104" t="s">
        <v>1176</v>
      </c>
      <c r="CJ205" s="104" t="s">
        <v>1176</v>
      </c>
      <c r="CK205" s="104" t="s">
        <v>1176</v>
      </c>
      <c r="CL205" s="104" t="s">
        <v>1176</v>
      </c>
      <c r="CM205" s="104" t="s">
        <v>1176</v>
      </c>
      <c r="CN205" s="104" t="s">
        <v>1176</v>
      </c>
      <c r="CO205" s="104" t="s">
        <v>1176</v>
      </c>
    </row>
    <row r="206" s="102" customFormat="1" ht="15" spans="1:93">
      <c r="A206" s="104" t="s">
        <v>1412</v>
      </c>
      <c r="B206" s="104" t="s">
        <v>1146</v>
      </c>
      <c r="C206" s="104" t="s">
        <v>1147</v>
      </c>
      <c r="D206" s="104" t="s">
        <v>2852</v>
      </c>
      <c r="E206" s="104" t="s">
        <v>2853</v>
      </c>
      <c r="F206" s="104">
        <f t="shared" si="3"/>
        <v>1658</v>
      </c>
      <c r="G206" s="104" t="s">
        <v>2854</v>
      </c>
      <c r="H206" s="104" t="s">
        <v>1176</v>
      </c>
      <c r="I206" s="104" t="s">
        <v>1176</v>
      </c>
      <c r="J206" s="104" t="s">
        <v>1176</v>
      </c>
      <c r="K206" s="104" t="s">
        <v>1176</v>
      </c>
      <c r="L206" s="104" t="s">
        <v>2855</v>
      </c>
      <c r="M206" s="104" t="s">
        <v>2856</v>
      </c>
      <c r="N206" s="104" t="s">
        <v>1172</v>
      </c>
      <c r="O206" s="104" t="s">
        <v>1176</v>
      </c>
      <c r="P206" s="104" t="s">
        <v>1176</v>
      </c>
      <c r="Q206" s="104" t="s">
        <v>1176</v>
      </c>
      <c r="R206" s="104" t="s">
        <v>1176</v>
      </c>
      <c r="S206" s="104" t="s">
        <v>1176</v>
      </c>
      <c r="T206" s="104" t="s">
        <v>1176</v>
      </c>
      <c r="U206" s="104" t="s">
        <v>1176</v>
      </c>
      <c r="V206" s="104" t="s">
        <v>2232</v>
      </c>
      <c r="W206" s="104" t="s">
        <v>1176</v>
      </c>
      <c r="X206" s="104" t="s">
        <v>1176</v>
      </c>
      <c r="Y206" s="104" t="s">
        <v>1176</v>
      </c>
      <c r="Z206" s="104" t="s">
        <v>1176</v>
      </c>
      <c r="AA206" s="104" t="s">
        <v>1176</v>
      </c>
      <c r="AB206" s="104" t="s">
        <v>1176</v>
      </c>
      <c r="AC206" s="104" t="s">
        <v>1176</v>
      </c>
      <c r="AD206" s="104" t="s">
        <v>1176</v>
      </c>
      <c r="AE206" s="104" t="s">
        <v>1176</v>
      </c>
      <c r="AF206" s="104" t="s">
        <v>1176</v>
      </c>
      <c r="AG206" s="104" t="s">
        <v>1176</v>
      </c>
      <c r="AH206" s="104" t="s">
        <v>1176</v>
      </c>
      <c r="AI206" s="104" t="s">
        <v>1176</v>
      </c>
      <c r="AJ206" s="104" t="s">
        <v>1176</v>
      </c>
      <c r="AK206" s="104" t="s">
        <v>1176</v>
      </c>
      <c r="AL206" s="104" t="s">
        <v>1176</v>
      </c>
      <c r="AM206" s="104" t="s">
        <v>1176</v>
      </c>
      <c r="AN206" s="104" t="s">
        <v>1176</v>
      </c>
      <c r="AO206" s="104" t="s">
        <v>1176</v>
      </c>
      <c r="AP206" s="104" t="s">
        <v>1176</v>
      </c>
      <c r="AQ206" s="104" t="s">
        <v>1176</v>
      </c>
      <c r="AR206" s="104" t="s">
        <v>1176</v>
      </c>
      <c r="AS206" s="104" t="s">
        <v>1176</v>
      </c>
      <c r="AT206" s="104" t="s">
        <v>1176</v>
      </c>
      <c r="AU206" s="104" t="s">
        <v>1176</v>
      </c>
      <c r="AV206" s="104" t="s">
        <v>1176</v>
      </c>
      <c r="AW206" s="104" t="s">
        <v>1176</v>
      </c>
      <c r="AX206" s="104" t="s">
        <v>1176</v>
      </c>
      <c r="AY206" s="104" t="s">
        <v>1176</v>
      </c>
      <c r="AZ206" s="104" t="s">
        <v>1176</v>
      </c>
      <c r="BA206" s="104" t="s">
        <v>1176</v>
      </c>
      <c r="BB206" s="104" t="s">
        <v>1176</v>
      </c>
      <c r="BC206" s="104" t="s">
        <v>1176</v>
      </c>
      <c r="BD206" s="104" t="s">
        <v>1176</v>
      </c>
      <c r="BE206" s="104" t="s">
        <v>1176</v>
      </c>
      <c r="BF206" s="104" t="s">
        <v>1176</v>
      </c>
      <c r="BG206" s="104" t="s">
        <v>1203</v>
      </c>
      <c r="BH206" s="104" t="s">
        <v>1203</v>
      </c>
      <c r="BI206" s="104" t="s">
        <v>1476</v>
      </c>
      <c r="BJ206" s="104" t="s">
        <v>1176</v>
      </c>
      <c r="BK206" s="104" t="s">
        <v>1176</v>
      </c>
      <c r="BL206" s="104" t="s">
        <v>1176</v>
      </c>
      <c r="BM206" s="104" t="s">
        <v>1176</v>
      </c>
      <c r="BN206" s="104" t="s">
        <v>1203</v>
      </c>
      <c r="BO206" s="104" t="s">
        <v>1476</v>
      </c>
      <c r="BP206" s="104" t="s">
        <v>1176</v>
      </c>
      <c r="BQ206" s="104" t="s">
        <v>1176</v>
      </c>
      <c r="BR206" s="104" t="s">
        <v>1176</v>
      </c>
      <c r="BS206" s="104" t="s">
        <v>1176</v>
      </c>
      <c r="BT206" s="104" t="s">
        <v>1176</v>
      </c>
      <c r="BU206" s="104" t="s">
        <v>1176</v>
      </c>
      <c r="BV206" s="104" t="s">
        <v>1176</v>
      </c>
      <c r="BW206" s="104" t="s">
        <v>1176</v>
      </c>
      <c r="BX206" s="104" t="s">
        <v>1176</v>
      </c>
      <c r="BY206" s="104" t="s">
        <v>1176</v>
      </c>
      <c r="BZ206" s="104" t="s">
        <v>1176</v>
      </c>
      <c r="CA206" s="104" t="s">
        <v>1176</v>
      </c>
      <c r="CB206" s="104" t="s">
        <v>1176</v>
      </c>
      <c r="CC206" s="104" t="s">
        <v>1176</v>
      </c>
      <c r="CD206" s="104" t="s">
        <v>1176</v>
      </c>
      <c r="CE206" s="104" t="s">
        <v>1176</v>
      </c>
      <c r="CF206" s="104" t="s">
        <v>1176</v>
      </c>
      <c r="CG206" s="104" t="s">
        <v>1176</v>
      </c>
      <c r="CH206" s="104" t="s">
        <v>1176</v>
      </c>
      <c r="CI206" s="104" t="s">
        <v>1176</v>
      </c>
      <c r="CJ206" s="104" t="s">
        <v>1176</v>
      </c>
      <c r="CK206" s="104" t="s">
        <v>1176</v>
      </c>
      <c r="CL206" s="104" t="s">
        <v>1176</v>
      </c>
      <c r="CM206" s="104" t="s">
        <v>1176</v>
      </c>
      <c r="CN206" s="104" t="s">
        <v>1176</v>
      </c>
      <c r="CO206" s="104" t="s">
        <v>1176</v>
      </c>
    </row>
    <row r="207" s="102" customFormat="1" ht="15" spans="1:93">
      <c r="A207" s="104" t="s">
        <v>1591</v>
      </c>
      <c r="B207" s="104" t="s">
        <v>1146</v>
      </c>
      <c r="C207" s="104" t="s">
        <v>1147</v>
      </c>
      <c r="D207" s="104" t="s">
        <v>2857</v>
      </c>
      <c r="E207" s="104" t="s">
        <v>2858</v>
      </c>
      <c r="F207" s="104">
        <f t="shared" si="3"/>
        <v>2001</v>
      </c>
      <c r="G207" s="104" t="s">
        <v>2859</v>
      </c>
      <c r="H207" s="104" t="s">
        <v>1176</v>
      </c>
      <c r="I207" s="104" t="s">
        <v>1176</v>
      </c>
      <c r="J207" s="104" t="s">
        <v>1176</v>
      </c>
      <c r="K207" s="104" t="s">
        <v>1176</v>
      </c>
      <c r="L207" s="104" t="s">
        <v>2105</v>
      </c>
      <c r="M207" s="104" t="s">
        <v>2860</v>
      </c>
      <c r="N207" s="104" t="s">
        <v>1179</v>
      </c>
      <c r="O207" s="104" t="s">
        <v>1176</v>
      </c>
      <c r="P207" s="104" t="s">
        <v>1176</v>
      </c>
      <c r="Q207" s="104" t="s">
        <v>1176</v>
      </c>
      <c r="R207" s="104" t="s">
        <v>1176</v>
      </c>
      <c r="S207" s="104" t="s">
        <v>1176</v>
      </c>
      <c r="T207" s="104" t="s">
        <v>1176</v>
      </c>
      <c r="U207" s="104" t="s">
        <v>1180</v>
      </c>
      <c r="V207" s="104" t="s">
        <v>2861</v>
      </c>
      <c r="W207" s="104" t="s">
        <v>1176</v>
      </c>
      <c r="X207" s="104" t="s">
        <v>1176</v>
      </c>
      <c r="Y207" s="104" t="s">
        <v>1176</v>
      </c>
      <c r="Z207" s="104" t="s">
        <v>1176</v>
      </c>
      <c r="AA207" s="104" t="s">
        <v>1176</v>
      </c>
      <c r="AB207" s="104" t="s">
        <v>1176</v>
      </c>
      <c r="AC207" s="104" t="s">
        <v>1176</v>
      </c>
      <c r="AD207" s="104" t="s">
        <v>1176</v>
      </c>
      <c r="AE207" s="104" t="s">
        <v>1176</v>
      </c>
      <c r="AF207" s="104" t="s">
        <v>1176</v>
      </c>
      <c r="AG207" s="104" t="s">
        <v>1176</v>
      </c>
      <c r="AH207" s="104" t="s">
        <v>1176</v>
      </c>
      <c r="AI207" s="104" t="s">
        <v>1176</v>
      </c>
      <c r="AJ207" s="104" t="s">
        <v>1176</v>
      </c>
      <c r="AK207" s="104" t="s">
        <v>1176</v>
      </c>
      <c r="AL207" s="104" t="s">
        <v>1176</v>
      </c>
      <c r="AM207" s="104" t="s">
        <v>1176</v>
      </c>
      <c r="AN207" s="104" t="s">
        <v>1176</v>
      </c>
      <c r="AO207" s="104" t="s">
        <v>1176</v>
      </c>
      <c r="AP207" s="104" t="s">
        <v>1176</v>
      </c>
      <c r="AQ207" s="104" t="s">
        <v>1176</v>
      </c>
      <c r="AR207" s="104" t="s">
        <v>1176</v>
      </c>
      <c r="AS207" s="104" t="s">
        <v>1176</v>
      </c>
      <c r="AT207" s="104" t="s">
        <v>1176</v>
      </c>
      <c r="AU207" s="104" t="s">
        <v>1176</v>
      </c>
      <c r="AV207" s="104" t="s">
        <v>1176</v>
      </c>
      <c r="AW207" s="104" t="s">
        <v>1176</v>
      </c>
      <c r="AX207" s="104" t="s">
        <v>1176</v>
      </c>
      <c r="AY207" s="104" t="s">
        <v>1176</v>
      </c>
      <c r="AZ207" s="104" t="s">
        <v>1176</v>
      </c>
      <c r="BA207" s="104" t="s">
        <v>1176</v>
      </c>
      <c r="BB207" s="104" t="s">
        <v>1176</v>
      </c>
      <c r="BC207" s="104" t="s">
        <v>1176</v>
      </c>
      <c r="BD207" s="104" t="s">
        <v>1176</v>
      </c>
      <c r="BE207" s="104" t="s">
        <v>1176</v>
      </c>
      <c r="BF207" s="104" t="s">
        <v>1176</v>
      </c>
      <c r="BG207" s="104" t="s">
        <v>2027</v>
      </c>
      <c r="BH207" s="104" t="s">
        <v>2027</v>
      </c>
      <c r="BI207" s="104" t="s">
        <v>2862</v>
      </c>
      <c r="BJ207" s="104" t="s">
        <v>1201</v>
      </c>
      <c r="BK207" s="104" t="s">
        <v>1176</v>
      </c>
      <c r="BL207" s="104" t="s">
        <v>1176</v>
      </c>
      <c r="BM207" s="104" t="s">
        <v>1176</v>
      </c>
      <c r="BN207" s="104" t="s">
        <v>2105</v>
      </c>
      <c r="BO207" s="104" t="s">
        <v>2105</v>
      </c>
      <c r="BP207" s="104" t="s">
        <v>1176</v>
      </c>
      <c r="BQ207" s="104" t="s">
        <v>1176</v>
      </c>
      <c r="BR207" s="104" t="s">
        <v>1176</v>
      </c>
      <c r="BS207" s="104" t="s">
        <v>1176</v>
      </c>
      <c r="BT207" s="104" t="s">
        <v>1211</v>
      </c>
      <c r="BU207" s="104" t="s">
        <v>2863</v>
      </c>
      <c r="BV207" s="104" t="s">
        <v>1176</v>
      </c>
      <c r="BW207" s="104" t="s">
        <v>1176</v>
      </c>
      <c r="BX207" s="104" t="s">
        <v>1243</v>
      </c>
      <c r="BY207" s="104" t="s">
        <v>1325</v>
      </c>
      <c r="BZ207" s="104" t="s">
        <v>1176</v>
      </c>
      <c r="CA207" s="104" t="s">
        <v>1176</v>
      </c>
      <c r="CB207" s="104" t="s">
        <v>1176</v>
      </c>
      <c r="CC207" s="104" t="s">
        <v>1176</v>
      </c>
      <c r="CD207" s="104" t="s">
        <v>1176</v>
      </c>
      <c r="CE207" s="104" t="s">
        <v>1176</v>
      </c>
      <c r="CF207" s="104" t="s">
        <v>1176</v>
      </c>
      <c r="CG207" s="104" t="s">
        <v>1176</v>
      </c>
      <c r="CH207" s="104" t="s">
        <v>1176</v>
      </c>
      <c r="CI207" s="104" t="s">
        <v>1176</v>
      </c>
      <c r="CJ207" s="104" t="s">
        <v>1176</v>
      </c>
      <c r="CK207" s="104" t="s">
        <v>1176</v>
      </c>
      <c r="CL207" s="104" t="s">
        <v>1176</v>
      </c>
      <c r="CM207" s="104" t="s">
        <v>1176</v>
      </c>
      <c r="CN207" s="104" t="s">
        <v>1176</v>
      </c>
      <c r="CO207" s="104" t="s">
        <v>1176</v>
      </c>
    </row>
    <row r="208" s="102" customFormat="1" ht="15" spans="1:93">
      <c r="A208" s="104" t="s">
        <v>1601</v>
      </c>
      <c r="B208" s="104" t="s">
        <v>1146</v>
      </c>
      <c r="C208" s="104" t="s">
        <v>1147</v>
      </c>
      <c r="D208" s="104" t="s">
        <v>2864</v>
      </c>
      <c r="E208" s="104" t="s">
        <v>2353</v>
      </c>
      <c r="F208" s="104">
        <f t="shared" si="3"/>
        <v>1966</v>
      </c>
      <c r="G208" s="104" t="s">
        <v>2865</v>
      </c>
      <c r="H208" s="104" t="s">
        <v>1176</v>
      </c>
      <c r="I208" s="104" t="s">
        <v>1176</v>
      </c>
      <c r="J208" s="104" t="s">
        <v>1176</v>
      </c>
      <c r="K208" s="104" t="s">
        <v>1176</v>
      </c>
      <c r="L208" s="104" t="s">
        <v>2216</v>
      </c>
      <c r="M208" s="104" t="s">
        <v>2678</v>
      </c>
      <c r="N208" s="104" t="s">
        <v>1212</v>
      </c>
      <c r="O208" s="104" t="s">
        <v>1176</v>
      </c>
      <c r="P208" s="104" t="s">
        <v>1176</v>
      </c>
      <c r="Q208" s="104" t="s">
        <v>1176</v>
      </c>
      <c r="R208" s="104" t="s">
        <v>1176</v>
      </c>
      <c r="S208" s="104" t="s">
        <v>1176</v>
      </c>
      <c r="T208" s="104" t="s">
        <v>1176</v>
      </c>
      <c r="U208" s="104" t="s">
        <v>1187</v>
      </c>
      <c r="V208" s="104" t="s">
        <v>1225</v>
      </c>
      <c r="W208" s="104" t="s">
        <v>1176</v>
      </c>
      <c r="X208" s="104" t="s">
        <v>2866</v>
      </c>
      <c r="Y208" s="104" t="s">
        <v>1901</v>
      </c>
      <c r="Z208" s="104" t="s">
        <v>2867</v>
      </c>
      <c r="AA208" s="104" t="s">
        <v>1176</v>
      </c>
      <c r="AB208" s="104" t="s">
        <v>1176</v>
      </c>
      <c r="AC208" s="104" t="s">
        <v>1176</v>
      </c>
      <c r="AD208" s="104" t="s">
        <v>1176</v>
      </c>
      <c r="AE208" s="104" t="s">
        <v>1176</v>
      </c>
      <c r="AF208" s="104" t="s">
        <v>1176</v>
      </c>
      <c r="AG208" s="104" t="s">
        <v>1176</v>
      </c>
      <c r="AH208" s="104" t="s">
        <v>1176</v>
      </c>
      <c r="AI208" s="104" t="s">
        <v>1187</v>
      </c>
      <c r="AJ208" s="104" t="s">
        <v>1209</v>
      </c>
      <c r="AK208" s="104" t="s">
        <v>1626</v>
      </c>
      <c r="AL208" s="104" t="s">
        <v>2299</v>
      </c>
      <c r="AM208" s="104" t="s">
        <v>1176</v>
      </c>
      <c r="AN208" s="104" t="s">
        <v>1212</v>
      </c>
      <c r="AO208" s="104" t="s">
        <v>1176</v>
      </c>
      <c r="AP208" s="104" t="s">
        <v>1176</v>
      </c>
      <c r="AQ208" s="104" t="s">
        <v>1176</v>
      </c>
      <c r="AR208" s="104" t="s">
        <v>1176</v>
      </c>
      <c r="AS208" s="104" t="s">
        <v>1176</v>
      </c>
      <c r="AT208" s="104" t="s">
        <v>1176</v>
      </c>
      <c r="AU208" s="104" t="s">
        <v>1176</v>
      </c>
      <c r="AV208" s="104" t="s">
        <v>1176</v>
      </c>
      <c r="AW208" s="104" t="s">
        <v>1176</v>
      </c>
      <c r="AX208" s="104" t="s">
        <v>1176</v>
      </c>
      <c r="AY208" s="104" t="s">
        <v>1176</v>
      </c>
      <c r="AZ208" s="104" t="s">
        <v>1176</v>
      </c>
      <c r="BA208" s="104" t="s">
        <v>1176</v>
      </c>
      <c r="BB208" s="104" t="s">
        <v>1176</v>
      </c>
      <c r="BC208" s="104" t="s">
        <v>1176</v>
      </c>
      <c r="BD208" s="104" t="s">
        <v>1176</v>
      </c>
      <c r="BE208" s="104" t="s">
        <v>1176</v>
      </c>
      <c r="BF208" s="104" t="s">
        <v>1176</v>
      </c>
      <c r="BG208" s="104" t="s">
        <v>1455</v>
      </c>
      <c r="BH208" s="104" t="s">
        <v>1455</v>
      </c>
      <c r="BI208" s="104" t="s">
        <v>2868</v>
      </c>
      <c r="BJ208" s="104" t="s">
        <v>1176</v>
      </c>
      <c r="BK208" s="104" t="s">
        <v>1176</v>
      </c>
      <c r="BL208" s="104" t="s">
        <v>1176</v>
      </c>
      <c r="BM208" s="104" t="s">
        <v>1176</v>
      </c>
      <c r="BN208" s="104" t="s">
        <v>1176</v>
      </c>
      <c r="BO208" s="104" t="s">
        <v>1176</v>
      </c>
      <c r="BP208" s="104" t="s">
        <v>1176</v>
      </c>
      <c r="BQ208" s="104" t="s">
        <v>1176</v>
      </c>
      <c r="BR208" s="104" t="s">
        <v>1176</v>
      </c>
      <c r="BS208" s="104" t="s">
        <v>1176</v>
      </c>
      <c r="BT208" s="104" t="s">
        <v>1455</v>
      </c>
      <c r="BU208" s="104" t="s">
        <v>2868</v>
      </c>
      <c r="BV208" s="104" t="s">
        <v>1176</v>
      </c>
      <c r="BW208" s="104" t="s">
        <v>1176</v>
      </c>
      <c r="BX208" s="104" t="s">
        <v>1176</v>
      </c>
      <c r="BY208" s="104" t="s">
        <v>1176</v>
      </c>
      <c r="BZ208" s="104" t="s">
        <v>1176</v>
      </c>
      <c r="CA208" s="104" t="s">
        <v>1176</v>
      </c>
      <c r="CB208" s="104" t="s">
        <v>1176</v>
      </c>
      <c r="CC208" s="104" t="s">
        <v>1176</v>
      </c>
      <c r="CD208" s="104" t="s">
        <v>1176</v>
      </c>
      <c r="CE208" s="104" t="s">
        <v>1176</v>
      </c>
      <c r="CF208" s="104" t="s">
        <v>1176</v>
      </c>
      <c r="CG208" s="104" t="s">
        <v>1176</v>
      </c>
      <c r="CH208" s="104" t="s">
        <v>1176</v>
      </c>
      <c r="CI208" s="104" t="s">
        <v>1176</v>
      </c>
      <c r="CJ208" s="104" t="s">
        <v>1176</v>
      </c>
      <c r="CK208" s="104" t="s">
        <v>1176</v>
      </c>
      <c r="CL208" s="104" t="s">
        <v>1176</v>
      </c>
      <c r="CM208" s="104" t="s">
        <v>1176</v>
      </c>
      <c r="CN208" s="104" t="s">
        <v>1176</v>
      </c>
      <c r="CO208" s="104" t="s">
        <v>1176</v>
      </c>
    </row>
    <row r="209" s="102" customFormat="1" ht="15" spans="1:93">
      <c r="A209" s="104" t="s">
        <v>1612</v>
      </c>
      <c r="B209" s="104" t="s">
        <v>1146</v>
      </c>
      <c r="C209" s="104" t="s">
        <v>1147</v>
      </c>
      <c r="D209" s="104" t="s">
        <v>2869</v>
      </c>
      <c r="E209" s="104" t="s">
        <v>2870</v>
      </c>
      <c r="F209" s="104">
        <f t="shared" si="3"/>
        <v>1672</v>
      </c>
      <c r="G209" s="104" t="s">
        <v>2871</v>
      </c>
      <c r="H209" s="104" t="s">
        <v>1176</v>
      </c>
      <c r="I209" s="104" t="s">
        <v>1176</v>
      </c>
      <c r="J209" s="104" t="s">
        <v>1176</v>
      </c>
      <c r="K209" s="104" t="s">
        <v>1176</v>
      </c>
      <c r="L209" s="104" t="s">
        <v>2270</v>
      </c>
      <c r="M209" s="104" t="s">
        <v>2872</v>
      </c>
      <c r="N209" s="104" t="s">
        <v>1212</v>
      </c>
      <c r="O209" s="104" t="s">
        <v>1176</v>
      </c>
      <c r="P209" s="104" t="s">
        <v>1176</v>
      </c>
      <c r="Q209" s="104" t="s">
        <v>1176</v>
      </c>
      <c r="R209" s="104" t="s">
        <v>1176</v>
      </c>
      <c r="S209" s="104" t="s">
        <v>1176</v>
      </c>
      <c r="T209" s="104" t="s">
        <v>1176</v>
      </c>
      <c r="U209" s="104" t="s">
        <v>1187</v>
      </c>
      <c r="V209" s="104" t="s">
        <v>1900</v>
      </c>
      <c r="W209" s="104" t="s">
        <v>1176</v>
      </c>
      <c r="X209" s="104" t="s">
        <v>2873</v>
      </c>
      <c r="Y209" s="104" t="s">
        <v>2688</v>
      </c>
      <c r="Z209" s="104" t="s">
        <v>2874</v>
      </c>
      <c r="AA209" s="104" t="s">
        <v>1176</v>
      </c>
      <c r="AB209" s="104" t="s">
        <v>1176</v>
      </c>
      <c r="AC209" s="104" t="s">
        <v>1176</v>
      </c>
      <c r="AD209" s="104" t="s">
        <v>1176</v>
      </c>
      <c r="AE209" s="104" t="s">
        <v>1176</v>
      </c>
      <c r="AF209" s="104" t="s">
        <v>1176</v>
      </c>
      <c r="AG209" s="104" t="s">
        <v>1176</v>
      </c>
      <c r="AH209" s="104" t="s">
        <v>1176</v>
      </c>
      <c r="AI209" s="104" t="s">
        <v>1412</v>
      </c>
      <c r="AJ209" s="104" t="s">
        <v>2875</v>
      </c>
      <c r="AK209" s="104" t="s">
        <v>1307</v>
      </c>
      <c r="AL209" s="104" t="s">
        <v>2876</v>
      </c>
      <c r="AM209" s="104" t="s">
        <v>1176</v>
      </c>
      <c r="AN209" s="104" t="s">
        <v>1232</v>
      </c>
      <c r="AO209" s="104" t="s">
        <v>1176</v>
      </c>
      <c r="AP209" s="104" t="s">
        <v>1176</v>
      </c>
      <c r="AQ209" s="104" t="s">
        <v>1176</v>
      </c>
      <c r="AR209" s="104" t="s">
        <v>1176</v>
      </c>
      <c r="AS209" s="104" t="s">
        <v>1176</v>
      </c>
      <c r="AT209" s="104" t="s">
        <v>1176</v>
      </c>
      <c r="AU209" s="104" t="s">
        <v>1176</v>
      </c>
      <c r="AV209" s="104" t="s">
        <v>1176</v>
      </c>
      <c r="AW209" s="104" t="s">
        <v>1176</v>
      </c>
      <c r="AX209" s="104" t="s">
        <v>1176</v>
      </c>
      <c r="AY209" s="104" t="s">
        <v>1176</v>
      </c>
      <c r="AZ209" s="104" t="s">
        <v>1176</v>
      </c>
      <c r="BA209" s="104" t="s">
        <v>1176</v>
      </c>
      <c r="BB209" s="104" t="s">
        <v>1176</v>
      </c>
      <c r="BC209" s="104" t="s">
        <v>1176</v>
      </c>
      <c r="BD209" s="104" t="s">
        <v>1176</v>
      </c>
      <c r="BE209" s="104" t="s">
        <v>1176</v>
      </c>
      <c r="BF209" s="104" t="s">
        <v>1176</v>
      </c>
      <c r="BG209" s="104" t="s">
        <v>1230</v>
      </c>
      <c r="BH209" s="104" t="s">
        <v>1230</v>
      </c>
      <c r="BI209" s="104" t="s">
        <v>2578</v>
      </c>
      <c r="BJ209" s="104" t="s">
        <v>1176</v>
      </c>
      <c r="BK209" s="104" t="s">
        <v>1176</v>
      </c>
      <c r="BL209" s="104" t="s">
        <v>1176</v>
      </c>
      <c r="BM209" s="104" t="s">
        <v>1176</v>
      </c>
      <c r="BN209" s="104" t="s">
        <v>1176</v>
      </c>
      <c r="BO209" s="104" t="s">
        <v>1176</v>
      </c>
      <c r="BP209" s="104" t="s">
        <v>1176</v>
      </c>
      <c r="BQ209" s="104" t="s">
        <v>1176</v>
      </c>
      <c r="BR209" s="104" t="s">
        <v>1176</v>
      </c>
      <c r="BS209" s="104" t="s">
        <v>1176</v>
      </c>
      <c r="BT209" s="104" t="s">
        <v>1230</v>
      </c>
      <c r="BU209" s="104" t="s">
        <v>2578</v>
      </c>
      <c r="BV209" s="104" t="s">
        <v>1176</v>
      </c>
      <c r="BW209" s="104" t="s">
        <v>1176</v>
      </c>
      <c r="BX209" s="104" t="s">
        <v>1176</v>
      </c>
      <c r="BY209" s="104" t="s">
        <v>1176</v>
      </c>
      <c r="BZ209" s="104" t="s">
        <v>1176</v>
      </c>
      <c r="CA209" s="104" t="s">
        <v>1176</v>
      </c>
      <c r="CB209" s="104" t="s">
        <v>1176</v>
      </c>
      <c r="CC209" s="104" t="s">
        <v>1176</v>
      </c>
      <c r="CD209" s="104" t="s">
        <v>1176</v>
      </c>
      <c r="CE209" s="104" t="s">
        <v>1176</v>
      </c>
      <c r="CF209" s="104" t="s">
        <v>1176</v>
      </c>
      <c r="CG209" s="104" t="s">
        <v>1176</v>
      </c>
      <c r="CH209" s="104" t="s">
        <v>1176</v>
      </c>
      <c r="CI209" s="104" t="s">
        <v>1176</v>
      </c>
      <c r="CJ209" s="104" t="s">
        <v>1176</v>
      </c>
      <c r="CK209" s="104" t="s">
        <v>1176</v>
      </c>
      <c r="CL209" s="104" t="s">
        <v>1176</v>
      </c>
      <c r="CM209" s="104" t="s">
        <v>1176</v>
      </c>
      <c r="CN209" s="104" t="s">
        <v>1176</v>
      </c>
      <c r="CO209" s="104" t="s">
        <v>1176</v>
      </c>
    </row>
    <row r="210" s="102" customFormat="1" ht="15" spans="1:93">
      <c r="A210" s="104" t="s">
        <v>1328</v>
      </c>
      <c r="B210" s="104" t="s">
        <v>1146</v>
      </c>
      <c r="C210" s="104" t="s">
        <v>1147</v>
      </c>
      <c r="D210" s="104" t="s">
        <v>2877</v>
      </c>
      <c r="E210" s="104" t="s">
        <v>2878</v>
      </c>
      <c r="F210" s="104">
        <f t="shared" si="3"/>
        <v>1068</v>
      </c>
      <c r="G210" s="104" t="s">
        <v>2879</v>
      </c>
      <c r="H210" s="104" t="s">
        <v>1176</v>
      </c>
      <c r="I210" s="104" t="s">
        <v>1176</v>
      </c>
      <c r="J210" s="104" t="s">
        <v>1176</v>
      </c>
      <c r="K210" s="104" t="s">
        <v>1176</v>
      </c>
      <c r="L210" s="104" t="s">
        <v>1364</v>
      </c>
      <c r="M210" s="104" t="s">
        <v>2880</v>
      </c>
      <c r="N210" s="104" t="s">
        <v>1176</v>
      </c>
      <c r="O210" s="104" t="s">
        <v>1176</v>
      </c>
      <c r="P210" s="104" t="s">
        <v>1176</v>
      </c>
      <c r="Q210" s="104" t="s">
        <v>1176</v>
      </c>
      <c r="R210" s="104" t="s">
        <v>1176</v>
      </c>
      <c r="S210" s="104" t="s">
        <v>1176</v>
      </c>
      <c r="T210" s="104" t="s">
        <v>1176</v>
      </c>
      <c r="U210" s="104" t="s">
        <v>1176</v>
      </c>
      <c r="V210" s="104" t="s">
        <v>1598</v>
      </c>
      <c r="W210" s="104" t="s">
        <v>1176</v>
      </c>
      <c r="X210" s="104" t="s">
        <v>2881</v>
      </c>
      <c r="Y210" s="104" t="s">
        <v>1203</v>
      </c>
      <c r="Z210" s="104" t="s">
        <v>1581</v>
      </c>
      <c r="AA210" s="104" t="s">
        <v>1176</v>
      </c>
      <c r="AB210" s="104" t="s">
        <v>1176</v>
      </c>
      <c r="AC210" s="104" t="s">
        <v>1203</v>
      </c>
      <c r="AD210" s="104" t="s">
        <v>1581</v>
      </c>
      <c r="AE210" s="104" t="s">
        <v>1176</v>
      </c>
      <c r="AF210" s="104" t="s">
        <v>1176</v>
      </c>
      <c r="AG210" s="104" t="s">
        <v>1176</v>
      </c>
      <c r="AH210" s="104" t="s">
        <v>1176</v>
      </c>
      <c r="AI210" s="104" t="s">
        <v>1176</v>
      </c>
      <c r="AJ210" s="104" t="s">
        <v>1176</v>
      </c>
      <c r="AK210" s="104" t="s">
        <v>1176</v>
      </c>
      <c r="AL210" s="104" t="s">
        <v>1176</v>
      </c>
      <c r="AM210" s="104" t="s">
        <v>1176</v>
      </c>
      <c r="AN210" s="104" t="s">
        <v>1176</v>
      </c>
      <c r="AO210" s="104" t="s">
        <v>1176</v>
      </c>
      <c r="AP210" s="104" t="s">
        <v>1176</v>
      </c>
      <c r="AQ210" s="104" t="s">
        <v>1176</v>
      </c>
      <c r="AR210" s="104" t="s">
        <v>1176</v>
      </c>
      <c r="AS210" s="104" t="s">
        <v>1176</v>
      </c>
      <c r="AT210" s="104" t="s">
        <v>1176</v>
      </c>
      <c r="AU210" s="104" t="s">
        <v>1176</v>
      </c>
      <c r="AV210" s="104" t="s">
        <v>1176</v>
      </c>
      <c r="AW210" s="104" t="s">
        <v>1176</v>
      </c>
      <c r="AX210" s="104" t="s">
        <v>1176</v>
      </c>
      <c r="AY210" s="104" t="s">
        <v>1176</v>
      </c>
      <c r="AZ210" s="104" t="s">
        <v>1176</v>
      </c>
      <c r="BA210" s="104" t="s">
        <v>1176</v>
      </c>
      <c r="BB210" s="104" t="s">
        <v>1176</v>
      </c>
      <c r="BC210" s="104" t="s">
        <v>1176</v>
      </c>
      <c r="BD210" s="104" t="s">
        <v>1176</v>
      </c>
      <c r="BE210" s="104" t="s">
        <v>1176</v>
      </c>
      <c r="BF210" s="104" t="s">
        <v>1176</v>
      </c>
      <c r="BG210" s="104" t="s">
        <v>2882</v>
      </c>
      <c r="BH210" s="104" t="s">
        <v>2882</v>
      </c>
      <c r="BI210" s="104" t="s">
        <v>2882</v>
      </c>
      <c r="BJ210" s="104" t="s">
        <v>1176</v>
      </c>
      <c r="BK210" s="104" t="s">
        <v>1176</v>
      </c>
      <c r="BL210" s="104" t="s">
        <v>1176</v>
      </c>
      <c r="BM210" s="104" t="s">
        <v>1176</v>
      </c>
      <c r="BN210" s="104" t="s">
        <v>2882</v>
      </c>
      <c r="BO210" s="104" t="s">
        <v>2882</v>
      </c>
      <c r="BP210" s="104" t="s">
        <v>1176</v>
      </c>
      <c r="BQ210" s="104" t="s">
        <v>1176</v>
      </c>
      <c r="BR210" s="104" t="s">
        <v>1176</v>
      </c>
      <c r="BS210" s="104" t="s">
        <v>1176</v>
      </c>
      <c r="BT210" s="104" t="s">
        <v>1176</v>
      </c>
      <c r="BU210" s="104" t="s">
        <v>1176</v>
      </c>
      <c r="BV210" s="104" t="s">
        <v>1176</v>
      </c>
      <c r="BW210" s="104" t="s">
        <v>1176</v>
      </c>
      <c r="BX210" s="104" t="s">
        <v>1176</v>
      </c>
      <c r="BY210" s="104" t="s">
        <v>1176</v>
      </c>
      <c r="BZ210" s="104" t="s">
        <v>1176</v>
      </c>
      <c r="CA210" s="104" t="s">
        <v>1176</v>
      </c>
      <c r="CB210" s="104" t="s">
        <v>1176</v>
      </c>
      <c r="CC210" s="104" t="s">
        <v>1176</v>
      </c>
      <c r="CD210" s="104" t="s">
        <v>1176</v>
      </c>
      <c r="CE210" s="104" t="s">
        <v>1176</v>
      </c>
      <c r="CF210" s="104" t="s">
        <v>1176</v>
      </c>
      <c r="CG210" s="104" t="s">
        <v>1176</v>
      </c>
      <c r="CH210" s="104" t="s">
        <v>1176</v>
      </c>
      <c r="CI210" s="104" t="s">
        <v>1176</v>
      </c>
      <c r="CJ210" s="104" t="s">
        <v>1176</v>
      </c>
      <c r="CK210" s="104" t="s">
        <v>1176</v>
      </c>
      <c r="CL210" s="104" t="s">
        <v>1176</v>
      </c>
      <c r="CM210" s="104" t="s">
        <v>1176</v>
      </c>
      <c r="CN210" s="104" t="s">
        <v>1176</v>
      </c>
      <c r="CO210" s="104" t="s">
        <v>1176</v>
      </c>
    </row>
    <row r="211" s="102" customFormat="1" ht="15" spans="1:93">
      <c r="A211" s="104" t="s">
        <v>1230</v>
      </c>
      <c r="B211" s="104" t="s">
        <v>1146</v>
      </c>
      <c r="C211" s="104" t="s">
        <v>1147</v>
      </c>
      <c r="D211" s="104" t="s">
        <v>2883</v>
      </c>
      <c r="E211" s="104" t="s">
        <v>2884</v>
      </c>
      <c r="F211" s="104">
        <f t="shared" si="3"/>
        <v>4366</v>
      </c>
      <c r="G211" s="104" t="s">
        <v>2885</v>
      </c>
      <c r="H211" s="104" t="s">
        <v>1176</v>
      </c>
      <c r="I211" s="104" t="s">
        <v>1176</v>
      </c>
      <c r="J211" s="104" t="s">
        <v>1176</v>
      </c>
      <c r="K211" s="104" t="s">
        <v>1176</v>
      </c>
      <c r="L211" s="104" t="s">
        <v>1326</v>
      </c>
      <c r="M211" s="104" t="s">
        <v>1859</v>
      </c>
      <c r="N211" s="104" t="s">
        <v>1356</v>
      </c>
      <c r="O211" s="104" t="s">
        <v>1176</v>
      </c>
      <c r="P211" s="104" t="s">
        <v>1176</v>
      </c>
      <c r="Q211" s="104" t="s">
        <v>1176</v>
      </c>
      <c r="R211" s="104" t="s">
        <v>1176</v>
      </c>
      <c r="S211" s="104" t="s">
        <v>1176</v>
      </c>
      <c r="T211" s="104" t="s">
        <v>1176</v>
      </c>
      <c r="U211" s="104" t="s">
        <v>1172</v>
      </c>
      <c r="V211" s="104" t="s">
        <v>2886</v>
      </c>
      <c r="W211" s="104" t="s">
        <v>1176</v>
      </c>
      <c r="X211" s="104" t="s">
        <v>1176</v>
      </c>
      <c r="Y211" s="104" t="s">
        <v>1176</v>
      </c>
      <c r="Z211" s="104" t="s">
        <v>1176</v>
      </c>
      <c r="AA211" s="104" t="s">
        <v>1176</v>
      </c>
      <c r="AB211" s="104" t="s">
        <v>1176</v>
      </c>
      <c r="AC211" s="104" t="s">
        <v>1176</v>
      </c>
      <c r="AD211" s="104" t="s">
        <v>1176</v>
      </c>
      <c r="AE211" s="104" t="s">
        <v>1176</v>
      </c>
      <c r="AF211" s="104" t="s">
        <v>1176</v>
      </c>
      <c r="AG211" s="104" t="s">
        <v>1176</v>
      </c>
      <c r="AH211" s="104" t="s">
        <v>1176</v>
      </c>
      <c r="AI211" s="104" t="s">
        <v>1176</v>
      </c>
      <c r="AJ211" s="104" t="s">
        <v>1176</v>
      </c>
      <c r="AK211" s="104" t="s">
        <v>1176</v>
      </c>
      <c r="AL211" s="104" t="s">
        <v>1176</v>
      </c>
      <c r="AM211" s="104" t="s">
        <v>1176</v>
      </c>
      <c r="AN211" s="104" t="s">
        <v>1176</v>
      </c>
      <c r="AO211" s="104" t="s">
        <v>1176</v>
      </c>
      <c r="AP211" s="104" t="s">
        <v>1176</v>
      </c>
      <c r="AQ211" s="104" t="s">
        <v>1176</v>
      </c>
      <c r="AR211" s="104" t="s">
        <v>1176</v>
      </c>
      <c r="AS211" s="104" t="s">
        <v>1176</v>
      </c>
      <c r="AT211" s="104" t="s">
        <v>1176</v>
      </c>
      <c r="AU211" s="104" t="s">
        <v>1176</v>
      </c>
      <c r="AV211" s="104" t="s">
        <v>1176</v>
      </c>
      <c r="AW211" s="104" t="s">
        <v>1176</v>
      </c>
      <c r="AX211" s="104" t="s">
        <v>1176</v>
      </c>
      <c r="AY211" s="104" t="s">
        <v>1176</v>
      </c>
      <c r="AZ211" s="104" t="s">
        <v>1176</v>
      </c>
      <c r="BA211" s="104" t="s">
        <v>1176</v>
      </c>
      <c r="BB211" s="104" t="s">
        <v>1176</v>
      </c>
      <c r="BC211" s="104" t="s">
        <v>1176</v>
      </c>
      <c r="BD211" s="104" t="s">
        <v>1176</v>
      </c>
      <c r="BE211" s="104" t="s">
        <v>1176</v>
      </c>
      <c r="BF211" s="104" t="s">
        <v>1176</v>
      </c>
      <c r="BG211" s="104" t="s">
        <v>1179</v>
      </c>
      <c r="BH211" s="104" t="s">
        <v>1179</v>
      </c>
      <c r="BI211" s="104" t="s">
        <v>1429</v>
      </c>
      <c r="BJ211" s="104" t="s">
        <v>1176</v>
      </c>
      <c r="BK211" s="104" t="s">
        <v>1176</v>
      </c>
      <c r="BL211" s="104" t="s">
        <v>1176</v>
      </c>
      <c r="BM211" s="104" t="s">
        <v>1176</v>
      </c>
      <c r="BN211" s="104" t="s">
        <v>1176</v>
      </c>
      <c r="BO211" s="104" t="s">
        <v>1176</v>
      </c>
      <c r="BP211" s="104" t="s">
        <v>1176</v>
      </c>
      <c r="BQ211" s="104" t="s">
        <v>1176</v>
      </c>
      <c r="BR211" s="104" t="s">
        <v>1176</v>
      </c>
      <c r="BS211" s="104" t="s">
        <v>1176</v>
      </c>
      <c r="BT211" s="104" t="s">
        <v>1232</v>
      </c>
      <c r="BU211" s="104" t="s">
        <v>1345</v>
      </c>
      <c r="BV211" s="104" t="s">
        <v>1176</v>
      </c>
      <c r="BW211" s="104" t="s">
        <v>1176</v>
      </c>
      <c r="BX211" s="104" t="s">
        <v>1176</v>
      </c>
      <c r="BY211" s="104" t="s">
        <v>1176</v>
      </c>
      <c r="BZ211" s="104" t="s">
        <v>1176</v>
      </c>
      <c r="CA211" s="104" t="s">
        <v>1176</v>
      </c>
      <c r="CB211" s="104" t="s">
        <v>1176</v>
      </c>
      <c r="CC211" s="104" t="s">
        <v>1176</v>
      </c>
      <c r="CD211" s="104" t="s">
        <v>1176</v>
      </c>
      <c r="CE211" s="104" t="s">
        <v>1176</v>
      </c>
      <c r="CF211" s="104" t="s">
        <v>1176</v>
      </c>
      <c r="CG211" s="104" t="s">
        <v>1176</v>
      </c>
      <c r="CH211" s="104" t="s">
        <v>1176</v>
      </c>
      <c r="CI211" s="104" t="s">
        <v>1176</v>
      </c>
      <c r="CJ211" s="104" t="s">
        <v>1172</v>
      </c>
      <c r="CK211" s="104" t="s">
        <v>1172</v>
      </c>
      <c r="CL211" s="104" t="s">
        <v>1176</v>
      </c>
      <c r="CM211" s="104" t="s">
        <v>1176</v>
      </c>
      <c r="CN211" s="104" t="s">
        <v>1176</v>
      </c>
      <c r="CO211" s="104" t="s">
        <v>1176</v>
      </c>
    </row>
    <row r="212" s="102" customFormat="1" ht="15" spans="1:93">
      <c r="A212" s="104" t="s">
        <v>1314</v>
      </c>
      <c r="B212" s="104" t="s">
        <v>1146</v>
      </c>
      <c r="C212" s="104" t="s">
        <v>1147</v>
      </c>
      <c r="D212" s="104" t="s">
        <v>2887</v>
      </c>
      <c r="E212" s="104" t="s">
        <v>2246</v>
      </c>
      <c r="F212" s="104">
        <f t="shared" si="3"/>
        <v>4811</v>
      </c>
      <c r="G212" s="104" t="s">
        <v>2888</v>
      </c>
      <c r="H212" s="104" t="s">
        <v>1176</v>
      </c>
      <c r="I212" s="104" t="s">
        <v>1176</v>
      </c>
      <c r="J212" s="104" t="s">
        <v>1176</v>
      </c>
      <c r="K212" s="104" t="s">
        <v>1176</v>
      </c>
      <c r="L212" s="104" t="s">
        <v>1590</v>
      </c>
      <c r="M212" s="104" t="s">
        <v>2889</v>
      </c>
      <c r="N212" s="104" t="s">
        <v>1201</v>
      </c>
      <c r="O212" s="104" t="s">
        <v>1176</v>
      </c>
      <c r="P212" s="104" t="s">
        <v>1176</v>
      </c>
      <c r="Q212" s="104" t="s">
        <v>1176</v>
      </c>
      <c r="R212" s="104" t="s">
        <v>1176</v>
      </c>
      <c r="S212" s="104" t="s">
        <v>1176</v>
      </c>
      <c r="T212" s="104" t="s">
        <v>1176</v>
      </c>
      <c r="U212" s="104" t="s">
        <v>1232</v>
      </c>
      <c r="V212" s="104" t="s">
        <v>2890</v>
      </c>
      <c r="W212" s="104" t="s">
        <v>1176</v>
      </c>
      <c r="X212" s="104" t="s">
        <v>2891</v>
      </c>
      <c r="Y212" s="104" t="s">
        <v>1442</v>
      </c>
      <c r="Z212" s="104" t="s">
        <v>2892</v>
      </c>
      <c r="AA212" s="104" t="s">
        <v>1176</v>
      </c>
      <c r="AB212" s="104" t="s">
        <v>1176</v>
      </c>
      <c r="AC212" s="104" t="s">
        <v>1176</v>
      </c>
      <c r="AD212" s="104" t="s">
        <v>1176</v>
      </c>
      <c r="AE212" s="104" t="s">
        <v>1176</v>
      </c>
      <c r="AF212" s="104" t="s">
        <v>1176</v>
      </c>
      <c r="AG212" s="104" t="s">
        <v>1176</v>
      </c>
      <c r="AH212" s="104" t="s">
        <v>1176</v>
      </c>
      <c r="AI212" s="104" t="s">
        <v>1442</v>
      </c>
      <c r="AJ212" s="104" t="s">
        <v>2892</v>
      </c>
      <c r="AK212" s="104" t="s">
        <v>1176</v>
      </c>
      <c r="AL212" s="104" t="s">
        <v>1176</v>
      </c>
      <c r="AM212" s="104" t="s">
        <v>1176</v>
      </c>
      <c r="AN212" s="104" t="s">
        <v>1176</v>
      </c>
      <c r="AO212" s="104" t="s">
        <v>1176</v>
      </c>
      <c r="AP212" s="104" t="s">
        <v>1176</v>
      </c>
      <c r="AQ212" s="104" t="s">
        <v>1176</v>
      </c>
      <c r="AR212" s="104" t="s">
        <v>1176</v>
      </c>
      <c r="AS212" s="104" t="s">
        <v>1176</v>
      </c>
      <c r="AT212" s="104" t="s">
        <v>1176</v>
      </c>
      <c r="AU212" s="104" t="s">
        <v>1176</v>
      </c>
      <c r="AV212" s="104" t="s">
        <v>1176</v>
      </c>
      <c r="AW212" s="104" t="s">
        <v>1176</v>
      </c>
      <c r="AX212" s="104" t="s">
        <v>1176</v>
      </c>
      <c r="AY212" s="104" t="s">
        <v>1176</v>
      </c>
      <c r="AZ212" s="104" t="s">
        <v>1176</v>
      </c>
      <c r="BA212" s="104" t="s">
        <v>1176</v>
      </c>
      <c r="BB212" s="104" t="s">
        <v>1176</v>
      </c>
      <c r="BC212" s="104" t="s">
        <v>1176</v>
      </c>
      <c r="BD212" s="104" t="s">
        <v>1176</v>
      </c>
      <c r="BE212" s="104" t="s">
        <v>1176</v>
      </c>
      <c r="BF212" s="104" t="s">
        <v>1176</v>
      </c>
      <c r="BG212" s="104" t="s">
        <v>1455</v>
      </c>
      <c r="BH212" s="104" t="s">
        <v>1455</v>
      </c>
      <c r="BI212" s="104" t="s">
        <v>1710</v>
      </c>
      <c r="BJ212" s="104" t="s">
        <v>1176</v>
      </c>
      <c r="BK212" s="104" t="s">
        <v>1176</v>
      </c>
      <c r="BL212" s="104" t="s">
        <v>1176</v>
      </c>
      <c r="BM212" s="104" t="s">
        <v>1176</v>
      </c>
      <c r="BN212" s="104" t="s">
        <v>1176</v>
      </c>
      <c r="BO212" s="104" t="s">
        <v>1176</v>
      </c>
      <c r="BP212" s="104" t="s">
        <v>1176</v>
      </c>
      <c r="BQ212" s="104" t="s">
        <v>1176</v>
      </c>
      <c r="BR212" s="104" t="s">
        <v>1176</v>
      </c>
      <c r="BS212" s="104" t="s">
        <v>1176</v>
      </c>
      <c r="BT212" s="104" t="s">
        <v>1455</v>
      </c>
      <c r="BU212" s="104" t="s">
        <v>1710</v>
      </c>
      <c r="BV212" s="104" t="s">
        <v>1176</v>
      </c>
      <c r="BW212" s="104" t="s">
        <v>1176</v>
      </c>
      <c r="BX212" s="104" t="s">
        <v>1176</v>
      </c>
      <c r="BY212" s="104" t="s">
        <v>1176</v>
      </c>
      <c r="BZ212" s="104" t="s">
        <v>1176</v>
      </c>
      <c r="CA212" s="104" t="s">
        <v>1176</v>
      </c>
      <c r="CB212" s="104" t="s">
        <v>1176</v>
      </c>
      <c r="CC212" s="104" t="s">
        <v>1176</v>
      </c>
      <c r="CD212" s="104" t="s">
        <v>1176</v>
      </c>
      <c r="CE212" s="104" t="s">
        <v>1176</v>
      </c>
      <c r="CF212" s="104" t="s">
        <v>1176</v>
      </c>
      <c r="CG212" s="104" t="s">
        <v>1176</v>
      </c>
      <c r="CH212" s="104" t="s">
        <v>1176</v>
      </c>
      <c r="CI212" s="104" t="s">
        <v>1176</v>
      </c>
      <c r="CJ212" s="104" t="s">
        <v>1176</v>
      </c>
      <c r="CK212" s="104" t="s">
        <v>1176</v>
      </c>
      <c r="CL212" s="104" t="s">
        <v>1176</v>
      </c>
      <c r="CM212" s="104" t="s">
        <v>1176</v>
      </c>
      <c r="CN212" s="104" t="s">
        <v>1176</v>
      </c>
      <c r="CO212" s="104" t="s">
        <v>1176</v>
      </c>
    </row>
    <row r="213" s="102" customFormat="1" ht="15" spans="1:93">
      <c r="A213" s="104" t="s">
        <v>1367</v>
      </c>
      <c r="B213" s="104" t="s">
        <v>1146</v>
      </c>
      <c r="C213" s="104" t="s">
        <v>1147</v>
      </c>
      <c r="D213" s="104" t="s">
        <v>2893</v>
      </c>
      <c r="E213" s="104" t="s">
        <v>2894</v>
      </c>
      <c r="F213" s="104">
        <f t="shared" si="3"/>
        <v>4486</v>
      </c>
      <c r="G213" s="104" t="s">
        <v>2895</v>
      </c>
      <c r="H213" s="104" t="s">
        <v>1176</v>
      </c>
      <c r="I213" s="104" t="s">
        <v>1176</v>
      </c>
      <c r="J213" s="104" t="s">
        <v>1176</v>
      </c>
      <c r="K213" s="104" t="s">
        <v>1176</v>
      </c>
      <c r="L213" s="104" t="s">
        <v>1306</v>
      </c>
      <c r="M213" s="104" t="s">
        <v>2896</v>
      </c>
      <c r="N213" s="104" t="s">
        <v>1187</v>
      </c>
      <c r="O213" s="104" t="s">
        <v>1176</v>
      </c>
      <c r="P213" s="104" t="s">
        <v>1176</v>
      </c>
      <c r="Q213" s="104" t="s">
        <v>1176</v>
      </c>
      <c r="R213" s="104" t="s">
        <v>1176</v>
      </c>
      <c r="S213" s="104" t="s">
        <v>1176</v>
      </c>
      <c r="T213" s="104" t="s">
        <v>1176</v>
      </c>
      <c r="U213" s="104" t="s">
        <v>1187</v>
      </c>
      <c r="V213" s="104" t="s">
        <v>1309</v>
      </c>
      <c r="W213" s="104" t="s">
        <v>1176</v>
      </c>
      <c r="X213" s="104" t="s">
        <v>2897</v>
      </c>
      <c r="Y213" s="104" t="s">
        <v>1526</v>
      </c>
      <c r="Z213" s="104" t="s">
        <v>2898</v>
      </c>
      <c r="AA213" s="104" t="s">
        <v>1176</v>
      </c>
      <c r="AB213" s="104" t="s">
        <v>1176</v>
      </c>
      <c r="AC213" s="104" t="s">
        <v>1176</v>
      </c>
      <c r="AD213" s="104" t="s">
        <v>1176</v>
      </c>
      <c r="AE213" s="104" t="s">
        <v>1176</v>
      </c>
      <c r="AF213" s="104" t="s">
        <v>1176</v>
      </c>
      <c r="AG213" s="104" t="s">
        <v>1176</v>
      </c>
      <c r="AH213" s="104" t="s">
        <v>1176</v>
      </c>
      <c r="AI213" s="104" t="s">
        <v>1203</v>
      </c>
      <c r="AJ213" s="104" t="s">
        <v>2899</v>
      </c>
      <c r="AK213" s="104" t="s">
        <v>1735</v>
      </c>
      <c r="AL213" s="104" t="s">
        <v>2900</v>
      </c>
      <c r="AM213" s="104" t="s">
        <v>1176</v>
      </c>
      <c r="AN213" s="104" t="s">
        <v>1172</v>
      </c>
      <c r="AO213" s="104" t="s">
        <v>1176</v>
      </c>
      <c r="AP213" s="104" t="s">
        <v>1176</v>
      </c>
      <c r="AQ213" s="104" t="s">
        <v>1176</v>
      </c>
      <c r="AR213" s="104" t="s">
        <v>1176</v>
      </c>
      <c r="AS213" s="104" t="s">
        <v>1176</v>
      </c>
      <c r="AT213" s="104" t="s">
        <v>1176</v>
      </c>
      <c r="AU213" s="104" t="s">
        <v>1176</v>
      </c>
      <c r="AV213" s="104" t="s">
        <v>1176</v>
      </c>
      <c r="AW213" s="104" t="s">
        <v>1176</v>
      </c>
      <c r="AX213" s="104" t="s">
        <v>1176</v>
      </c>
      <c r="AY213" s="104" t="s">
        <v>1176</v>
      </c>
      <c r="AZ213" s="104" t="s">
        <v>1176</v>
      </c>
      <c r="BA213" s="104" t="s">
        <v>1176</v>
      </c>
      <c r="BB213" s="104" t="s">
        <v>1176</v>
      </c>
      <c r="BC213" s="104" t="s">
        <v>1176</v>
      </c>
      <c r="BD213" s="104" t="s">
        <v>1176</v>
      </c>
      <c r="BE213" s="104" t="s">
        <v>1176</v>
      </c>
      <c r="BF213" s="104" t="s">
        <v>1176</v>
      </c>
      <c r="BG213" s="104" t="s">
        <v>1187</v>
      </c>
      <c r="BH213" s="104" t="s">
        <v>1187</v>
      </c>
      <c r="BI213" s="104" t="s">
        <v>1187</v>
      </c>
      <c r="BJ213" s="104" t="s">
        <v>1176</v>
      </c>
      <c r="BK213" s="104" t="s">
        <v>1176</v>
      </c>
      <c r="BL213" s="104" t="s">
        <v>1176</v>
      </c>
      <c r="BM213" s="104" t="s">
        <v>1176</v>
      </c>
      <c r="BN213" s="104" t="s">
        <v>1187</v>
      </c>
      <c r="BO213" s="104" t="s">
        <v>1187</v>
      </c>
      <c r="BP213" s="104" t="s">
        <v>1176</v>
      </c>
      <c r="BQ213" s="104" t="s">
        <v>1176</v>
      </c>
      <c r="BR213" s="104" t="s">
        <v>1176</v>
      </c>
      <c r="BS213" s="104" t="s">
        <v>1176</v>
      </c>
      <c r="BT213" s="104" t="s">
        <v>1176</v>
      </c>
      <c r="BU213" s="104" t="s">
        <v>1176</v>
      </c>
      <c r="BV213" s="104" t="s">
        <v>1176</v>
      </c>
      <c r="BW213" s="104" t="s">
        <v>1176</v>
      </c>
      <c r="BX213" s="104" t="s">
        <v>1176</v>
      </c>
      <c r="BY213" s="104" t="s">
        <v>1176</v>
      </c>
      <c r="BZ213" s="104" t="s">
        <v>1176</v>
      </c>
      <c r="CA213" s="104" t="s">
        <v>1176</v>
      </c>
      <c r="CB213" s="104" t="s">
        <v>1176</v>
      </c>
      <c r="CC213" s="104" t="s">
        <v>1176</v>
      </c>
      <c r="CD213" s="104" t="s">
        <v>1176</v>
      </c>
      <c r="CE213" s="104" t="s">
        <v>1176</v>
      </c>
      <c r="CF213" s="104" t="s">
        <v>1176</v>
      </c>
      <c r="CG213" s="104" t="s">
        <v>1176</v>
      </c>
      <c r="CH213" s="104" t="s">
        <v>1176</v>
      </c>
      <c r="CI213" s="104" t="s">
        <v>1176</v>
      </c>
      <c r="CJ213" s="104" t="s">
        <v>1176</v>
      </c>
      <c r="CK213" s="104" t="s">
        <v>1176</v>
      </c>
      <c r="CL213" s="104" t="s">
        <v>1176</v>
      </c>
      <c r="CM213" s="104" t="s">
        <v>1176</v>
      </c>
      <c r="CN213" s="104" t="s">
        <v>1176</v>
      </c>
      <c r="CO213" s="104" t="s">
        <v>1176</v>
      </c>
    </row>
    <row r="214" s="102" customFormat="1" ht="15" spans="1:93">
      <c r="A214" s="104" t="s">
        <v>1364</v>
      </c>
      <c r="B214" s="104" t="s">
        <v>1146</v>
      </c>
      <c r="C214" s="104" t="s">
        <v>1147</v>
      </c>
      <c r="D214" s="104" t="s">
        <v>2901</v>
      </c>
      <c r="E214" s="104" t="s">
        <v>2902</v>
      </c>
      <c r="F214" s="104">
        <f t="shared" si="3"/>
        <v>2672</v>
      </c>
      <c r="G214" s="104" t="s">
        <v>2903</v>
      </c>
      <c r="H214" s="104" t="s">
        <v>1176</v>
      </c>
      <c r="I214" s="104" t="s">
        <v>1176</v>
      </c>
      <c r="J214" s="104" t="s">
        <v>1176</v>
      </c>
      <c r="K214" s="104" t="s">
        <v>1176</v>
      </c>
      <c r="L214" s="104" t="s">
        <v>1180</v>
      </c>
      <c r="M214" s="104" t="s">
        <v>2904</v>
      </c>
      <c r="N214" s="104" t="s">
        <v>1176</v>
      </c>
      <c r="O214" s="104" t="s">
        <v>1176</v>
      </c>
      <c r="P214" s="104" t="s">
        <v>1176</v>
      </c>
      <c r="Q214" s="104" t="s">
        <v>1176</v>
      </c>
      <c r="R214" s="104" t="s">
        <v>1176</v>
      </c>
      <c r="S214" s="104" t="s">
        <v>1176</v>
      </c>
      <c r="T214" s="104" t="s">
        <v>1176</v>
      </c>
      <c r="U214" s="104" t="s">
        <v>1172</v>
      </c>
      <c r="V214" s="104" t="s">
        <v>2019</v>
      </c>
      <c r="W214" s="104" t="s">
        <v>1176</v>
      </c>
      <c r="X214" s="104" t="s">
        <v>2905</v>
      </c>
      <c r="Y214" s="104" t="s">
        <v>2906</v>
      </c>
      <c r="Z214" s="104" t="s">
        <v>2907</v>
      </c>
      <c r="AA214" s="104" t="s">
        <v>1176</v>
      </c>
      <c r="AB214" s="104" t="s">
        <v>1176</v>
      </c>
      <c r="AC214" s="104" t="s">
        <v>1176</v>
      </c>
      <c r="AD214" s="104" t="s">
        <v>1176</v>
      </c>
      <c r="AE214" s="104" t="s">
        <v>1176</v>
      </c>
      <c r="AF214" s="104" t="s">
        <v>1176</v>
      </c>
      <c r="AG214" s="104" t="s">
        <v>1176</v>
      </c>
      <c r="AH214" s="104" t="s">
        <v>1176</v>
      </c>
      <c r="AI214" s="104" t="s">
        <v>1176</v>
      </c>
      <c r="AJ214" s="104" t="s">
        <v>1180</v>
      </c>
      <c r="AK214" s="104" t="s">
        <v>2906</v>
      </c>
      <c r="AL214" s="104" t="s">
        <v>2908</v>
      </c>
      <c r="AM214" s="104" t="s">
        <v>1176</v>
      </c>
      <c r="AN214" s="104" t="s">
        <v>1172</v>
      </c>
      <c r="AO214" s="104" t="s">
        <v>1176</v>
      </c>
      <c r="AP214" s="104" t="s">
        <v>1176</v>
      </c>
      <c r="AQ214" s="104" t="s">
        <v>1176</v>
      </c>
      <c r="AR214" s="104" t="s">
        <v>1176</v>
      </c>
      <c r="AS214" s="104" t="s">
        <v>1176</v>
      </c>
      <c r="AT214" s="104" t="s">
        <v>1176</v>
      </c>
      <c r="AU214" s="104" t="s">
        <v>1176</v>
      </c>
      <c r="AV214" s="104" t="s">
        <v>1176</v>
      </c>
      <c r="AW214" s="104" t="s">
        <v>1176</v>
      </c>
      <c r="AX214" s="104" t="s">
        <v>1176</v>
      </c>
      <c r="AY214" s="104" t="s">
        <v>1176</v>
      </c>
      <c r="AZ214" s="104" t="s">
        <v>1176</v>
      </c>
      <c r="BA214" s="104" t="s">
        <v>1176</v>
      </c>
      <c r="BB214" s="104" t="s">
        <v>1176</v>
      </c>
      <c r="BC214" s="104" t="s">
        <v>1176</v>
      </c>
      <c r="BD214" s="104" t="s">
        <v>1176</v>
      </c>
      <c r="BE214" s="104" t="s">
        <v>1176</v>
      </c>
      <c r="BF214" s="104" t="s">
        <v>1176</v>
      </c>
      <c r="BG214" s="104" t="s">
        <v>1176</v>
      </c>
      <c r="BH214" s="104" t="s">
        <v>1176</v>
      </c>
      <c r="BI214" s="104" t="s">
        <v>1176</v>
      </c>
      <c r="BJ214" s="104" t="s">
        <v>1176</v>
      </c>
      <c r="BK214" s="104" t="s">
        <v>1176</v>
      </c>
      <c r="BL214" s="104" t="s">
        <v>1176</v>
      </c>
      <c r="BM214" s="104" t="s">
        <v>1176</v>
      </c>
      <c r="BN214" s="104" t="s">
        <v>1176</v>
      </c>
      <c r="BO214" s="104" t="s">
        <v>1176</v>
      </c>
      <c r="BP214" s="104" t="s">
        <v>1176</v>
      </c>
      <c r="BQ214" s="104" t="s">
        <v>1176</v>
      </c>
      <c r="BR214" s="104" t="s">
        <v>1176</v>
      </c>
      <c r="BS214" s="104" t="s">
        <v>1176</v>
      </c>
      <c r="BT214" s="104" t="s">
        <v>1176</v>
      </c>
      <c r="BU214" s="104" t="s">
        <v>1176</v>
      </c>
      <c r="BV214" s="104" t="s">
        <v>1176</v>
      </c>
      <c r="BW214" s="104" t="s">
        <v>1176</v>
      </c>
      <c r="BX214" s="104" t="s">
        <v>1176</v>
      </c>
      <c r="BY214" s="104" t="s">
        <v>1176</v>
      </c>
      <c r="BZ214" s="104" t="s">
        <v>1176</v>
      </c>
      <c r="CA214" s="104" t="s">
        <v>1176</v>
      </c>
      <c r="CB214" s="104" t="s">
        <v>1176</v>
      </c>
      <c r="CC214" s="104" t="s">
        <v>1176</v>
      </c>
      <c r="CD214" s="104" t="s">
        <v>1176</v>
      </c>
      <c r="CE214" s="104" t="s">
        <v>1176</v>
      </c>
      <c r="CF214" s="104" t="s">
        <v>1176</v>
      </c>
      <c r="CG214" s="104" t="s">
        <v>1176</v>
      </c>
      <c r="CH214" s="104" t="s">
        <v>1176</v>
      </c>
      <c r="CI214" s="104" t="s">
        <v>1176</v>
      </c>
      <c r="CJ214" s="104" t="s">
        <v>1176</v>
      </c>
      <c r="CK214" s="104" t="s">
        <v>1176</v>
      </c>
      <c r="CL214" s="104" t="s">
        <v>1176</v>
      </c>
      <c r="CM214" s="104" t="s">
        <v>1176</v>
      </c>
      <c r="CN214" s="104" t="s">
        <v>1176</v>
      </c>
      <c r="CO214" s="104" t="s">
        <v>1176</v>
      </c>
    </row>
    <row r="215" s="102" customFormat="1" ht="15" spans="1:93">
      <c r="A215" s="104" t="s">
        <v>1264</v>
      </c>
      <c r="B215" s="104" t="s">
        <v>1146</v>
      </c>
      <c r="C215" s="104" t="s">
        <v>1147</v>
      </c>
      <c r="D215" s="104" t="s">
        <v>2909</v>
      </c>
      <c r="E215" s="104" t="s">
        <v>2910</v>
      </c>
      <c r="F215" s="104">
        <f t="shared" si="3"/>
        <v>2658</v>
      </c>
      <c r="G215" s="104" t="s">
        <v>2911</v>
      </c>
      <c r="H215" s="104" t="s">
        <v>1176</v>
      </c>
      <c r="I215" s="104" t="s">
        <v>1176</v>
      </c>
      <c r="J215" s="104" t="s">
        <v>1176</v>
      </c>
      <c r="K215" s="104" t="s">
        <v>1176</v>
      </c>
      <c r="L215" s="104" t="s">
        <v>2257</v>
      </c>
      <c r="M215" s="104" t="s">
        <v>1856</v>
      </c>
      <c r="N215" s="104" t="s">
        <v>1238</v>
      </c>
      <c r="O215" s="104" t="s">
        <v>1176</v>
      </c>
      <c r="P215" s="104" t="s">
        <v>1176</v>
      </c>
      <c r="Q215" s="104" t="s">
        <v>1176</v>
      </c>
      <c r="R215" s="104" t="s">
        <v>1176</v>
      </c>
      <c r="S215" s="104" t="s">
        <v>1176</v>
      </c>
      <c r="T215" s="104" t="s">
        <v>1176</v>
      </c>
      <c r="U215" s="104" t="s">
        <v>1180</v>
      </c>
      <c r="V215" s="104" t="s">
        <v>1590</v>
      </c>
      <c r="W215" s="104" t="s">
        <v>1176</v>
      </c>
      <c r="X215" s="104" t="s">
        <v>2912</v>
      </c>
      <c r="Y215" s="104" t="s">
        <v>1241</v>
      </c>
      <c r="Z215" s="104" t="s">
        <v>2913</v>
      </c>
      <c r="AA215" s="104" t="s">
        <v>1176</v>
      </c>
      <c r="AB215" s="104" t="s">
        <v>1176</v>
      </c>
      <c r="AC215" s="104" t="s">
        <v>1176</v>
      </c>
      <c r="AD215" s="104" t="s">
        <v>1176</v>
      </c>
      <c r="AE215" s="104" t="s">
        <v>1176</v>
      </c>
      <c r="AF215" s="104" t="s">
        <v>1176</v>
      </c>
      <c r="AG215" s="104" t="s">
        <v>1176</v>
      </c>
      <c r="AH215" s="104" t="s">
        <v>1176</v>
      </c>
      <c r="AI215" s="104" t="s">
        <v>1212</v>
      </c>
      <c r="AJ215" s="104" t="s">
        <v>1521</v>
      </c>
      <c r="AK215" s="104" t="s">
        <v>1795</v>
      </c>
      <c r="AL215" s="104" t="s">
        <v>2914</v>
      </c>
      <c r="AM215" s="104" t="s">
        <v>1176</v>
      </c>
      <c r="AN215" s="104" t="s">
        <v>1176</v>
      </c>
      <c r="AO215" s="104" t="s">
        <v>1176</v>
      </c>
      <c r="AP215" s="104" t="s">
        <v>1176</v>
      </c>
      <c r="AQ215" s="104" t="s">
        <v>1176</v>
      </c>
      <c r="AR215" s="104" t="s">
        <v>1176</v>
      </c>
      <c r="AS215" s="104" t="s">
        <v>1176</v>
      </c>
      <c r="AT215" s="104" t="s">
        <v>1176</v>
      </c>
      <c r="AU215" s="104" t="s">
        <v>1176</v>
      </c>
      <c r="AV215" s="104" t="s">
        <v>1176</v>
      </c>
      <c r="AW215" s="104" t="s">
        <v>1176</v>
      </c>
      <c r="AX215" s="104" t="s">
        <v>1176</v>
      </c>
      <c r="AY215" s="104" t="s">
        <v>1176</v>
      </c>
      <c r="AZ215" s="104" t="s">
        <v>1176</v>
      </c>
      <c r="BA215" s="104" t="s">
        <v>1176</v>
      </c>
      <c r="BB215" s="104" t="s">
        <v>1176</v>
      </c>
      <c r="BC215" s="104" t="s">
        <v>1176</v>
      </c>
      <c r="BD215" s="104" t="s">
        <v>1176</v>
      </c>
      <c r="BE215" s="104" t="s">
        <v>1176</v>
      </c>
      <c r="BF215" s="104" t="s">
        <v>1176</v>
      </c>
      <c r="BG215" s="104" t="s">
        <v>1476</v>
      </c>
      <c r="BH215" s="104" t="s">
        <v>1476</v>
      </c>
      <c r="BI215" s="104" t="s">
        <v>2915</v>
      </c>
      <c r="BJ215" s="104" t="s">
        <v>1176</v>
      </c>
      <c r="BK215" s="104" t="s">
        <v>1176</v>
      </c>
      <c r="BL215" s="104" t="s">
        <v>1176</v>
      </c>
      <c r="BM215" s="104" t="s">
        <v>1176</v>
      </c>
      <c r="BN215" s="104" t="s">
        <v>1176</v>
      </c>
      <c r="BO215" s="104" t="s">
        <v>1176</v>
      </c>
      <c r="BP215" s="104" t="s">
        <v>1176</v>
      </c>
      <c r="BQ215" s="104" t="s">
        <v>1176</v>
      </c>
      <c r="BR215" s="104" t="s">
        <v>1176</v>
      </c>
      <c r="BS215" s="104" t="s">
        <v>1176</v>
      </c>
      <c r="BT215" s="104" t="s">
        <v>1476</v>
      </c>
      <c r="BU215" s="104" t="s">
        <v>2915</v>
      </c>
      <c r="BV215" s="104" t="s">
        <v>1176</v>
      </c>
      <c r="BW215" s="104" t="s">
        <v>1176</v>
      </c>
      <c r="BX215" s="104" t="s">
        <v>1176</v>
      </c>
      <c r="BY215" s="104" t="s">
        <v>1176</v>
      </c>
      <c r="BZ215" s="104" t="s">
        <v>1176</v>
      </c>
      <c r="CA215" s="104" t="s">
        <v>1176</v>
      </c>
      <c r="CB215" s="104" t="s">
        <v>1176</v>
      </c>
      <c r="CC215" s="104" t="s">
        <v>1176</v>
      </c>
      <c r="CD215" s="104" t="s">
        <v>1176</v>
      </c>
      <c r="CE215" s="104" t="s">
        <v>1176</v>
      </c>
      <c r="CF215" s="104" t="s">
        <v>1176</v>
      </c>
      <c r="CG215" s="104" t="s">
        <v>1176</v>
      </c>
      <c r="CH215" s="104" t="s">
        <v>1176</v>
      </c>
      <c r="CI215" s="104" t="s">
        <v>1176</v>
      </c>
      <c r="CJ215" s="104" t="s">
        <v>1176</v>
      </c>
      <c r="CK215" s="104" t="s">
        <v>1176</v>
      </c>
      <c r="CL215" s="104" t="s">
        <v>1176</v>
      </c>
      <c r="CM215" s="104" t="s">
        <v>1176</v>
      </c>
      <c r="CN215" s="104" t="s">
        <v>1176</v>
      </c>
      <c r="CO215" s="104" t="s">
        <v>1176</v>
      </c>
    </row>
    <row r="216" s="102" customFormat="1" ht="15" spans="1:93">
      <c r="A216" s="104" t="s">
        <v>1685</v>
      </c>
      <c r="B216" s="104" t="s">
        <v>1146</v>
      </c>
      <c r="C216" s="104" t="s">
        <v>1147</v>
      </c>
      <c r="D216" s="104" t="s">
        <v>2916</v>
      </c>
      <c r="E216" s="104" t="s">
        <v>2917</v>
      </c>
      <c r="F216" s="104">
        <f t="shared" si="3"/>
        <v>3572</v>
      </c>
      <c r="G216" s="104" t="s">
        <v>2918</v>
      </c>
      <c r="H216" s="104" t="s">
        <v>1176</v>
      </c>
      <c r="I216" s="104" t="s">
        <v>1176</v>
      </c>
      <c r="J216" s="104" t="s">
        <v>1176</v>
      </c>
      <c r="K216" s="104" t="s">
        <v>1176</v>
      </c>
      <c r="L216" s="104" t="s">
        <v>1414</v>
      </c>
      <c r="M216" s="104" t="s">
        <v>2919</v>
      </c>
      <c r="N216" s="104" t="s">
        <v>1218</v>
      </c>
      <c r="O216" s="104" t="s">
        <v>1176</v>
      </c>
      <c r="P216" s="104" t="s">
        <v>1176</v>
      </c>
      <c r="Q216" s="104" t="s">
        <v>1176</v>
      </c>
      <c r="R216" s="104" t="s">
        <v>1176</v>
      </c>
      <c r="S216" s="104" t="s">
        <v>1176</v>
      </c>
      <c r="T216" s="104" t="s">
        <v>1176</v>
      </c>
      <c r="U216" s="104" t="s">
        <v>1180</v>
      </c>
      <c r="V216" s="104" t="s">
        <v>2920</v>
      </c>
      <c r="W216" s="104" t="s">
        <v>1176</v>
      </c>
      <c r="X216" s="104" t="s">
        <v>2921</v>
      </c>
      <c r="Y216" s="104" t="s">
        <v>2922</v>
      </c>
      <c r="Z216" s="104" t="s">
        <v>2923</v>
      </c>
      <c r="AA216" s="104" t="s">
        <v>1176</v>
      </c>
      <c r="AB216" s="104" t="s">
        <v>1176</v>
      </c>
      <c r="AC216" s="104" t="s">
        <v>1176</v>
      </c>
      <c r="AD216" s="104" t="s">
        <v>1176</v>
      </c>
      <c r="AE216" s="104" t="s">
        <v>1176</v>
      </c>
      <c r="AF216" s="104" t="s">
        <v>1176</v>
      </c>
      <c r="AG216" s="104" t="s">
        <v>1176</v>
      </c>
      <c r="AH216" s="104" t="s">
        <v>1176</v>
      </c>
      <c r="AI216" s="104" t="s">
        <v>1201</v>
      </c>
      <c r="AJ216" s="104" t="s">
        <v>1646</v>
      </c>
      <c r="AK216" s="104" t="s">
        <v>2508</v>
      </c>
      <c r="AL216" s="104" t="s">
        <v>2924</v>
      </c>
      <c r="AM216" s="104" t="s">
        <v>1176</v>
      </c>
      <c r="AN216" s="104" t="s">
        <v>1232</v>
      </c>
      <c r="AO216" s="104" t="s">
        <v>1176</v>
      </c>
      <c r="AP216" s="104" t="s">
        <v>1176</v>
      </c>
      <c r="AQ216" s="104" t="s">
        <v>1176</v>
      </c>
      <c r="AR216" s="104" t="s">
        <v>1176</v>
      </c>
      <c r="AS216" s="104" t="s">
        <v>1176</v>
      </c>
      <c r="AT216" s="104" t="s">
        <v>1176</v>
      </c>
      <c r="AU216" s="104" t="s">
        <v>1176</v>
      </c>
      <c r="AV216" s="104" t="s">
        <v>1176</v>
      </c>
      <c r="AW216" s="104" t="s">
        <v>1176</v>
      </c>
      <c r="AX216" s="104" t="s">
        <v>1176</v>
      </c>
      <c r="AY216" s="104" t="s">
        <v>1176</v>
      </c>
      <c r="AZ216" s="104" t="s">
        <v>1176</v>
      </c>
      <c r="BA216" s="104" t="s">
        <v>1176</v>
      </c>
      <c r="BB216" s="104" t="s">
        <v>1176</v>
      </c>
      <c r="BC216" s="104" t="s">
        <v>1176</v>
      </c>
      <c r="BD216" s="104" t="s">
        <v>1176</v>
      </c>
      <c r="BE216" s="104" t="s">
        <v>1176</v>
      </c>
      <c r="BF216" s="104" t="s">
        <v>1176</v>
      </c>
      <c r="BG216" s="104" t="s">
        <v>1730</v>
      </c>
      <c r="BH216" s="104" t="s">
        <v>1730</v>
      </c>
      <c r="BI216" s="104" t="s">
        <v>1956</v>
      </c>
      <c r="BJ216" s="104" t="s">
        <v>1176</v>
      </c>
      <c r="BK216" s="104" t="s">
        <v>1176</v>
      </c>
      <c r="BL216" s="104" t="s">
        <v>1176</v>
      </c>
      <c r="BM216" s="104" t="s">
        <v>1176</v>
      </c>
      <c r="BN216" s="104" t="s">
        <v>1176</v>
      </c>
      <c r="BO216" s="104" t="s">
        <v>1176</v>
      </c>
      <c r="BP216" s="104" t="s">
        <v>1176</v>
      </c>
      <c r="BQ216" s="104" t="s">
        <v>1176</v>
      </c>
      <c r="BR216" s="104" t="s">
        <v>1176</v>
      </c>
      <c r="BS216" s="104" t="s">
        <v>1176</v>
      </c>
      <c r="BT216" s="104" t="s">
        <v>1730</v>
      </c>
      <c r="BU216" s="104" t="s">
        <v>1956</v>
      </c>
      <c r="BV216" s="104" t="s">
        <v>1176</v>
      </c>
      <c r="BW216" s="104" t="s">
        <v>1176</v>
      </c>
      <c r="BX216" s="104" t="s">
        <v>1176</v>
      </c>
      <c r="BY216" s="104" t="s">
        <v>1176</v>
      </c>
      <c r="BZ216" s="104" t="s">
        <v>1176</v>
      </c>
      <c r="CA216" s="104" t="s">
        <v>1176</v>
      </c>
      <c r="CB216" s="104" t="s">
        <v>1176</v>
      </c>
      <c r="CC216" s="104" t="s">
        <v>1176</v>
      </c>
      <c r="CD216" s="104" t="s">
        <v>1176</v>
      </c>
      <c r="CE216" s="104" t="s">
        <v>1176</v>
      </c>
      <c r="CF216" s="104" t="s">
        <v>1176</v>
      </c>
      <c r="CG216" s="104" t="s">
        <v>1176</v>
      </c>
      <c r="CH216" s="104" t="s">
        <v>1176</v>
      </c>
      <c r="CI216" s="104" t="s">
        <v>1176</v>
      </c>
      <c r="CJ216" s="104" t="s">
        <v>1176</v>
      </c>
      <c r="CK216" s="104" t="s">
        <v>1176</v>
      </c>
      <c r="CL216" s="104" t="s">
        <v>1176</v>
      </c>
      <c r="CM216" s="104" t="s">
        <v>1176</v>
      </c>
      <c r="CN216" s="104" t="s">
        <v>1176</v>
      </c>
      <c r="CO216" s="104" t="s">
        <v>1176</v>
      </c>
    </row>
    <row r="217" s="102" customFormat="1" ht="15" spans="1:93">
      <c r="A217" s="104" t="s">
        <v>1350</v>
      </c>
      <c r="B217" s="104" t="s">
        <v>1146</v>
      </c>
      <c r="C217" s="104" t="s">
        <v>1147</v>
      </c>
      <c r="D217" s="104" t="s">
        <v>2925</v>
      </c>
      <c r="E217" s="104" t="s">
        <v>2926</v>
      </c>
      <c r="F217" s="104">
        <f t="shared" si="3"/>
        <v>2381</v>
      </c>
      <c r="G217" s="104" t="s">
        <v>2927</v>
      </c>
      <c r="H217" s="104" t="s">
        <v>1176</v>
      </c>
      <c r="I217" s="104" t="s">
        <v>1176</v>
      </c>
      <c r="J217" s="104" t="s">
        <v>1176</v>
      </c>
      <c r="K217" s="104" t="s">
        <v>1176</v>
      </c>
      <c r="L217" s="104" t="s">
        <v>1420</v>
      </c>
      <c r="M217" s="104" t="s">
        <v>2928</v>
      </c>
      <c r="N217" s="104" t="s">
        <v>1232</v>
      </c>
      <c r="O217" s="104" t="s">
        <v>1176</v>
      </c>
      <c r="P217" s="104" t="s">
        <v>1176</v>
      </c>
      <c r="Q217" s="104" t="s">
        <v>1176</v>
      </c>
      <c r="R217" s="104" t="s">
        <v>1176</v>
      </c>
      <c r="S217" s="104" t="s">
        <v>1176</v>
      </c>
      <c r="T217" s="104" t="s">
        <v>1176</v>
      </c>
      <c r="U217" s="104" t="s">
        <v>1232</v>
      </c>
      <c r="V217" s="104" t="s">
        <v>1370</v>
      </c>
      <c r="W217" s="104" t="s">
        <v>1176</v>
      </c>
      <c r="X217" s="104" t="s">
        <v>2929</v>
      </c>
      <c r="Y217" s="104" t="s">
        <v>2930</v>
      </c>
      <c r="Z217" s="104" t="s">
        <v>2931</v>
      </c>
      <c r="AA217" s="104" t="s">
        <v>1176</v>
      </c>
      <c r="AB217" s="104" t="s">
        <v>1176</v>
      </c>
      <c r="AC217" s="104" t="s">
        <v>1176</v>
      </c>
      <c r="AD217" s="104" t="s">
        <v>1176</v>
      </c>
      <c r="AE217" s="104" t="s">
        <v>1176</v>
      </c>
      <c r="AF217" s="104" t="s">
        <v>1176</v>
      </c>
      <c r="AG217" s="104" t="s">
        <v>1176</v>
      </c>
      <c r="AH217" s="104" t="s">
        <v>1176</v>
      </c>
      <c r="AI217" s="104" t="s">
        <v>1455</v>
      </c>
      <c r="AJ217" s="104" t="s">
        <v>2549</v>
      </c>
      <c r="AK217" s="104" t="s">
        <v>1958</v>
      </c>
      <c r="AL217" s="104" t="s">
        <v>2932</v>
      </c>
      <c r="AM217" s="104" t="s">
        <v>1176</v>
      </c>
      <c r="AN217" s="104" t="s">
        <v>1176</v>
      </c>
      <c r="AO217" s="104" t="s">
        <v>1176</v>
      </c>
      <c r="AP217" s="104" t="s">
        <v>1176</v>
      </c>
      <c r="AQ217" s="104" t="s">
        <v>1176</v>
      </c>
      <c r="AR217" s="104" t="s">
        <v>1176</v>
      </c>
      <c r="AS217" s="104" t="s">
        <v>1176</v>
      </c>
      <c r="AT217" s="104" t="s">
        <v>1176</v>
      </c>
      <c r="AU217" s="104" t="s">
        <v>1176</v>
      </c>
      <c r="AV217" s="104" t="s">
        <v>1176</v>
      </c>
      <c r="AW217" s="104" t="s">
        <v>1176</v>
      </c>
      <c r="AX217" s="104" t="s">
        <v>1176</v>
      </c>
      <c r="AY217" s="104" t="s">
        <v>1176</v>
      </c>
      <c r="AZ217" s="104" t="s">
        <v>1176</v>
      </c>
      <c r="BA217" s="104" t="s">
        <v>1176</v>
      </c>
      <c r="BB217" s="104" t="s">
        <v>1176</v>
      </c>
      <c r="BC217" s="104" t="s">
        <v>1176</v>
      </c>
      <c r="BD217" s="104" t="s">
        <v>1176</v>
      </c>
      <c r="BE217" s="104" t="s">
        <v>1176</v>
      </c>
      <c r="BF217" s="104" t="s">
        <v>1176</v>
      </c>
      <c r="BG217" s="104" t="s">
        <v>1176</v>
      </c>
      <c r="BH217" s="104" t="s">
        <v>1176</v>
      </c>
      <c r="BI217" s="104" t="s">
        <v>1176</v>
      </c>
      <c r="BJ217" s="104" t="s">
        <v>1176</v>
      </c>
      <c r="BK217" s="104" t="s">
        <v>1176</v>
      </c>
      <c r="BL217" s="104" t="s">
        <v>1176</v>
      </c>
      <c r="BM217" s="104" t="s">
        <v>1176</v>
      </c>
      <c r="BN217" s="104" t="s">
        <v>1176</v>
      </c>
      <c r="BO217" s="104" t="s">
        <v>1176</v>
      </c>
      <c r="BP217" s="104" t="s">
        <v>1176</v>
      </c>
      <c r="BQ217" s="104" t="s">
        <v>1176</v>
      </c>
      <c r="BR217" s="104" t="s">
        <v>1176</v>
      </c>
      <c r="BS217" s="104" t="s">
        <v>1176</v>
      </c>
      <c r="BT217" s="104" t="s">
        <v>1176</v>
      </c>
      <c r="BU217" s="104" t="s">
        <v>1176</v>
      </c>
      <c r="BV217" s="104" t="s">
        <v>1176</v>
      </c>
      <c r="BW217" s="104" t="s">
        <v>1176</v>
      </c>
      <c r="BX217" s="104" t="s">
        <v>1176</v>
      </c>
      <c r="BY217" s="104" t="s">
        <v>1176</v>
      </c>
      <c r="BZ217" s="104" t="s">
        <v>1176</v>
      </c>
      <c r="CA217" s="104" t="s">
        <v>1176</v>
      </c>
      <c r="CB217" s="104" t="s">
        <v>1176</v>
      </c>
      <c r="CC217" s="104" t="s">
        <v>1176</v>
      </c>
      <c r="CD217" s="104" t="s">
        <v>1176</v>
      </c>
      <c r="CE217" s="104" t="s">
        <v>1176</v>
      </c>
      <c r="CF217" s="104" t="s">
        <v>1176</v>
      </c>
      <c r="CG217" s="104" t="s">
        <v>1176</v>
      </c>
      <c r="CH217" s="104" t="s">
        <v>1176</v>
      </c>
      <c r="CI217" s="104" t="s">
        <v>1176</v>
      </c>
      <c r="CJ217" s="104" t="s">
        <v>1176</v>
      </c>
      <c r="CK217" s="104" t="s">
        <v>1176</v>
      </c>
      <c r="CL217" s="104" t="s">
        <v>1176</v>
      </c>
      <c r="CM217" s="104" t="s">
        <v>1176</v>
      </c>
      <c r="CN217" s="104" t="s">
        <v>1176</v>
      </c>
      <c r="CO217" s="104" t="s">
        <v>1176</v>
      </c>
    </row>
    <row r="218" s="102" customFormat="1" ht="15" spans="1:93">
      <c r="A218" s="104" t="s">
        <v>1702</v>
      </c>
      <c r="B218" s="104" t="s">
        <v>1146</v>
      </c>
      <c r="C218" s="104" t="s">
        <v>1147</v>
      </c>
      <c r="D218" s="104" t="s">
        <v>2933</v>
      </c>
      <c r="E218" s="104" t="s">
        <v>2934</v>
      </c>
      <c r="F218" s="104">
        <f t="shared" si="3"/>
        <v>3147</v>
      </c>
      <c r="G218" s="104" t="s">
        <v>2935</v>
      </c>
      <c r="H218" s="104" t="s">
        <v>1176</v>
      </c>
      <c r="I218" s="104" t="s">
        <v>1176</v>
      </c>
      <c r="J218" s="104" t="s">
        <v>1176</v>
      </c>
      <c r="K218" s="104" t="s">
        <v>1176</v>
      </c>
      <c r="L218" s="104" t="s">
        <v>1835</v>
      </c>
      <c r="M218" s="104" t="s">
        <v>2936</v>
      </c>
      <c r="N218" s="104" t="s">
        <v>1176</v>
      </c>
      <c r="O218" s="104" t="s">
        <v>1176</v>
      </c>
      <c r="P218" s="104" t="s">
        <v>1176</v>
      </c>
      <c r="Q218" s="104" t="s">
        <v>1176</v>
      </c>
      <c r="R218" s="104" t="s">
        <v>1176</v>
      </c>
      <c r="S218" s="104" t="s">
        <v>1176</v>
      </c>
      <c r="T218" s="104" t="s">
        <v>1176</v>
      </c>
      <c r="U218" s="104" t="s">
        <v>1176</v>
      </c>
      <c r="V218" s="104" t="s">
        <v>2937</v>
      </c>
      <c r="W218" s="104" t="s">
        <v>1176</v>
      </c>
      <c r="X218" s="104" t="s">
        <v>1263</v>
      </c>
      <c r="Y218" s="104" t="s">
        <v>1926</v>
      </c>
      <c r="Z218" s="104" t="s">
        <v>2938</v>
      </c>
      <c r="AA218" s="104" t="s">
        <v>1176</v>
      </c>
      <c r="AB218" s="104" t="s">
        <v>1176</v>
      </c>
      <c r="AC218" s="104" t="s">
        <v>1176</v>
      </c>
      <c r="AD218" s="104" t="s">
        <v>1176</v>
      </c>
      <c r="AE218" s="104" t="s">
        <v>1176</v>
      </c>
      <c r="AF218" s="104" t="s">
        <v>1176</v>
      </c>
      <c r="AG218" s="104" t="s">
        <v>1176</v>
      </c>
      <c r="AH218" s="104" t="s">
        <v>1176</v>
      </c>
      <c r="AI218" s="104" t="s">
        <v>1187</v>
      </c>
      <c r="AJ218" s="104" t="s">
        <v>1188</v>
      </c>
      <c r="AK218" s="104" t="s">
        <v>1507</v>
      </c>
      <c r="AL218" s="104" t="s">
        <v>2939</v>
      </c>
      <c r="AM218" s="104" t="s">
        <v>1176</v>
      </c>
      <c r="AN218" s="104" t="s">
        <v>1176</v>
      </c>
      <c r="AO218" s="104" t="s">
        <v>1176</v>
      </c>
      <c r="AP218" s="104" t="s">
        <v>1176</v>
      </c>
      <c r="AQ218" s="104" t="s">
        <v>1176</v>
      </c>
      <c r="AR218" s="104" t="s">
        <v>1176</v>
      </c>
      <c r="AS218" s="104" t="s">
        <v>1176</v>
      </c>
      <c r="AT218" s="104" t="s">
        <v>1176</v>
      </c>
      <c r="AU218" s="104" t="s">
        <v>1176</v>
      </c>
      <c r="AV218" s="104" t="s">
        <v>1176</v>
      </c>
      <c r="AW218" s="104" t="s">
        <v>1176</v>
      </c>
      <c r="AX218" s="104" t="s">
        <v>1176</v>
      </c>
      <c r="AY218" s="104" t="s">
        <v>1176</v>
      </c>
      <c r="AZ218" s="104" t="s">
        <v>1176</v>
      </c>
      <c r="BA218" s="104" t="s">
        <v>1176</v>
      </c>
      <c r="BB218" s="104" t="s">
        <v>1176</v>
      </c>
      <c r="BC218" s="104" t="s">
        <v>1176</v>
      </c>
      <c r="BD218" s="104" t="s">
        <v>1176</v>
      </c>
      <c r="BE218" s="104" t="s">
        <v>1176</v>
      </c>
      <c r="BF218" s="104" t="s">
        <v>1176</v>
      </c>
      <c r="BG218" s="104" t="s">
        <v>1172</v>
      </c>
      <c r="BH218" s="104" t="s">
        <v>1172</v>
      </c>
      <c r="BI218" s="104" t="s">
        <v>1172</v>
      </c>
      <c r="BJ218" s="104" t="s">
        <v>1176</v>
      </c>
      <c r="BK218" s="104" t="s">
        <v>1176</v>
      </c>
      <c r="BL218" s="104" t="s">
        <v>1176</v>
      </c>
      <c r="BM218" s="104" t="s">
        <v>1176</v>
      </c>
      <c r="BN218" s="104" t="s">
        <v>1176</v>
      </c>
      <c r="BO218" s="104" t="s">
        <v>1176</v>
      </c>
      <c r="BP218" s="104" t="s">
        <v>1176</v>
      </c>
      <c r="BQ218" s="104" t="s">
        <v>1176</v>
      </c>
      <c r="BR218" s="104" t="s">
        <v>1176</v>
      </c>
      <c r="BS218" s="104" t="s">
        <v>1176</v>
      </c>
      <c r="BT218" s="104" t="s">
        <v>1172</v>
      </c>
      <c r="BU218" s="104" t="s">
        <v>1172</v>
      </c>
      <c r="BV218" s="104" t="s">
        <v>1176</v>
      </c>
      <c r="BW218" s="104" t="s">
        <v>1176</v>
      </c>
      <c r="BX218" s="104" t="s">
        <v>1176</v>
      </c>
      <c r="BY218" s="104" t="s">
        <v>1176</v>
      </c>
      <c r="BZ218" s="104" t="s">
        <v>1176</v>
      </c>
      <c r="CA218" s="104" t="s">
        <v>1176</v>
      </c>
      <c r="CB218" s="104" t="s">
        <v>1176</v>
      </c>
      <c r="CC218" s="104" t="s">
        <v>1176</v>
      </c>
      <c r="CD218" s="104" t="s">
        <v>1176</v>
      </c>
      <c r="CE218" s="104" t="s">
        <v>1176</v>
      </c>
      <c r="CF218" s="104" t="s">
        <v>1176</v>
      </c>
      <c r="CG218" s="104" t="s">
        <v>1176</v>
      </c>
      <c r="CH218" s="104" t="s">
        <v>1176</v>
      </c>
      <c r="CI218" s="104" t="s">
        <v>1176</v>
      </c>
      <c r="CJ218" s="104" t="s">
        <v>1176</v>
      </c>
      <c r="CK218" s="104" t="s">
        <v>1176</v>
      </c>
      <c r="CL218" s="104" t="s">
        <v>1176</v>
      </c>
      <c r="CM218" s="104" t="s">
        <v>1176</v>
      </c>
      <c r="CN218" s="104" t="s">
        <v>1176</v>
      </c>
      <c r="CO218" s="104" t="s">
        <v>1176</v>
      </c>
    </row>
    <row r="219" s="102" customFormat="1" ht="15" spans="1:93">
      <c r="A219" s="104" t="s">
        <v>1249</v>
      </c>
      <c r="B219" s="104" t="s">
        <v>1146</v>
      </c>
      <c r="C219" s="104" t="s">
        <v>1147</v>
      </c>
      <c r="D219" s="104" t="s">
        <v>2940</v>
      </c>
      <c r="E219" s="104" t="s">
        <v>2941</v>
      </c>
      <c r="F219" s="104">
        <f t="shared" si="3"/>
        <v>5701</v>
      </c>
      <c r="G219" s="104" t="s">
        <v>2942</v>
      </c>
      <c r="H219" s="104" t="s">
        <v>1176</v>
      </c>
      <c r="I219" s="104" t="s">
        <v>1176</v>
      </c>
      <c r="J219" s="104" t="s">
        <v>1176</v>
      </c>
      <c r="K219" s="104" t="s">
        <v>1176</v>
      </c>
      <c r="L219" s="104" t="s">
        <v>2088</v>
      </c>
      <c r="M219" s="104" t="s">
        <v>2943</v>
      </c>
      <c r="N219" s="104" t="s">
        <v>1601</v>
      </c>
      <c r="O219" s="104" t="s">
        <v>1176</v>
      </c>
      <c r="P219" s="104" t="s">
        <v>1176</v>
      </c>
      <c r="Q219" s="104" t="s">
        <v>1176</v>
      </c>
      <c r="R219" s="104" t="s">
        <v>1176</v>
      </c>
      <c r="S219" s="104" t="s">
        <v>1176</v>
      </c>
      <c r="T219" s="104" t="s">
        <v>1176</v>
      </c>
      <c r="U219" s="104" t="s">
        <v>1354</v>
      </c>
      <c r="V219" s="104" t="s">
        <v>2944</v>
      </c>
      <c r="W219" s="104" t="s">
        <v>1176</v>
      </c>
      <c r="X219" s="104" t="s">
        <v>2945</v>
      </c>
      <c r="Y219" s="104" t="s">
        <v>1975</v>
      </c>
      <c r="Z219" s="104" t="s">
        <v>2946</v>
      </c>
      <c r="AA219" s="104" t="s">
        <v>1176</v>
      </c>
      <c r="AB219" s="104" t="s">
        <v>1176</v>
      </c>
      <c r="AC219" s="104" t="s">
        <v>1176</v>
      </c>
      <c r="AD219" s="104" t="s">
        <v>1176</v>
      </c>
      <c r="AE219" s="104" t="s">
        <v>1176</v>
      </c>
      <c r="AF219" s="104" t="s">
        <v>1176</v>
      </c>
      <c r="AG219" s="104" t="s">
        <v>1176</v>
      </c>
      <c r="AH219" s="104" t="s">
        <v>1176</v>
      </c>
      <c r="AI219" s="104" t="s">
        <v>1211</v>
      </c>
      <c r="AJ219" s="104" t="s">
        <v>1817</v>
      </c>
      <c r="AK219" s="104" t="s">
        <v>1375</v>
      </c>
      <c r="AL219" s="104" t="s">
        <v>2947</v>
      </c>
      <c r="AM219" s="104" t="s">
        <v>1176</v>
      </c>
      <c r="AN219" s="104" t="s">
        <v>1179</v>
      </c>
      <c r="AO219" s="104" t="s">
        <v>1176</v>
      </c>
      <c r="AP219" s="104" t="s">
        <v>1176</v>
      </c>
      <c r="AQ219" s="104" t="s">
        <v>1176</v>
      </c>
      <c r="AR219" s="104" t="s">
        <v>1176</v>
      </c>
      <c r="AS219" s="104" t="s">
        <v>1176</v>
      </c>
      <c r="AT219" s="104" t="s">
        <v>1176</v>
      </c>
      <c r="AU219" s="104" t="s">
        <v>1176</v>
      </c>
      <c r="AV219" s="104" t="s">
        <v>1176</v>
      </c>
      <c r="AW219" s="104" t="s">
        <v>1176</v>
      </c>
      <c r="AX219" s="104" t="s">
        <v>1176</v>
      </c>
      <c r="AY219" s="104" t="s">
        <v>1176</v>
      </c>
      <c r="AZ219" s="104" t="s">
        <v>1176</v>
      </c>
      <c r="BA219" s="104" t="s">
        <v>1176</v>
      </c>
      <c r="BB219" s="104" t="s">
        <v>1176</v>
      </c>
      <c r="BC219" s="104" t="s">
        <v>1176</v>
      </c>
      <c r="BD219" s="104" t="s">
        <v>1176</v>
      </c>
      <c r="BE219" s="104" t="s">
        <v>1176</v>
      </c>
      <c r="BF219" s="104" t="s">
        <v>1176</v>
      </c>
      <c r="BG219" s="104" t="s">
        <v>1176</v>
      </c>
      <c r="BH219" s="104" t="s">
        <v>1176</v>
      </c>
      <c r="BI219" s="104" t="s">
        <v>1176</v>
      </c>
      <c r="BJ219" s="104" t="s">
        <v>1176</v>
      </c>
      <c r="BK219" s="104" t="s">
        <v>1176</v>
      </c>
      <c r="BL219" s="104" t="s">
        <v>1176</v>
      </c>
      <c r="BM219" s="104" t="s">
        <v>1176</v>
      </c>
      <c r="BN219" s="104" t="s">
        <v>1176</v>
      </c>
      <c r="BO219" s="104" t="s">
        <v>1176</v>
      </c>
      <c r="BP219" s="104" t="s">
        <v>1176</v>
      </c>
      <c r="BQ219" s="104" t="s">
        <v>1176</v>
      </c>
      <c r="BR219" s="104" t="s">
        <v>1176</v>
      </c>
      <c r="BS219" s="104" t="s">
        <v>1176</v>
      </c>
      <c r="BT219" s="104" t="s">
        <v>1176</v>
      </c>
      <c r="BU219" s="104" t="s">
        <v>1176</v>
      </c>
      <c r="BV219" s="104" t="s">
        <v>1176</v>
      </c>
      <c r="BW219" s="104" t="s">
        <v>1176</v>
      </c>
      <c r="BX219" s="104" t="s">
        <v>1176</v>
      </c>
      <c r="BY219" s="104" t="s">
        <v>1176</v>
      </c>
      <c r="BZ219" s="104" t="s">
        <v>1176</v>
      </c>
      <c r="CA219" s="104" t="s">
        <v>1176</v>
      </c>
      <c r="CB219" s="104" t="s">
        <v>1176</v>
      </c>
      <c r="CC219" s="104" t="s">
        <v>1176</v>
      </c>
      <c r="CD219" s="104" t="s">
        <v>1176</v>
      </c>
      <c r="CE219" s="104" t="s">
        <v>1176</v>
      </c>
      <c r="CF219" s="104" t="s">
        <v>1176</v>
      </c>
      <c r="CG219" s="104" t="s">
        <v>1176</v>
      </c>
      <c r="CH219" s="104" t="s">
        <v>1176</v>
      </c>
      <c r="CI219" s="104" t="s">
        <v>1176</v>
      </c>
      <c r="CJ219" s="104" t="s">
        <v>1176</v>
      </c>
      <c r="CK219" s="104" t="s">
        <v>1176</v>
      </c>
      <c r="CL219" s="104" t="s">
        <v>1176</v>
      </c>
      <c r="CM219" s="104" t="s">
        <v>1176</v>
      </c>
      <c r="CN219" s="104" t="s">
        <v>1176</v>
      </c>
      <c r="CO219" s="104" t="s">
        <v>1176</v>
      </c>
    </row>
    <row r="220" s="102" customFormat="1" ht="15" spans="1:93">
      <c r="A220" s="104" t="s">
        <v>1598</v>
      </c>
      <c r="B220" s="104" t="s">
        <v>1146</v>
      </c>
      <c r="C220" s="104" t="s">
        <v>1147</v>
      </c>
      <c r="D220" s="104" t="s">
        <v>2948</v>
      </c>
      <c r="E220" s="104" t="s">
        <v>2949</v>
      </c>
      <c r="F220" s="104">
        <f t="shared" si="3"/>
        <v>7294</v>
      </c>
      <c r="G220" s="104" t="s">
        <v>2950</v>
      </c>
      <c r="H220" s="104" t="s">
        <v>1176</v>
      </c>
      <c r="I220" s="104" t="s">
        <v>1176</v>
      </c>
      <c r="J220" s="104" t="s">
        <v>1176</v>
      </c>
      <c r="K220" s="104" t="s">
        <v>1176</v>
      </c>
      <c r="L220" s="104" t="s">
        <v>2769</v>
      </c>
      <c r="M220" s="104" t="s">
        <v>2951</v>
      </c>
      <c r="N220" s="104" t="s">
        <v>1345</v>
      </c>
      <c r="O220" s="104" t="s">
        <v>1176</v>
      </c>
      <c r="P220" s="104" t="s">
        <v>1176</v>
      </c>
      <c r="Q220" s="104" t="s">
        <v>1176</v>
      </c>
      <c r="R220" s="104" t="s">
        <v>1176</v>
      </c>
      <c r="S220" s="104" t="s">
        <v>1176</v>
      </c>
      <c r="T220" s="104" t="s">
        <v>1176</v>
      </c>
      <c r="U220" s="104" t="s">
        <v>1296</v>
      </c>
      <c r="V220" s="104" t="s">
        <v>1258</v>
      </c>
      <c r="W220" s="104" t="s">
        <v>1176</v>
      </c>
      <c r="X220" s="104" t="s">
        <v>2952</v>
      </c>
      <c r="Y220" s="104" t="s">
        <v>2953</v>
      </c>
      <c r="Z220" s="104" t="s">
        <v>2954</v>
      </c>
      <c r="AA220" s="104" t="s">
        <v>1176</v>
      </c>
      <c r="AB220" s="104" t="s">
        <v>1176</v>
      </c>
      <c r="AC220" s="104" t="s">
        <v>1176</v>
      </c>
      <c r="AD220" s="104" t="s">
        <v>1176</v>
      </c>
      <c r="AE220" s="104" t="s">
        <v>1176</v>
      </c>
      <c r="AF220" s="104" t="s">
        <v>1176</v>
      </c>
      <c r="AG220" s="104" t="s">
        <v>1176</v>
      </c>
      <c r="AH220" s="104" t="s">
        <v>1176</v>
      </c>
      <c r="AI220" s="104" t="s">
        <v>2237</v>
      </c>
      <c r="AJ220" s="104" t="s">
        <v>2955</v>
      </c>
      <c r="AK220" s="104" t="s">
        <v>1694</v>
      </c>
      <c r="AL220" s="104" t="s">
        <v>2956</v>
      </c>
      <c r="AM220" s="104" t="s">
        <v>1176</v>
      </c>
      <c r="AN220" s="104" t="s">
        <v>1456</v>
      </c>
      <c r="AO220" s="104" t="s">
        <v>1176</v>
      </c>
      <c r="AP220" s="104" t="s">
        <v>1176</v>
      </c>
      <c r="AQ220" s="104" t="s">
        <v>1176</v>
      </c>
      <c r="AR220" s="104" t="s">
        <v>1176</v>
      </c>
      <c r="AS220" s="104" t="s">
        <v>1176</v>
      </c>
      <c r="AT220" s="104" t="s">
        <v>1176</v>
      </c>
      <c r="AU220" s="104" t="s">
        <v>1180</v>
      </c>
      <c r="AV220" s="104" t="s">
        <v>1180</v>
      </c>
      <c r="AW220" s="104" t="s">
        <v>1176</v>
      </c>
      <c r="AX220" s="104" t="s">
        <v>1176</v>
      </c>
      <c r="AY220" s="104" t="s">
        <v>1176</v>
      </c>
      <c r="AZ220" s="104" t="s">
        <v>1176</v>
      </c>
      <c r="BA220" s="104" t="s">
        <v>1176</v>
      </c>
      <c r="BB220" s="104" t="s">
        <v>1176</v>
      </c>
      <c r="BC220" s="104" t="s">
        <v>1176</v>
      </c>
      <c r="BD220" s="104" t="s">
        <v>1176</v>
      </c>
      <c r="BE220" s="104" t="s">
        <v>1176</v>
      </c>
      <c r="BF220" s="104" t="s">
        <v>1176</v>
      </c>
      <c r="BG220" s="104" t="s">
        <v>1176</v>
      </c>
      <c r="BH220" s="104" t="s">
        <v>1176</v>
      </c>
      <c r="BI220" s="104" t="s">
        <v>1176</v>
      </c>
      <c r="BJ220" s="104" t="s">
        <v>1176</v>
      </c>
      <c r="BK220" s="104" t="s">
        <v>1176</v>
      </c>
      <c r="BL220" s="104" t="s">
        <v>1176</v>
      </c>
      <c r="BM220" s="104" t="s">
        <v>1176</v>
      </c>
      <c r="BN220" s="104" t="s">
        <v>1176</v>
      </c>
      <c r="BO220" s="104" t="s">
        <v>1176</v>
      </c>
      <c r="BP220" s="104" t="s">
        <v>1176</v>
      </c>
      <c r="BQ220" s="104" t="s">
        <v>1176</v>
      </c>
      <c r="BR220" s="104" t="s">
        <v>1176</v>
      </c>
      <c r="BS220" s="104" t="s">
        <v>1176</v>
      </c>
      <c r="BT220" s="104" t="s">
        <v>1176</v>
      </c>
      <c r="BU220" s="104" t="s">
        <v>1176</v>
      </c>
      <c r="BV220" s="104" t="s">
        <v>1176</v>
      </c>
      <c r="BW220" s="104" t="s">
        <v>1176</v>
      </c>
      <c r="BX220" s="104" t="s">
        <v>1176</v>
      </c>
      <c r="BY220" s="104" t="s">
        <v>1176</v>
      </c>
      <c r="BZ220" s="104" t="s">
        <v>1176</v>
      </c>
      <c r="CA220" s="104" t="s">
        <v>1176</v>
      </c>
      <c r="CB220" s="104" t="s">
        <v>1176</v>
      </c>
      <c r="CC220" s="104" t="s">
        <v>1176</v>
      </c>
      <c r="CD220" s="104" t="s">
        <v>1176</v>
      </c>
      <c r="CE220" s="104" t="s">
        <v>1176</v>
      </c>
      <c r="CF220" s="104" t="s">
        <v>1176</v>
      </c>
      <c r="CG220" s="104" t="s">
        <v>1176</v>
      </c>
      <c r="CH220" s="104" t="s">
        <v>1176</v>
      </c>
      <c r="CI220" s="104" t="s">
        <v>1176</v>
      </c>
      <c r="CJ220" s="104" t="s">
        <v>1176</v>
      </c>
      <c r="CK220" s="104" t="s">
        <v>1176</v>
      </c>
      <c r="CL220" s="104" t="s">
        <v>1176</v>
      </c>
      <c r="CM220" s="104" t="s">
        <v>1176</v>
      </c>
      <c r="CN220" s="104" t="s">
        <v>1176</v>
      </c>
      <c r="CO220" s="104" t="s">
        <v>1176</v>
      </c>
    </row>
    <row r="221" s="102" customFormat="1" ht="15" spans="1:93">
      <c r="A221" s="104" t="s">
        <v>1418</v>
      </c>
      <c r="B221" s="104" t="s">
        <v>1146</v>
      </c>
      <c r="C221" s="104" t="s">
        <v>1147</v>
      </c>
      <c r="D221" s="104" t="s">
        <v>2957</v>
      </c>
      <c r="E221" s="104" t="s">
        <v>2958</v>
      </c>
      <c r="F221" s="104">
        <f t="shared" si="3"/>
        <v>5393</v>
      </c>
      <c r="G221" s="104" t="s">
        <v>2959</v>
      </c>
      <c r="H221" s="104" t="s">
        <v>1176</v>
      </c>
      <c r="I221" s="104" t="s">
        <v>1176</v>
      </c>
      <c r="J221" s="104" t="s">
        <v>1176</v>
      </c>
      <c r="K221" s="104" t="s">
        <v>1176</v>
      </c>
      <c r="L221" s="104" t="s">
        <v>2019</v>
      </c>
      <c r="M221" s="104" t="s">
        <v>2960</v>
      </c>
      <c r="N221" s="104" t="s">
        <v>1476</v>
      </c>
      <c r="O221" s="104" t="s">
        <v>1176</v>
      </c>
      <c r="P221" s="104" t="s">
        <v>1176</v>
      </c>
      <c r="Q221" s="104" t="s">
        <v>1176</v>
      </c>
      <c r="R221" s="104" t="s">
        <v>1176</v>
      </c>
      <c r="S221" s="104" t="s">
        <v>1176</v>
      </c>
      <c r="T221" s="104" t="s">
        <v>1176</v>
      </c>
      <c r="U221" s="104" t="s">
        <v>1232</v>
      </c>
      <c r="V221" s="104" t="s">
        <v>2961</v>
      </c>
      <c r="W221" s="104" t="s">
        <v>1176</v>
      </c>
      <c r="X221" s="104" t="s">
        <v>2962</v>
      </c>
      <c r="Y221" s="104" t="s">
        <v>1868</v>
      </c>
      <c r="Z221" s="104" t="s">
        <v>2963</v>
      </c>
      <c r="AA221" s="104" t="s">
        <v>1176</v>
      </c>
      <c r="AB221" s="104" t="s">
        <v>1176</v>
      </c>
      <c r="AC221" s="104" t="s">
        <v>1176</v>
      </c>
      <c r="AD221" s="104" t="s">
        <v>1176</v>
      </c>
      <c r="AE221" s="104" t="s">
        <v>1176</v>
      </c>
      <c r="AF221" s="104" t="s">
        <v>1176</v>
      </c>
      <c r="AG221" s="104" t="s">
        <v>1176</v>
      </c>
      <c r="AH221" s="104" t="s">
        <v>1176</v>
      </c>
      <c r="AI221" s="104" t="s">
        <v>1551</v>
      </c>
      <c r="AJ221" s="104" t="s">
        <v>1673</v>
      </c>
      <c r="AK221" s="104" t="s">
        <v>2964</v>
      </c>
      <c r="AL221" s="104" t="s">
        <v>2965</v>
      </c>
      <c r="AM221" s="104" t="s">
        <v>1176</v>
      </c>
      <c r="AN221" s="104" t="s">
        <v>1442</v>
      </c>
      <c r="AO221" s="104" t="s">
        <v>1176</v>
      </c>
      <c r="AP221" s="104" t="s">
        <v>1176</v>
      </c>
      <c r="AQ221" s="104" t="s">
        <v>1176</v>
      </c>
      <c r="AR221" s="104" t="s">
        <v>1176</v>
      </c>
      <c r="AS221" s="104" t="s">
        <v>1176</v>
      </c>
      <c r="AT221" s="104" t="s">
        <v>1176</v>
      </c>
      <c r="AU221" s="104" t="s">
        <v>1179</v>
      </c>
      <c r="AV221" s="104" t="s">
        <v>1328</v>
      </c>
      <c r="AW221" s="104" t="s">
        <v>1176</v>
      </c>
      <c r="AX221" s="104" t="s">
        <v>1176</v>
      </c>
      <c r="AY221" s="104" t="s">
        <v>1176</v>
      </c>
      <c r="AZ221" s="104" t="s">
        <v>1176</v>
      </c>
      <c r="BA221" s="104" t="s">
        <v>1176</v>
      </c>
      <c r="BB221" s="104" t="s">
        <v>1176</v>
      </c>
      <c r="BC221" s="104" t="s">
        <v>1176</v>
      </c>
      <c r="BD221" s="104" t="s">
        <v>1176</v>
      </c>
      <c r="BE221" s="104" t="s">
        <v>1176</v>
      </c>
      <c r="BF221" s="104" t="s">
        <v>1176</v>
      </c>
      <c r="BG221" s="104" t="s">
        <v>1232</v>
      </c>
      <c r="BH221" s="104" t="s">
        <v>1232</v>
      </c>
      <c r="BI221" s="104" t="s">
        <v>1227</v>
      </c>
      <c r="BJ221" s="104" t="s">
        <v>1176</v>
      </c>
      <c r="BK221" s="104" t="s">
        <v>1176</v>
      </c>
      <c r="BL221" s="104" t="s">
        <v>1176</v>
      </c>
      <c r="BM221" s="104" t="s">
        <v>1176</v>
      </c>
      <c r="BN221" s="104" t="s">
        <v>1176</v>
      </c>
      <c r="BO221" s="104" t="s">
        <v>1176</v>
      </c>
      <c r="BP221" s="104" t="s">
        <v>1176</v>
      </c>
      <c r="BQ221" s="104" t="s">
        <v>1176</v>
      </c>
      <c r="BR221" s="104" t="s">
        <v>1180</v>
      </c>
      <c r="BS221" s="104" t="s">
        <v>1320</v>
      </c>
      <c r="BT221" s="104" t="s">
        <v>1176</v>
      </c>
      <c r="BU221" s="104" t="s">
        <v>1176</v>
      </c>
      <c r="BV221" s="104" t="s">
        <v>1176</v>
      </c>
      <c r="BW221" s="104" t="s">
        <v>1176</v>
      </c>
      <c r="BX221" s="104" t="s">
        <v>1172</v>
      </c>
      <c r="BY221" s="104" t="s">
        <v>1172</v>
      </c>
      <c r="BZ221" s="104" t="s">
        <v>1176</v>
      </c>
      <c r="CA221" s="104" t="s">
        <v>1176</v>
      </c>
      <c r="CB221" s="104" t="s">
        <v>1176</v>
      </c>
      <c r="CC221" s="104" t="s">
        <v>1176</v>
      </c>
      <c r="CD221" s="104" t="s">
        <v>1176</v>
      </c>
      <c r="CE221" s="104" t="s">
        <v>1176</v>
      </c>
      <c r="CF221" s="104" t="s">
        <v>1176</v>
      </c>
      <c r="CG221" s="104" t="s">
        <v>1176</v>
      </c>
      <c r="CH221" s="104" t="s">
        <v>1176</v>
      </c>
      <c r="CI221" s="104" t="s">
        <v>1176</v>
      </c>
      <c r="CJ221" s="104" t="s">
        <v>1176</v>
      </c>
      <c r="CK221" s="104" t="s">
        <v>1176</v>
      </c>
      <c r="CL221" s="104" t="s">
        <v>1176</v>
      </c>
      <c r="CM221" s="104" t="s">
        <v>1176</v>
      </c>
      <c r="CN221" s="104" t="s">
        <v>1176</v>
      </c>
      <c r="CO221" s="104" t="s">
        <v>1176</v>
      </c>
    </row>
    <row r="222" s="102" customFormat="1" ht="15" spans="1:93">
      <c r="A222" s="104" t="s">
        <v>1521</v>
      </c>
      <c r="B222" s="104" t="s">
        <v>1146</v>
      </c>
      <c r="C222" s="104" t="s">
        <v>1147</v>
      </c>
      <c r="D222" s="104" t="s">
        <v>2966</v>
      </c>
      <c r="E222" s="104" t="s">
        <v>2967</v>
      </c>
      <c r="F222" s="104">
        <f t="shared" si="3"/>
        <v>3359</v>
      </c>
      <c r="G222" s="104" t="s">
        <v>2968</v>
      </c>
      <c r="H222" s="104" t="s">
        <v>1176</v>
      </c>
      <c r="I222" s="104" t="s">
        <v>1176</v>
      </c>
      <c r="J222" s="104" t="s">
        <v>1176</v>
      </c>
      <c r="K222" s="104" t="s">
        <v>1176</v>
      </c>
      <c r="L222" s="104" t="s">
        <v>1230</v>
      </c>
      <c r="M222" s="104" t="s">
        <v>2969</v>
      </c>
      <c r="N222" s="104" t="s">
        <v>1350</v>
      </c>
      <c r="O222" s="104" t="s">
        <v>1176</v>
      </c>
      <c r="P222" s="104" t="s">
        <v>1176</v>
      </c>
      <c r="Q222" s="104" t="s">
        <v>1176</v>
      </c>
      <c r="R222" s="104" t="s">
        <v>1176</v>
      </c>
      <c r="S222" s="104" t="s">
        <v>1176</v>
      </c>
      <c r="T222" s="104" t="s">
        <v>1176</v>
      </c>
      <c r="U222" s="104" t="s">
        <v>1238</v>
      </c>
      <c r="V222" s="104" t="s">
        <v>2970</v>
      </c>
      <c r="W222" s="104" t="s">
        <v>1176</v>
      </c>
      <c r="X222" s="104" t="s">
        <v>2971</v>
      </c>
      <c r="Y222" s="104" t="s">
        <v>2972</v>
      </c>
      <c r="Z222" s="104" t="s">
        <v>2973</v>
      </c>
      <c r="AA222" s="104" t="s">
        <v>1176</v>
      </c>
      <c r="AB222" s="104" t="s">
        <v>1176</v>
      </c>
      <c r="AC222" s="104" t="s">
        <v>1176</v>
      </c>
      <c r="AD222" s="104" t="s">
        <v>1176</v>
      </c>
      <c r="AE222" s="104" t="s">
        <v>1176</v>
      </c>
      <c r="AF222" s="104" t="s">
        <v>1176</v>
      </c>
      <c r="AG222" s="104" t="s">
        <v>1176</v>
      </c>
      <c r="AH222" s="104" t="s">
        <v>1176</v>
      </c>
      <c r="AI222" s="104" t="s">
        <v>1326</v>
      </c>
      <c r="AJ222" s="104" t="s">
        <v>1364</v>
      </c>
      <c r="AK222" s="104" t="s">
        <v>1481</v>
      </c>
      <c r="AL222" s="104" t="s">
        <v>2974</v>
      </c>
      <c r="AM222" s="104" t="s">
        <v>1176</v>
      </c>
      <c r="AN222" s="104" t="s">
        <v>1455</v>
      </c>
      <c r="AO222" s="104" t="s">
        <v>1176</v>
      </c>
      <c r="AP222" s="104" t="s">
        <v>1176</v>
      </c>
      <c r="AQ222" s="104" t="s">
        <v>1176</v>
      </c>
      <c r="AR222" s="104" t="s">
        <v>1176</v>
      </c>
      <c r="AS222" s="104" t="s">
        <v>1176</v>
      </c>
      <c r="AT222" s="104" t="s">
        <v>1176</v>
      </c>
      <c r="AU222" s="104" t="s">
        <v>1176</v>
      </c>
      <c r="AV222" s="104" t="s">
        <v>1176</v>
      </c>
      <c r="AW222" s="104" t="s">
        <v>1176</v>
      </c>
      <c r="AX222" s="104" t="s">
        <v>1176</v>
      </c>
      <c r="AY222" s="104" t="s">
        <v>1176</v>
      </c>
      <c r="AZ222" s="104" t="s">
        <v>1176</v>
      </c>
      <c r="BA222" s="104" t="s">
        <v>1176</v>
      </c>
      <c r="BB222" s="104" t="s">
        <v>1176</v>
      </c>
      <c r="BC222" s="104" t="s">
        <v>1212</v>
      </c>
      <c r="BD222" s="104" t="s">
        <v>1188</v>
      </c>
      <c r="BE222" s="104" t="s">
        <v>1176</v>
      </c>
      <c r="BF222" s="104" t="s">
        <v>1176</v>
      </c>
      <c r="BG222" s="104" t="s">
        <v>1730</v>
      </c>
      <c r="BH222" s="104" t="s">
        <v>1730</v>
      </c>
      <c r="BI222" s="104" t="s">
        <v>2975</v>
      </c>
      <c r="BJ222" s="104" t="s">
        <v>1172</v>
      </c>
      <c r="BK222" s="104" t="s">
        <v>1176</v>
      </c>
      <c r="BL222" s="104" t="s">
        <v>1176</v>
      </c>
      <c r="BM222" s="104" t="s">
        <v>1176</v>
      </c>
      <c r="BN222" s="104" t="s">
        <v>1179</v>
      </c>
      <c r="BO222" s="104" t="s">
        <v>1179</v>
      </c>
      <c r="BP222" s="104" t="s">
        <v>1176</v>
      </c>
      <c r="BQ222" s="104" t="s">
        <v>1176</v>
      </c>
      <c r="BR222" s="104" t="s">
        <v>1176</v>
      </c>
      <c r="BS222" s="104" t="s">
        <v>1176</v>
      </c>
      <c r="BT222" s="104" t="s">
        <v>1176</v>
      </c>
      <c r="BU222" s="104" t="s">
        <v>1176</v>
      </c>
      <c r="BV222" s="104" t="s">
        <v>1176</v>
      </c>
      <c r="BW222" s="104" t="s">
        <v>1176</v>
      </c>
      <c r="BX222" s="104" t="s">
        <v>1521</v>
      </c>
      <c r="BY222" s="104" t="s">
        <v>2976</v>
      </c>
      <c r="BZ222" s="104" t="s">
        <v>1176</v>
      </c>
      <c r="CA222" s="104" t="s">
        <v>1176</v>
      </c>
      <c r="CB222" s="104" t="s">
        <v>1176</v>
      </c>
      <c r="CC222" s="104" t="s">
        <v>1176</v>
      </c>
      <c r="CD222" s="104" t="s">
        <v>1201</v>
      </c>
      <c r="CE222" s="104" t="s">
        <v>1549</v>
      </c>
      <c r="CF222" s="104" t="s">
        <v>1176</v>
      </c>
      <c r="CG222" s="104" t="s">
        <v>1176</v>
      </c>
      <c r="CH222" s="104" t="s">
        <v>1176</v>
      </c>
      <c r="CI222" s="104" t="s">
        <v>1176</v>
      </c>
      <c r="CJ222" s="104" t="s">
        <v>1176</v>
      </c>
      <c r="CK222" s="104" t="s">
        <v>1176</v>
      </c>
      <c r="CL222" s="104" t="s">
        <v>1176</v>
      </c>
      <c r="CM222" s="104" t="s">
        <v>1176</v>
      </c>
      <c r="CN222" s="104" t="s">
        <v>1176</v>
      </c>
      <c r="CO222" s="104" t="s">
        <v>1176</v>
      </c>
    </row>
    <row r="223" s="102" customFormat="1" ht="15" spans="1:93">
      <c r="A223" s="104" t="s">
        <v>1549</v>
      </c>
      <c r="B223" s="104" t="s">
        <v>1146</v>
      </c>
      <c r="C223" s="104" t="s">
        <v>1147</v>
      </c>
      <c r="D223" s="104" t="s">
        <v>2977</v>
      </c>
      <c r="E223" s="104" t="s">
        <v>2978</v>
      </c>
      <c r="F223" s="104">
        <f t="shared" si="3"/>
        <v>3895</v>
      </c>
      <c r="G223" s="104" t="s">
        <v>2979</v>
      </c>
      <c r="H223" s="104" t="s">
        <v>1176</v>
      </c>
      <c r="I223" s="104" t="s">
        <v>1176</v>
      </c>
      <c r="J223" s="104" t="s">
        <v>1176</v>
      </c>
      <c r="K223" s="104" t="s">
        <v>1176</v>
      </c>
      <c r="L223" s="104" t="s">
        <v>2411</v>
      </c>
      <c r="M223" s="104" t="s">
        <v>2661</v>
      </c>
      <c r="N223" s="104" t="s">
        <v>1223</v>
      </c>
      <c r="O223" s="104" t="s">
        <v>1176</v>
      </c>
      <c r="P223" s="104" t="s">
        <v>1187</v>
      </c>
      <c r="Q223" s="104" t="s">
        <v>1176</v>
      </c>
      <c r="R223" s="104" t="s">
        <v>1176</v>
      </c>
      <c r="S223" s="104" t="s">
        <v>1176</v>
      </c>
      <c r="T223" s="104" t="s">
        <v>1176</v>
      </c>
      <c r="U223" s="104" t="s">
        <v>1180</v>
      </c>
      <c r="V223" s="104" t="s">
        <v>1224</v>
      </c>
      <c r="W223" s="104" t="s">
        <v>1176</v>
      </c>
      <c r="X223" s="104" t="s">
        <v>2980</v>
      </c>
      <c r="Y223" s="104" t="s">
        <v>1839</v>
      </c>
      <c r="Z223" s="104" t="s">
        <v>2981</v>
      </c>
      <c r="AA223" s="104" t="s">
        <v>1176</v>
      </c>
      <c r="AB223" s="104" t="s">
        <v>1176</v>
      </c>
      <c r="AC223" s="104" t="s">
        <v>1176</v>
      </c>
      <c r="AD223" s="104" t="s">
        <v>1176</v>
      </c>
      <c r="AE223" s="104" t="s">
        <v>1176</v>
      </c>
      <c r="AF223" s="104" t="s">
        <v>1176</v>
      </c>
      <c r="AG223" s="104" t="s">
        <v>1176</v>
      </c>
      <c r="AH223" s="104" t="s">
        <v>1176</v>
      </c>
      <c r="AI223" s="104" t="s">
        <v>1187</v>
      </c>
      <c r="AJ223" s="104" t="s">
        <v>1187</v>
      </c>
      <c r="AK223" s="104" t="s">
        <v>1241</v>
      </c>
      <c r="AL223" s="104" t="s">
        <v>2982</v>
      </c>
      <c r="AM223" s="104" t="s">
        <v>1176</v>
      </c>
      <c r="AN223" s="104" t="s">
        <v>1172</v>
      </c>
      <c r="AO223" s="104" t="s">
        <v>1176</v>
      </c>
      <c r="AP223" s="104" t="s">
        <v>1176</v>
      </c>
      <c r="AQ223" s="104" t="s">
        <v>1176</v>
      </c>
      <c r="AR223" s="104" t="s">
        <v>1176</v>
      </c>
      <c r="AS223" s="104" t="s">
        <v>1176</v>
      </c>
      <c r="AT223" s="104" t="s">
        <v>1176</v>
      </c>
      <c r="AU223" s="104" t="s">
        <v>1176</v>
      </c>
      <c r="AV223" s="104" t="s">
        <v>1176</v>
      </c>
      <c r="AW223" s="104" t="s">
        <v>1176</v>
      </c>
      <c r="AX223" s="104" t="s">
        <v>1176</v>
      </c>
      <c r="AY223" s="104" t="s">
        <v>1176</v>
      </c>
      <c r="AZ223" s="104" t="s">
        <v>1176</v>
      </c>
      <c r="BA223" s="104" t="s">
        <v>1176</v>
      </c>
      <c r="BB223" s="104" t="s">
        <v>1176</v>
      </c>
      <c r="BC223" s="104" t="s">
        <v>1176</v>
      </c>
      <c r="BD223" s="104" t="s">
        <v>1176</v>
      </c>
      <c r="BE223" s="104" t="s">
        <v>1176</v>
      </c>
      <c r="BF223" s="104" t="s">
        <v>1176</v>
      </c>
      <c r="BG223" s="104" t="s">
        <v>1900</v>
      </c>
      <c r="BH223" s="104" t="s">
        <v>1900</v>
      </c>
      <c r="BI223" s="104" t="s">
        <v>2983</v>
      </c>
      <c r="BJ223" s="104" t="s">
        <v>1187</v>
      </c>
      <c r="BK223" s="104" t="s">
        <v>1172</v>
      </c>
      <c r="BL223" s="104" t="s">
        <v>1176</v>
      </c>
      <c r="BM223" s="104" t="s">
        <v>1176</v>
      </c>
      <c r="BN223" s="104" t="s">
        <v>1230</v>
      </c>
      <c r="BO223" s="104" t="s">
        <v>1230</v>
      </c>
      <c r="BP223" s="104" t="s">
        <v>1176</v>
      </c>
      <c r="BQ223" s="104" t="s">
        <v>1176</v>
      </c>
      <c r="BR223" s="104" t="s">
        <v>1176</v>
      </c>
      <c r="BS223" s="104" t="s">
        <v>1176</v>
      </c>
      <c r="BT223" s="104" t="s">
        <v>1742</v>
      </c>
      <c r="BU223" s="104" t="s">
        <v>2984</v>
      </c>
      <c r="BV223" s="104" t="s">
        <v>1176</v>
      </c>
      <c r="BW223" s="104" t="s">
        <v>1176</v>
      </c>
      <c r="BX223" s="104" t="s">
        <v>1180</v>
      </c>
      <c r="BY223" s="104" t="s">
        <v>1203</v>
      </c>
      <c r="BZ223" s="104" t="s">
        <v>1176</v>
      </c>
      <c r="CA223" s="104" t="s">
        <v>1176</v>
      </c>
      <c r="CB223" s="104" t="s">
        <v>1176</v>
      </c>
      <c r="CC223" s="104" t="s">
        <v>1176</v>
      </c>
      <c r="CD223" s="104" t="s">
        <v>1176</v>
      </c>
      <c r="CE223" s="104" t="s">
        <v>1176</v>
      </c>
      <c r="CF223" s="104" t="s">
        <v>1176</v>
      </c>
      <c r="CG223" s="104" t="s">
        <v>1176</v>
      </c>
      <c r="CH223" s="104" t="s">
        <v>1176</v>
      </c>
      <c r="CI223" s="104" t="s">
        <v>1176</v>
      </c>
      <c r="CJ223" s="104" t="s">
        <v>1176</v>
      </c>
      <c r="CK223" s="104" t="s">
        <v>1176</v>
      </c>
      <c r="CL223" s="104" t="s">
        <v>1176</v>
      </c>
      <c r="CM223" s="104" t="s">
        <v>1176</v>
      </c>
      <c r="CN223" s="104" t="s">
        <v>1176</v>
      </c>
      <c r="CO223" s="104" t="s">
        <v>1176</v>
      </c>
    </row>
  </sheetData>
  <mergeCells count="67">
    <mergeCell ref="A1:CO1"/>
    <mergeCell ref="A2:CO2"/>
    <mergeCell ref="A3:CO3"/>
    <mergeCell ref="A4:CO4"/>
    <mergeCell ref="E5:F5"/>
    <mergeCell ref="G5:W5"/>
    <mergeCell ref="X5:BF5"/>
    <mergeCell ref="BG5:CO5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A5:A7"/>
    <mergeCell ref="B5:B7"/>
    <mergeCell ref="C5:C7"/>
    <mergeCell ref="D5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BG6:BG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217"/>
  <sheetViews>
    <sheetView topLeftCell="D1" workbookViewId="0">
      <pane ySplit="1" topLeftCell="A178" activePane="bottomLeft" state="frozen"/>
      <selection/>
      <selection pane="bottomLeft" activeCell="Z14" sqref="Z14"/>
    </sheetView>
  </sheetViews>
  <sheetFormatPr defaultColWidth="8.88888888888889" defaultRowHeight="13.2"/>
  <cols>
    <col min="1" max="1" width="7.81481481481481" style="99" customWidth="1"/>
    <col min="2" max="20" width="31.25" style="99" customWidth="1"/>
    <col min="21" max="16384" width="8.88888888888889" style="99"/>
  </cols>
  <sheetData>
    <row r="1" s="99" customFormat="1" ht="17.4" spans="1:20">
      <c r="A1" s="100" t="s">
        <v>2985</v>
      </c>
      <c r="B1" s="100" t="s">
        <v>2986</v>
      </c>
      <c r="C1" s="100" t="s">
        <v>2987</v>
      </c>
      <c r="D1" s="100" t="s">
        <v>2988</v>
      </c>
      <c r="E1" s="100" t="s">
        <v>2989</v>
      </c>
      <c r="F1" s="100" t="s">
        <v>1120</v>
      </c>
      <c r="G1" s="100" t="s">
        <v>1125</v>
      </c>
      <c r="H1" s="100" t="s">
        <v>2990</v>
      </c>
      <c r="I1" s="100" t="s">
        <v>2991</v>
      </c>
      <c r="J1" s="100" t="s">
        <v>2992</v>
      </c>
      <c r="K1" s="100" t="s">
        <v>2993</v>
      </c>
      <c r="L1" s="100" t="s">
        <v>2994</v>
      </c>
      <c r="M1" s="100" t="s">
        <v>2995</v>
      </c>
      <c r="N1" s="100" t="s">
        <v>2996</v>
      </c>
      <c r="O1" s="100" t="s">
        <v>2997</v>
      </c>
      <c r="P1" s="100" t="s">
        <v>2998</v>
      </c>
      <c r="Q1" s="100" t="s">
        <v>2999</v>
      </c>
      <c r="R1" s="100" t="s">
        <v>3000</v>
      </c>
      <c r="S1" s="100" t="s">
        <v>3001</v>
      </c>
      <c r="T1" s="100" t="s">
        <v>3002</v>
      </c>
    </row>
    <row r="2" s="99" customFormat="1" ht="20" customHeight="1" spans="1:20">
      <c r="A2" s="101" t="s">
        <v>1172</v>
      </c>
      <c r="B2" s="101" t="s">
        <v>3003</v>
      </c>
      <c r="C2" s="101" t="s">
        <v>3004</v>
      </c>
      <c r="D2" s="101" t="s">
        <v>1146</v>
      </c>
      <c r="E2" s="101" t="s">
        <v>1147</v>
      </c>
      <c r="F2" s="101" t="s">
        <v>1148</v>
      </c>
      <c r="G2" s="101">
        <v>7987</v>
      </c>
      <c r="H2" s="101">
        <v>6568</v>
      </c>
      <c r="I2" s="101">
        <v>188</v>
      </c>
      <c r="J2" s="101">
        <v>0</v>
      </c>
      <c r="K2" s="101">
        <v>6380</v>
      </c>
      <c r="L2" s="101">
        <v>0</v>
      </c>
      <c r="M2" s="101">
        <v>0</v>
      </c>
      <c r="N2" s="101" t="s">
        <v>3005</v>
      </c>
      <c r="O2" s="101">
        <v>1419</v>
      </c>
      <c r="P2" s="101">
        <v>1251</v>
      </c>
      <c r="Q2" s="101">
        <v>120</v>
      </c>
      <c r="R2" s="101">
        <v>7</v>
      </c>
      <c r="S2" s="101">
        <v>41</v>
      </c>
      <c r="T2" s="101">
        <v>894</v>
      </c>
    </row>
    <row r="3" s="99" customFormat="1" ht="20" customHeight="1" spans="1:20">
      <c r="A3" s="101" t="s">
        <v>1187</v>
      </c>
      <c r="B3" s="101" t="s">
        <v>3003</v>
      </c>
      <c r="C3" s="101" t="s">
        <v>3004</v>
      </c>
      <c r="D3" s="101" t="s">
        <v>1146</v>
      </c>
      <c r="E3" s="101" t="s">
        <v>1147</v>
      </c>
      <c r="F3" s="101" t="s">
        <v>1149</v>
      </c>
      <c r="G3" s="101">
        <v>16863</v>
      </c>
      <c r="H3" s="101">
        <v>12491</v>
      </c>
      <c r="I3" s="101">
        <v>228</v>
      </c>
      <c r="J3" s="101">
        <v>0</v>
      </c>
      <c r="K3" s="101">
        <v>12263</v>
      </c>
      <c r="L3" s="101">
        <v>0</v>
      </c>
      <c r="M3" s="101">
        <v>0</v>
      </c>
      <c r="N3" s="101" t="s">
        <v>3006</v>
      </c>
      <c r="O3" s="101">
        <v>4372</v>
      </c>
      <c r="P3" s="101">
        <v>4120</v>
      </c>
      <c r="Q3" s="101">
        <v>197</v>
      </c>
      <c r="R3" s="101">
        <v>0</v>
      </c>
      <c r="S3" s="101">
        <v>55</v>
      </c>
      <c r="T3" s="101">
        <v>2431</v>
      </c>
    </row>
    <row r="4" s="99" customFormat="1" ht="20" customHeight="1" spans="1:20">
      <c r="A4" s="101" t="s">
        <v>1212</v>
      </c>
      <c r="B4" s="101" t="s">
        <v>3003</v>
      </c>
      <c r="C4" s="101" t="s">
        <v>3004</v>
      </c>
      <c r="D4" s="101" t="s">
        <v>1146</v>
      </c>
      <c r="E4" s="101" t="s">
        <v>1147</v>
      </c>
      <c r="F4" s="101" t="s">
        <v>1150</v>
      </c>
      <c r="G4" s="101">
        <v>18106</v>
      </c>
      <c r="H4" s="101">
        <v>14519</v>
      </c>
      <c r="I4" s="101">
        <v>100</v>
      </c>
      <c r="J4" s="101">
        <v>0</v>
      </c>
      <c r="K4" s="101">
        <v>14419</v>
      </c>
      <c r="L4" s="101">
        <v>0</v>
      </c>
      <c r="M4" s="101">
        <v>0</v>
      </c>
      <c r="N4" s="101" t="s">
        <v>3007</v>
      </c>
      <c r="O4" s="101">
        <v>3587</v>
      </c>
      <c r="P4" s="101">
        <v>3312</v>
      </c>
      <c r="Q4" s="101">
        <v>224</v>
      </c>
      <c r="R4" s="101">
        <v>0</v>
      </c>
      <c r="S4" s="101">
        <v>51</v>
      </c>
      <c r="T4" s="101">
        <v>1299</v>
      </c>
    </row>
    <row r="5" s="99" customFormat="1" ht="20" customHeight="1" spans="1:20">
      <c r="A5" s="101" t="s">
        <v>1180</v>
      </c>
      <c r="B5" s="101" t="s">
        <v>3003</v>
      </c>
      <c r="C5" s="101" t="s">
        <v>3004</v>
      </c>
      <c r="D5" s="101" t="s">
        <v>1146</v>
      </c>
      <c r="E5" s="101" t="s">
        <v>1147</v>
      </c>
      <c r="F5" s="101" t="s">
        <v>1151</v>
      </c>
      <c r="G5" s="101">
        <v>17361</v>
      </c>
      <c r="H5" s="101">
        <v>12593</v>
      </c>
      <c r="I5" s="101">
        <v>76</v>
      </c>
      <c r="J5" s="101">
        <v>0</v>
      </c>
      <c r="K5" s="101">
        <v>12517</v>
      </c>
      <c r="L5" s="101">
        <v>0</v>
      </c>
      <c r="M5" s="101">
        <v>0</v>
      </c>
      <c r="N5" s="101" t="s">
        <v>3008</v>
      </c>
      <c r="O5" s="101">
        <v>4768</v>
      </c>
      <c r="P5" s="101">
        <v>4567</v>
      </c>
      <c r="Q5" s="101">
        <v>168</v>
      </c>
      <c r="R5" s="101">
        <v>7</v>
      </c>
      <c r="S5" s="101">
        <v>26</v>
      </c>
      <c r="T5" s="101">
        <v>926</v>
      </c>
    </row>
    <row r="6" s="99" customFormat="1" ht="20" customHeight="1" spans="1:20">
      <c r="A6" s="101" t="s">
        <v>1232</v>
      </c>
      <c r="B6" s="101" t="s">
        <v>3003</v>
      </c>
      <c r="C6" s="101" t="s">
        <v>3004</v>
      </c>
      <c r="D6" s="101" t="s">
        <v>1146</v>
      </c>
      <c r="E6" s="101" t="s">
        <v>1147</v>
      </c>
      <c r="F6" s="101" t="s">
        <v>1152</v>
      </c>
      <c r="G6" s="101">
        <v>20492</v>
      </c>
      <c r="H6" s="101">
        <v>13297</v>
      </c>
      <c r="I6" s="101">
        <v>50</v>
      </c>
      <c r="J6" s="101">
        <v>0</v>
      </c>
      <c r="K6" s="101">
        <v>13247</v>
      </c>
      <c r="L6" s="101">
        <v>0</v>
      </c>
      <c r="M6" s="101">
        <v>0</v>
      </c>
      <c r="N6" s="101" t="s">
        <v>3009</v>
      </c>
      <c r="O6" s="101">
        <v>7195</v>
      </c>
      <c r="P6" s="101">
        <v>4944</v>
      </c>
      <c r="Q6" s="101">
        <v>252</v>
      </c>
      <c r="R6" s="101">
        <v>1931</v>
      </c>
      <c r="S6" s="101">
        <v>68</v>
      </c>
      <c r="T6" s="101">
        <v>4097</v>
      </c>
    </row>
    <row r="7" s="99" customFormat="1" ht="20" customHeight="1" spans="1:20">
      <c r="A7" s="101" t="s">
        <v>1179</v>
      </c>
      <c r="B7" s="101" t="s">
        <v>3003</v>
      </c>
      <c r="C7" s="101" t="s">
        <v>3004</v>
      </c>
      <c r="D7" s="101" t="s">
        <v>1146</v>
      </c>
      <c r="E7" s="101" t="s">
        <v>1147</v>
      </c>
      <c r="F7" s="101" t="s">
        <v>1153</v>
      </c>
      <c r="G7" s="101">
        <v>12472</v>
      </c>
      <c r="H7" s="101">
        <v>8794</v>
      </c>
      <c r="I7" s="101">
        <v>205</v>
      </c>
      <c r="J7" s="101">
        <v>0</v>
      </c>
      <c r="K7" s="101">
        <v>8589</v>
      </c>
      <c r="L7" s="101">
        <v>0</v>
      </c>
      <c r="M7" s="101">
        <v>0</v>
      </c>
      <c r="N7" s="101" t="s">
        <v>3010</v>
      </c>
      <c r="O7" s="101">
        <v>3678</v>
      </c>
      <c r="P7" s="101">
        <v>2307</v>
      </c>
      <c r="Q7" s="101">
        <v>427</v>
      </c>
      <c r="R7" s="101">
        <v>942</v>
      </c>
      <c r="S7" s="101">
        <v>2</v>
      </c>
      <c r="T7" s="101">
        <v>89</v>
      </c>
    </row>
    <row r="8" s="99" customFormat="1" ht="20" customHeight="1" spans="1:20">
      <c r="A8" s="101" t="s">
        <v>1188</v>
      </c>
      <c r="B8" s="101" t="s">
        <v>3003</v>
      </c>
      <c r="C8" s="101" t="s">
        <v>3004</v>
      </c>
      <c r="D8" s="101" t="s">
        <v>1146</v>
      </c>
      <c r="E8" s="101" t="s">
        <v>1147</v>
      </c>
      <c r="F8" s="101" t="s">
        <v>1154</v>
      </c>
      <c r="G8" s="101">
        <v>1222</v>
      </c>
      <c r="H8" s="101">
        <v>113</v>
      </c>
      <c r="I8" s="101">
        <v>113</v>
      </c>
      <c r="J8" s="101">
        <v>0</v>
      </c>
      <c r="K8" s="101">
        <v>0</v>
      </c>
      <c r="L8" s="101">
        <v>0</v>
      </c>
      <c r="M8" s="101">
        <v>0</v>
      </c>
      <c r="N8" s="101" t="s">
        <v>3011</v>
      </c>
      <c r="O8" s="101">
        <v>1109</v>
      </c>
      <c r="P8" s="101">
        <v>1109</v>
      </c>
      <c r="Q8" s="101">
        <v>0</v>
      </c>
      <c r="R8" s="101">
        <v>0</v>
      </c>
      <c r="S8" s="101">
        <v>0</v>
      </c>
      <c r="T8" s="101">
        <v>0</v>
      </c>
    </row>
    <row r="9" s="99" customFormat="1" ht="20" customHeight="1" spans="1:20">
      <c r="A9" s="101" t="s">
        <v>1201</v>
      </c>
      <c r="B9" s="101" t="s">
        <v>3003</v>
      </c>
      <c r="C9" s="101" t="s">
        <v>3004</v>
      </c>
      <c r="D9" s="101" t="s">
        <v>1146</v>
      </c>
      <c r="E9" s="101" t="s">
        <v>1147</v>
      </c>
      <c r="F9" s="101" t="s">
        <v>1155</v>
      </c>
      <c r="G9" s="101">
        <v>1518</v>
      </c>
      <c r="H9" s="101">
        <v>246</v>
      </c>
      <c r="I9" s="101">
        <v>246</v>
      </c>
      <c r="J9" s="101">
        <v>0</v>
      </c>
      <c r="K9" s="101">
        <v>0</v>
      </c>
      <c r="L9" s="101">
        <v>0</v>
      </c>
      <c r="M9" s="101">
        <v>0</v>
      </c>
      <c r="N9" s="101" t="s">
        <v>3012</v>
      </c>
      <c r="O9" s="101">
        <v>1272</v>
      </c>
      <c r="P9" s="101">
        <v>1272</v>
      </c>
      <c r="Q9" s="101">
        <v>0</v>
      </c>
      <c r="R9" s="101">
        <v>0</v>
      </c>
      <c r="S9" s="101">
        <v>0</v>
      </c>
      <c r="T9" s="101">
        <v>0</v>
      </c>
    </row>
    <row r="10" s="99" customFormat="1" ht="20" customHeight="1" spans="1:20">
      <c r="A10" s="101" t="s">
        <v>1243</v>
      </c>
      <c r="B10" s="101" t="s">
        <v>3003</v>
      </c>
      <c r="C10" s="101" t="s">
        <v>3004</v>
      </c>
      <c r="D10" s="101" t="s">
        <v>1146</v>
      </c>
      <c r="E10" s="101" t="s">
        <v>1147</v>
      </c>
      <c r="F10" s="101" t="s">
        <v>1156</v>
      </c>
      <c r="G10" s="101">
        <v>7379</v>
      </c>
      <c r="H10" s="101">
        <v>4179</v>
      </c>
      <c r="I10" s="101">
        <v>25</v>
      </c>
      <c r="J10" s="101">
        <v>0</v>
      </c>
      <c r="K10" s="101">
        <v>4154</v>
      </c>
      <c r="L10" s="101">
        <v>0</v>
      </c>
      <c r="M10" s="101">
        <v>0</v>
      </c>
      <c r="N10" s="101" t="s">
        <v>3013</v>
      </c>
      <c r="O10" s="101">
        <v>3200</v>
      </c>
      <c r="P10" s="101">
        <v>3021</v>
      </c>
      <c r="Q10" s="101">
        <v>97</v>
      </c>
      <c r="R10" s="101">
        <v>0</v>
      </c>
      <c r="S10" s="101">
        <v>82</v>
      </c>
      <c r="T10" s="101">
        <v>5052</v>
      </c>
    </row>
    <row r="11" s="99" customFormat="1" ht="20" customHeight="1" spans="1:20">
      <c r="A11" s="101" t="s">
        <v>1218</v>
      </c>
      <c r="B11" s="101" t="s">
        <v>3003</v>
      </c>
      <c r="C11" s="101" t="s">
        <v>3004</v>
      </c>
      <c r="D11" s="101" t="s">
        <v>1146</v>
      </c>
      <c r="E11" s="101" t="s">
        <v>1147</v>
      </c>
      <c r="F11" s="101" t="s">
        <v>1157</v>
      </c>
      <c r="G11" s="101">
        <v>18099</v>
      </c>
      <c r="H11" s="101">
        <v>14973</v>
      </c>
      <c r="I11" s="101">
        <v>38</v>
      </c>
      <c r="J11" s="101">
        <v>0</v>
      </c>
      <c r="K11" s="101">
        <v>14935</v>
      </c>
      <c r="L11" s="101">
        <v>0</v>
      </c>
      <c r="M11" s="101">
        <v>0</v>
      </c>
      <c r="N11" s="101" t="s">
        <v>3014</v>
      </c>
      <c r="O11" s="101">
        <v>3126</v>
      </c>
      <c r="P11" s="101">
        <v>2611</v>
      </c>
      <c r="Q11" s="101">
        <v>453</v>
      </c>
      <c r="R11" s="101">
        <v>2</v>
      </c>
      <c r="S11" s="101">
        <v>60</v>
      </c>
      <c r="T11" s="101">
        <v>3112</v>
      </c>
    </row>
    <row r="12" s="99" customFormat="1" ht="20" customHeight="1" spans="1:20">
      <c r="A12" s="101" t="s">
        <v>1238</v>
      </c>
      <c r="B12" s="101" t="s">
        <v>3003</v>
      </c>
      <c r="C12" s="101" t="s">
        <v>3004</v>
      </c>
      <c r="D12" s="101" t="s">
        <v>1146</v>
      </c>
      <c r="E12" s="101" t="s">
        <v>1147</v>
      </c>
      <c r="F12" s="101" t="s">
        <v>1158</v>
      </c>
      <c r="G12" s="101">
        <v>661</v>
      </c>
      <c r="H12" s="101">
        <v>325</v>
      </c>
      <c r="I12" s="101">
        <v>74</v>
      </c>
      <c r="J12" s="101">
        <v>0</v>
      </c>
      <c r="K12" s="101">
        <v>251</v>
      </c>
      <c r="L12" s="101">
        <v>0</v>
      </c>
      <c r="M12" s="101">
        <v>0</v>
      </c>
      <c r="N12" s="101" t="s">
        <v>3015</v>
      </c>
      <c r="O12" s="101">
        <v>336</v>
      </c>
      <c r="P12" s="101">
        <v>323</v>
      </c>
      <c r="Q12" s="101">
        <v>13</v>
      </c>
      <c r="R12" s="101">
        <v>0</v>
      </c>
      <c r="S12" s="101">
        <v>0</v>
      </c>
      <c r="T12" s="101">
        <v>0</v>
      </c>
    </row>
    <row r="13" s="99" customFormat="1" ht="20" customHeight="1" spans="1:20">
      <c r="A13" s="101" t="s">
        <v>1196</v>
      </c>
      <c r="B13" s="101" t="s">
        <v>3003</v>
      </c>
      <c r="C13" s="101" t="s">
        <v>3004</v>
      </c>
      <c r="D13" s="101" t="s">
        <v>1146</v>
      </c>
      <c r="E13" s="101" t="s">
        <v>1147</v>
      </c>
      <c r="F13" s="101" t="s">
        <v>1159</v>
      </c>
      <c r="G13" s="101">
        <v>491</v>
      </c>
      <c r="H13" s="101">
        <v>48</v>
      </c>
      <c r="I13" s="101">
        <v>48</v>
      </c>
      <c r="J13" s="101">
        <v>0</v>
      </c>
      <c r="K13" s="101">
        <v>0</v>
      </c>
      <c r="L13" s="101">
        <v>0</v>
      </c>
      <c r="M13" s="101">
        <v>0</v>
      </c>
      <c r="N13" s="101" t="s">
        <v>3016</v>
      </c>
      <c r="O13" s="101">
        <v>443</v>
      </c>
      <c r="P13" s="101">
        <v>427</v>
      </c>
      <c r="Q13" s="101">
        <v>0</v>
      </c>
      <c r="R13" s="101">
        <v>0</v>
      </c>
      <c r="S13" s="101">
        <v>16</v>
      </c>
      <c r="T13" s="101">
        <v>23</v>
      </c>
    </row>
    <row r="14" s="99" customFormat="1" ht="20" customHeight="1" spans="1:20">
      <c r="A14" s="101" t="s">
        <v>1356</v>
      </c>
      <c r="B14" s="101" t="s">
        <v>3003</v>
      </c>
      <c r="C14" s="101" t="s">
        <v>3004</v>
      </c>
      <c r="D14" s="101" t="s">
        <v>1146</v>
      </c>
      <c r="E14" s="101" t="s">
        <v>1147</v>
      </c>
      <c r="F14" s="101" t="s">
        <v>1160</v>
      </c>
      <c r="G14" s="101">
        <v>8235</v>
      </c>
      <c r="H14" s="101">
        <v>15</v>
      </c>
      <c r="I14" s="101">
        <v>15</v>
      </c>
      <c r="J14" s="101">
        <v>0</v>
      </c>
      <c r="K14" s="101">
        <v>0</v>
      </c>
      <c r="L14" s="101">
        <v>0</v>
      </c>
      <c r="M14" s="101">
        <v>0</v>
      </c>
      <c r="N14" s="101" t="s">
        <v>3017</v>
      </c>
      <c r="O14" s="101">
        <v>8220</v>
      </c>
      <c r="P14" s="101">
        <v>7580</v>
      </c>
      <c r="Q14" s="101">
        <v>25</v>
      </c>
      <c r="R14" s="101">
        <v>596</v>
      </c>
      <c r="S14" s="101">
        <v>19</v>
      </c>
      <c r="T14" s="101">
        <v>79</v>
      </c>
    </row>
    <row r="15" s="99" customFormat="1" ht="20" customHeight="1" spans="1:20">
      <c r="A15" s="101" t="s">
        <v>1354</v>
      </c>
      <c r="B15" s="101" t="s">
        <v>3003</v>
      </c>
      <c r="C15" s="101" t="s">
        <v>3004</v>
      </c>
      <c r="D15" s="101" t="s">
        <v>1146</v>
      </c>
      <c r="E15" s="101" t="s">
        <v>1147</v>
      </c>
      <c r="F15" s="101" t="s">
        <v>1161</v>
      </c>
      <c r="G15" s="101">
        <v>8494</v>
      </c>
      <c r="H15" s="101">
        <v>4314</v>
      </c>
      <c r="I15" s="101">
        <v>19</v>
      </c>
      <c r="J15" s="101">
        <v>0</v>
      </c>
      <c r="K15" s="101">
        <v>4295</v>
      </c>
      <c r="L15" s="101">
        <v>0</v>
      </c>
      <c r="M15" s="101">
        <v>0</v>
      </c>
      <c r="N15" s="101" t="s">
        <v>3018</v>
      </c>
      <c r="O15" s="101">
        <v>4180</v>
      </c>
      <c r="P15" s="101">
        <v>3994</v>
      </c>
      <c r="Q15" s="101">
        <v>185</v>
      </c>
      <c r="R15" s="101">
        <v>1</v>
      </c>
      <c r="S15" s="101">
        <v>0</v>
      </c>
      <c r="T15" s="101">
        <v>0</v>
      </c>
    </row>
    <row r="16" s="99" customFormat="1" ht="20" customHeight="1" spans="1:20">
      <c r="A16" s="101" t="s">
        <v>1211</v>
      </c>
      <c r="B16" s="101" t="s">
        <v>3003</v>
      </c>
      <c r="C16" s="101" t="s">
        <v>3004</v>
      </c>
      <c r="D16" s="101" t="s">
        <v>1146</v>
      </c>
      <c r="E16" s="101" t="s">
        <v>1147</v>
      </c>
      <c r="F16" s="101" t="s">
        <v>1162</v>
      </c>
      <c r="G16" s="101">
        <v>10913</v>
      </c>
      <c r="H16" s="101">
        <v>10046</v>
      </c>
      <c r="I16" s="101">
        <v>176</v>
      </c>
      <c r="J16" s="101">
        <v>0</v>
      </c>
      <c r="K16" s="101">
        <v>9870</v>
      </c>
      <c r="L16" s="101">
        <v>0</v>
      </c>
      <c r="M16" s="101">
        <v>0</v>
      </c>
      <c r="N16" s="101" t="s">
        <v>3019</v>
      </c>
      <c r="O16" s="101">
        <v>867</v>
      </c>
      <c r="P16" s="101">
        <v>420</v>
      </c>
      <c r="Q16" s="101">
        <v>446</v>
      </c>
      <c r="R16" s="101">
        <v>1</v>
      </c>
      <c r="S16" s="101">
        <v>0</v>
      </c>
      <c r="T16" s="101">
        <v>0</v>
      </c>
    </row>
    <row r="17" s="99" customFormat="1" ht="20" customHeight="1" spans="1:20">
      <c r="A17" s="101" t="s">
        <v>1223</v>
      </c>
      <c r="B17" s="101" t="s">
        <v>3003</v>
      </c>
      <c r="C17" s="101" t="s">
        <v>3004</v>
      </c>
      <c r="D17" s="101" t="s">
        <v>1146</v>
      </c>
      <c r="E17" s="101" t="s">
        <v>1147</v>
      </c>
      <c r="F17" s="101" t="s">
        <v>1163</v>
      </c>
      <c r="G17" s="101">
        <v>12679</v>
      </c>
      <c r="H17" s="101">
        <v>9093</v>
      </c>
      <c r="I17" s="101">
        <v>170</v>
      </c>
      <c r="J17" s="101">
        <v>0</v>
      </c>
      <c r="K17" s="101">
        <v>8923</v>
      </c>
      <c r="L17" s="101">
        <v>0</v>
      </c>
      <c r="M17" s="101">
        <v>0</v>
      </c>
      <c r="N17" s="101" t="s">
        <v>3020</v>
      </c>
      <c r="O17" s="101">
        <v>3586</v>
      </c>
      <c r="P17" s="101">
        <v>3363</v>
      </c>
      <c r="Q17" s="101">
        <v>183</v>
      </c>
      <c r="R17" s="101">
        <v>3</v>
      </c>
      <c r="S17" s="101">
        <v>37</v>
      </c>
      <c r="T17" s="101">
        <v>1173</v>
      </c>
    </row>
    <row r="18" s="99" customFormat="1" ht="20" customHeight="1" spans="1:20">
      <c r="A18" s="101" t="s">
        <v>1203</v>
      </c>
      <c r="B18" s="101" t="s">
        <v>3003</v>
      </c>
      <c r="C18" s="101" t="s">
        <v>3004</v>
      </c>
      <c r="D18" s="101" t="s">
        <v>1146</v>
      </c>
      <c r="E18" s="101" t="s">
        <v>1147</v>
      </c>
      <c r="F18" s="101" t="s">
        <v>1164</v>
      </c>
      <c r="G18" s="101">
        <v>17579</v>
      </c>
      <c r="H18" s="101">
        <v>14333</v>
      </c>
      <c r="I18" s="101">
        <v>66</v>
      </c>
      <c r="J18" s="101">
        <v>0</v>
      </c>
      <c r="K18" s="101">
        <v>14267</v>
      </c>
      <c r="L18" s="101">
        <v>0</v>
      </c>
      <c r="M18" s="101">
        <v>0</v>
      </c>
      <c r="N18" s="101" t="s">
        <v>3021</v>
      </c>
      <c r="O18" s="101">
        <v>3246</v>
      </c>
      <c r="P18" s="101">
        <v>2800</v>
      </c>
      <c r="Q18" s="101">
        <v>386</v>
      </c>
      <c r="R18" s="101">
        <v>4</v>
      </c>
      <c r="S18" s="101">
        <v>56</v>
      </c>
      <c r="T18" s="101">
        <v>2224</v>
      </c>
    </row>
    <row r="19" s="99" customFormat="1" ht="20" customHeight="1" spans="1:20">
      <c r="A19" s="101" t="s">
        <v>1306</v>
      </c>
      <c r="B19" s="101" t="s">
        <v>3003</v>
      </c>
      <c r="C19" s="101" t="s">
        <v>3004</v>
      </c>
      <c r="D19" s="101" t="s">
        <v>1146</v>
      </c>
      <c r="E19" s="101" t="s">
        <v>1147</v>
      </c>
      <c r="F19" s="101" t="s">
        <v>1165</v>
      </c>
      <c r="G19" s="101">
        <v>4219</v>
      </c>
      <c r="H19" s="101">
        <v>31</v>
      </c>
      <c r="I19" s="101">
        <v>31</v>
      </c>
      <c r="J19" s="101">
        <v>0</v>
      </c>
      <c r="K19" s="101">
        <v>0</v>
      </c>
      <c r="L19" s="101">
        <v>0</v>
      </c>
      <c r="M19" s="101">
        <v>0</v>
      </c>
      <c r="N19" s="101" t="s">
        <v>3022</v>
      </c>
      <c r="O19" s="101">
        <v>4188</v>
      </c>
      <c r="P19" s="101">
        <v>4188</v>
      </c>
      <c r="Q19" s="101">
        <v>0</v>
      </c>
      <c r="R19" s="101">
        <v>0</v>
      </c>
      <c r="S19" s="101">
        <v>0</v>
      </c>
      <c r="T19" s="101">
        <v>0</v>
      </c>
    </row>
    <row r="20" s="99" customFormat="1" ht="20" customHeight="1" spans="1:20">
      <c r="A20" s="101" t="s">
        <v>1421</v>
      </c>
      <c r="B20" s="101" t="s">
        <v>3003</v>
      </c>
      <c r="C20" s="101" t="s">
        <v>3004</v>
      </c>
      <c r="D20" s="101" t="s">
        <v>1146</v>
      </c>
      <c r="E20" s="101" t="s">
        <v>1147</v>
      </c>
      <c r="F20" s="101" t="s">
        <v>1166</v>
      </c>
      <c r="G20" s="101">
        <v>9890</v>
      </c>
      <c r="H20" s="101">
        <v>4803</v>
      </c>
      <c r="I20" s="101">
        <v>29</v>
      </c>
      <c r="J20" s="101">
        <v>0</v>
      </c>
      <c r="K20" s="101">
        <v>4774</v>
      </c>
      <c r="L20" s="101">
        <v>0</v>
      </c>
      <c r="M20" s="101">
        <v>0</v>
      </c>
      <c r="N20" s="101" t="s">
        <v>3023</v>
      </c>
      <c r="O20" s="101">
        <v>5087</v>
      </c>
      <c r="P20" s="101">
        <v>4908</v>
      </c>
      <c r="Q20" s="101">
        <v>175</v>
      </c>
      <c r="R20" s="101">
        <v>4</v>
      </c>
      <c r="S20" s="101">
        <v>0</v>
      </c>
      <c r="T20" s="101">
        <v>0</v>
      </c>
    </row>
    <row r="21" s="99" customFormat="1" ht="20" customHeight="1" spans="1:20">
      <c r="A21" s="101" t="s">
        <v>1296</v>
      </c>
      <c r="B21" s="101" t="s">
        <v>3003</v>
      </c>
      <c r="C21" s="101" t="s">
        <v>3004</v>
      </c>
      <c r="D21" s="101" t="s">
        <v>1146</v>
      </c>
      <c r="E21" s="101" t="s">
        <v>1147</v>
      </c>
      <c r="F21" s="101" t="s">
        <v>1167</v>
      </c>
      <c r="G21" s="101">
        <v>19726</v>
      </c>
      <c r="H21" s="101">
        <v>14123</v>
      </c>
      <c r="I21" s="101">
        <v>85</v>
      </c>
      <c r="J21" s="101">
        <v>0</v>
      </c>
      <c r="K21" s="101">
        <v>14038</v>
      </c>
      <c r="L21" s="101">
        <v>0</v>
      </c>
      <c r="M21" s="101">
        <v>0</v>
      </c>
      <c r="N21" s="101" t="s">
        <v>3024</v>
      </c>
      <c r="O21" s="101">
        <v>5603</v>
      </c>
      <c r="P21" s="101">
        <v>4953</v>
      </c>
      <c r="Q21" s="101">
        <v>592</v>
      </c>
      <c r="R21" s="101">
        <v>58</v>
      </c>
      <c r="S21" s="101">
        <v>0</v>
      </c>
      <c r="T21" s="101">
        <v>0</v>
      </c>
    </row>
    <row r="22" s="99" customFormat="1" ht="20" customHeight="1" spans="1:20">
      <c r="A22" s="101" t="s">
        <v>1442</v>
      </c>
      <c r="B22" s="101" t="s">
        <v>3003</v>
      </c>
      <c r="C22" s="101" t="s">
        <v>3004</v>
      </c>
      <c r="D22" s="101" t="s">
        <v>1146</v>
      </c>
      <c r="E22" s="101" t="s">
        <v>1147</v>
      </c>
      <c r="F22" s="101" t="s">
        <v>1168</v>
      </c>
      <c r="G22" s="101">
        <v>21036</v>
      </c>
      <c r="H22" s="101">
        <v>14447</v>
      </c>
      <c r="I22" s="101">
        <v>60</v>
      </c>
      <c r="J22" s="101">
        <v>0</v>
      </c>
      <c r="K22" s="101">
        <v>14387</v>
      </c>
      <c r="L22" s="101">
        <v>0</v>
      </c>
      <c r="M22" s="101">
        <v>0</v>
      </c>
      <c r="N22" s="101" t="s">
        <v>3025</v>
      </c>
      <c r="O22" s="101">
        <v>6589</v>
      </c>
      <c r="P22" s="101">
        <v>4329</v>
      </c>
      <c r="Q22" s="101">
        <v>549</v>
      </c>
      <c r="R22" s="101">
        <v>1711</v>
      </c>
      <c r="S22" s="101">
        <v>0</v>
      </c>
      <c r="T22" s="101">
        <v>0</v>
      </c>
    </row>
    <row r="23" s="99" customFormat="1" ht="20" customHeight="1" spans="1:20">
      <c r="A23" s="101" t="s">
        <v>1456</v>
      </c>
      <c r="B23" s="101" t="s">
        <v>3003</v>
      </c>
      <c r="C23" s="101" t="s">
        <v>3004</v>
      </c>
      <c r="D23" s="101" t="s">
        <v>1146</v>
      </c>
      <c r="E23" s="101" t="s">
        <v>1147</v>
      </c>
      <c r="F23" s="101" t="s">
        <v>1169</v>
      </c>
      <c r="G23" s="101">
        <v>20847</v>
      </c>
      <c r="H23" s="101">
        <v>15492</v>
      </c>
      <c r="I23" s="101">
        <v>177</v>
      </c>
      <c r="J23" s="101">
        <v>0</v>
      </c>
      <c r="K23" s="101">
        <v>15315</v>
      </c>
      <c r="L23" s="101">
        <v>0</v>
      </c>
      <c r="M23" s="101">
        <v>0</v>
      </c>
      <c r="N23" s="101" t="s">
        <v>3026</v>
      </c>
      <c r="O23" s="101">
        <v>5355</v>
      </c>
      <c r="P23" s="101">
        <v>4260</v>
      </c>
      <c r="Q23" s="101">
        <v>587</v>
      </c>
      <c r="R23" s="101">
        <v>505</v>
      </c>
      <c r="S23" s="101">
        <v>3</v>
      </c>
      <c r="T23" s="101">
        <v>12</v>
      </c>
    </row>
    <row r="24" s="99" customFormat="1" ht="20" customHeight="1" spans="1:20">
      <c r="A24" s="101" t="s">
        <v>1472</v>
      </c>
      <c r="B24" s="101" t="s">
        <v>3003</v>
      </c>
      <c r="C24" s="101" t="s">
        <v>3004</v>
      </c>
      <c r="D24" s="101" t="s">
        <v>1146</v>
      </c>
      <c r="E24" s="101" t="s">
        <v>1147</v>
      </c>
      <c r="F24" s="101" t="s">
        <v>1170</v>
      </c>
      <c r="G24" s="101">
        <v>6217</v>
      </c>
      <c r="H24" s="101">
        <v>4913</v>
      </c>
      <c r="I24" s="101">
        <v>272</v>
      </c>
      <c r="J24" s="101">
        <v>0</v>
      </c>
      <c r="K24" s="101">
        <v>4641</v>
      </c>
      <c r="L24" s="101">
        <v>0</v>
      </c>
      <c r="M24" s="101">
        <v>0</v>
      </c>
      <c r="N24" s="101" t="s">
        <v>3027</v>
      </c>
      <c r="O24" s="101">
        <v>1304</v>
      </c>
      <c r="P24" s="101">
        <v>908</v>
      </c>
      <c r="Q24" s="101">
        <v>340</v>
      </c>
      <c r="R24" s="101">
        <v>26</v>
      </c>
      <c r="S24" s="101">
        <v>30</v>
      </c>
      <c r="T24" s="101">
        <v>88</v>
      </c>
    </row>
    <row r="25" s="99" customFormat="1" ht="20" customHeight="1" spans="1:20">
      <c r="A25" s="101" t="s">
        <v>1326</v>
      </c>
      <c r="B25" s="101" t="s">
        <v>3003</v>
      </c>
      <c r="C25" s="101" t="s">
        <v>3004</v>
      </c>
      <c r="D25" s="101" t="s">
        <v>1146</v>
      </c>
      <c r="E25" s="101" t="s">
        <v>1147</v>
      </c>
      <c r="F25" s="101" t="s">
        <v>1171</v>
      </c>
      <c r="G25" s="101">
        <v>15460</v>
      </c>
      <c r="H25" s="101">
        <v>10612</v>
      </c>
      <c r="I25" s="101">
        <v>69</v>
      </c>
      <c r="J25" s="101">
        <v>0</v>
      </c>
      <c r="K25" s="101">
        <v>10543</v>
      </c>
      <c r="L25" s="101">
        <v>0</v>
      </c>
      <c r="M25" s="101">
        <v>0</v>
      </c>
      <c r="N25" s="101" t="s">
        <v>3028</v>
      </c>
      <c r="O25" s="101">
        <v>4848</v>
      </c>
      <c r="P25" s="101">
        <v>4596</v>
      </c>
      <c r="Q25" s="101">
        <v>179</v>
      </c>
      <c r="R25" s="101">
        <v>0</v>
      </c>
      <c r="S25" s="101">
        <v>73</v>
      </c>
      <c r="T25" s="101">
        <v>2519</v>
      </c>
    </row>
    <row r="26" s="99" customFormat="1" ht="20" customHeight="1" spans="1:20">
      <c r="A26" s="101" t="s">
        <v>1172</v>
      </c>
      <c r="B26" s="101" t="s">
        <v>3003</v>
      </c>
      <c r="C26" s="101" t="s">
        <v>3004</v>
      </c>
      <c r="D26" s="101" t="s">
        <v>1146</v>
      </c>
      <c r="E26" s="101" t="s">
        <v>1147</v>
      </c>
      <c r="F26" s="101" t="s">
        <v>1173</v>
      </c>
      <c r="G26" s="101">
        <v>6297</v>
      </c>
      <c r="H26" s="101">
        <v>4923</v>
      </c>
      <c r="I26" s="101">
        <v>55</v>
      </c>
      <c r="J26" s="101">
        <v>0</v>
      </c>
      <c r="K26" s="101">
        <v>4868</v>
      </c>
      <c r="L26" s="101">
        <v>0</v>
      </c>
      <c r="M26" s="101">
        <v>0</v>
      </c>
      <c r="N26" s="101" t="s">
        <v>3029</v>
      </c>
      <c r="O26" s="101">
        <v>1374</v>
      </c>
      <c r="P26" s="101">
        <v>1289</v>
      </c>
      <c r="Q26" s="101">
        <v>79</v>
      </c>
      <c r="R26" s="101">
        <v>0</v>
      </c>
      <c r="S26" s="101">
        <v>6</v>
      </c>
      <c r="T26" s="101">
        <v>348</v>
      </c>
    </row>
    <row r="27" s="99" customFormat="1" ht="20" customHeight="1" spans="1:20">
      <c r="A27" s="101" t="s">
        <v>1187</v>
      </c>
      <c r="B27" s="101" t="s">
        <v>3003</v>
      </c>
      <c r="C27" s="101" t="s">
        <v>3004</v>
      </c>
      <c r="D27" s="101" t="s">
        <v>1146</v>
      </c>
      <c r="E27" s="101" t="s">
        <v>1147</v>
      </c>
      <c r="F27" s="101" t="s">
        <v>1191</v>
      </c>
      <c r="G27" s="101">
        <v>17208</v>
      </c>
      <c r="H27" s="101">
        <v>13433</v>
      </c>
      <c r="I27" s="101">
        <v>155</v>
      </c>
      <c r="J27" s="101">
        <v>0</v>
      </c>
      <c r="K27" s="101">
        <v>13278</v>
      </c>
      <c r="L27" s="101">
        <v>0</v>
      </c>
      <c r="M27" s="101">
        <v>0</v>
      </c>
      <c r="N27" s="101" t="s">
        <v>3030</v>
      </c>
      <c r="O27" s="101">
        <v>3775</v>
      </c>
      <c r="P27" s="101">
        <v>3510</v>
      </c>
      <c r="Q27" s="101">
        <v>212</v>
      </c>
      <c r="R27" s="101">
        <v>4</v>
      </c>
      <c r="S27" s="101">
        <v>49</v>
      </c>
      <c r="T27" s="101">
        <v>1983</v>
      </c>
    </row>
    <row r="28" s="99" customFormat="1" ht="20" customHeight="1" spans="1:20">
      <c r="A28" s="101" t="s">
        <v>1212</v>
      </c>
      <c r="B28" s="101" t="s">
        <v>3003</v>
      </c>
      <c r="C28" s="101" t="s">
        <v>3004</v>
      </c>
      <c r="D28" s="101" t="s">
        <v>1146</v>
      </c>
      <c r="E28" s="101" t="s">
        <v>1147</v>
      </c>
      <c r="F28" s="101" t="s">
        <v>1213</v>
      </c>
      <c r="G28" s="101">
        <v>18444</v>
      </c>
      <c r="H28" s="101">
        <v>14370</v>
      </c>
      <c r="I28" s="101">
        <v>117</v>
      </c>
      <c r="J28" s="101">
        <v>0</v>
      </c>
      <c r="K28" s="101">
        <v>14253</v>
      </c>
      <c r="L28" s="101">
        <v>0</v>
      </c>
      <c r="M28" s="101">
        <v>0</v>
      </c>
      <c r="N28" s="101" t="s">
        <v>3031</v>
      </c>
      <c r="O28" s="101">
        <v>4074</v>
      </c>
      <c r="P28" s="101">
        <v>3814</v>
      </c>
      <c r="Q28" s="101">
        <v>224</v>
      </c>
      <c r="R28" s="101">
        <v>0</v>
      </c>
      <c r="S28" s="101">
        <v>36</v>
      </c>
      <c r="T28" s="101">
        <v>1839</v>
      </c>
    </row>
    <row r="29" s="99" customFormat="1" ht="20" customHeight="1" spans="1:20">
      <c r="A29" s="101" t="s">
        <v>1180</v>
      </c>
      <c r="B29" s="101" t="s">
        <v>3003</v>
      </c>
      <c r="C29" s="101" t="s">
        <v>3004</v>
      </c>
      <c r="D29" s="101" t="s">
        <v>1146</v>
      </c>
      <c r="E29" s="101" t="s">
        <v>1147</v>
      </c>
      <c r="F29" s="101" t="s">
        <v>1233</v>
      </c>
      <c r="G29" s="101">
        <v>8501</v>
      </c>
      <c r="H29" s="101">
        <v>4626</v>
      </c>
      <c r="I29" s="101">
        <v>238</v>
      </c>
      <c r="J29" s="101">
        <v>0</v>
      </c>
      <c r="K29" s="101">
        <v>4388</v>
      </c>
      <c r="L29" s="101">
        <v>0</v>
      </c>
      <c r="M29" s="101">
        <v>0</v>
      </c>
      <c r="N29" s="101" t="s">
        <v>3032</v>
      </c>
      <c r="O29" s="101">
        <v>3875</v>
      </c>
      <c r="P29" s="101">
        <v>3795</v>
      </c>
      <c r="Q29" s="101">
        <v>66</v>
      </c>
      <c r="R29" s="101">
        <v>11</v>
      </c>
      <c r="S29" s="101">
        <v>3</v>
      </c>
      <c r="T29" s="101">
        <v>235</v>
      </c>
    </row>
    <row r="30" s="99" customFormat="1" ht="20" customHeight="1" spans="1:20">
      <c r="A30" s="101" t="s">
        <v>1232</v>
      </c>
      <c r="B30" s="101" t="s">
        <v>3003</v>
      </c>
      <c r="C30" s="101" t="s">
        <v>3004</v>
      </c>
      <c r="D30" s="101" t="s">
        <v>1146</v>
      </c>
      <c r="E30" s="101" t="s">
        <v>1147</v>
      </c>
      <c r="F30" s="101" t="s">
        <v>1250</v>
      </c>
      <c r="G30" s="101">
        <v>15930</v>
      </c>
      <c r="H30" s="101">
        <v>8586</v>
      </c>
      <c r="I30" s="101">
        <v>305</v>
      </c>
      <c r="J30" s="101">
        <v>0</v>
      </c>
      <c r="K30" s="101">
        <v>8281</v>
      </c>
      <c r="L30" s="101">
        <v>0</v>
      </c>
      <c r="M30" s="101">
        <v>0</v>
      </c>
      <c r="N30" s="101" t="s">
        <v>3033</v>
      </c>
      <c r="O30" s="101">
        <v>7344</v>
      </c>
      <c r="P30" s="101">
        <v>4092</v>
      </c>
      <c r="Q30" s="101">
        <v>218</v>
      </c>
      <c r="R30" s="101">
        <v>2992</v>
      </c>
      <c r="S30" s="101">
        <v>42</v>
      </c>
      <c r="T30" s="101">
        <v>2800</v>
      </c>
    </row>
    <row r="31" s="99" customFormat="1" ht="20" customHeight="1" spans="1:20">
      <c r="A31" s="101" t="s">
        <v>1179</v>
      </c>
      <c r="B31" s="101" t="s">
        <v>3003</v>
      </c>
      <c r="C31" s="101" t="s">
        <v>3004</v>
      </c>
      <c r="D31" s="101" t="s">
        <v>1146</v>
      </c>
      <c r="E31" s="101" t="s">
        <v>1147</v>
      </c>
      <c r="F31" s="101" t="s">
        <v>1267</v>
      </c>
      <c r="G31" s="101">
        <v>14458</v>
      </c>
      <c r="H31" s="101">
        <v>11020</v>
      </c>
      <c r="I31" s="101">
        <v>164</v>
      </c>
      <c r="J31" s="101">
        <v>0</v>
      </c>
      <c r="K31" s="101">
        <v>10856</v>
      </c>
      <c r="L31" s="101">
        <v>0</v>
      </c>
      <c r="M31" s="101">
        <v>0</v>
      </c>
      <c r="N31" s="101" t="s">
        <v>3034</v>
      </c>
      <c r="O31" s="101">
        <v>3438</v>
      </c>
      <c r="P31" s="101">
        <v>1580</v>
      </c>
      <c r="Q31" s="101">
        <v>424</v>
      </c>
      <c r="R31" s="101">
        <v>1430</v>
      </c>
      <c r="S31" s="101">
        <v>4</v>
      </c>
      <c r="T31" s="101">
        <v>244</v>
      </c>
    </row>
    <row r="32" s="99" customFormat="1" ht="20" customHeight="1" spans="1:20">
      <c r="A32" s="101" t="s">
        <v>1188</v>
      </c>
      <c r="B32" s="101" t="s">
        <v>3003</v>
      </c>
      <c r="C32" s="101" t="s">
        <v>3004</v>
      </c>
      <c r="D32" s="101" t="s">
        <v>1146</v>
      </c>
      <c r="E32" s="101" t="s">
        <v>1147</v>
      </c>
      <c r="F32" s="101" t="s">
        <v>1286</v>
      </c>
      <c r="G32" s="101">
        <v>964</v>
      </c>
      <c r="H32" s="101">
        <v>221</v>
      </c>
      <c r="I32" s="101">
        <v>221</v>
      </c>
      <c r="J32" s="101">
        <v>0</v>
      </c>
      <c r="K32" s="101">
        <v>0</v>
      </c>
      <c r="L32" s="101">
        <v>0</v>
      </c>
      <c r="M32" s="101">
        <v>0</v>
      </c>
      <c r="N32" s="101" t="s">
        <v>3035</v>
      </c>
      <c r="O32" s="101">
        <v>743</v>
      </c>
      <c r="P32" s="101">
        <v>743</v>
      </c>
      <c r="Q32" s="101">
        <v>0</v>
      </c>
      <c r="R32" s="101">
        <v>0</v>
      </c>
      <c r="S32" s="101">
        <v>0</v>
      </c>
      <c r="T32" s="101">
        <v>0</v>
      </c>
    </row>
    <row r="33" s="99" customFormat="1" ht="20" customHeight="1" spans="1:20">
      <c r="A33" s="101" t="s">
        <v>1201</v>
      </c>
      <c r="B33" s="101" t="s">
        <v>3003</v>
      </c>
      <c r="C33" s="101" t="s">
        <v>3004</v>
      </c>
      <c r="D33" s="101" t="s">
        <v>1146</v>
      </c>
      <c r="E33" s="101" t="s">
        <v>1147</v>
      </c>
      <c r="F33" s="101" t="s">
        <v>1291</v>
      </c>
      <c r="G33" s="101">
        <v>3309</v>
      </c>
      <c r="H33" s="101">
        <v>244</v>
      </c>
      <c r="I33" s="101">
        <v>244</v>
      </c>
      <c r="J33" s="101">
        <v>0</v>
      </c>
      <c r="K33" s="101">
        <v>0</v>
      </c>
      <c r="L33" s="101">
        <v>0</v>
      </c>
      <c r="M33" s="101">
        <v>0</v>
      </c>
      <c r="N33" s="101" t="s">
        <v>3036</v>
      </c>
      <c r="O33" s="101">
        <v>3065</v>
      </c>
      <c r="P33" s="101">
        <v>3015</v>
      </c>
      <c r="Q33" s="101">
        <v>0</v>
      </c>
      <c r="R33" s="101">
        <v>0</v>
      </c>
      <c r="S33" s="101">
        <v>50</v>
      </c>
      <c r="T33" s="101">
        <v>3209</v>
      </c>
    </row>
    <row r="34" s="99" customFormat="1" ht="20" customHeight="1" spans="1:20">
      <c r="A34" s="101" t="s">
        <v>1243</v>
      </c>
      <c r="B34" s="101" t="s">
        <v>3003</v>
      </c>
      <c r="C34" s="101" t="s">
        <v>3004</v>
      </c>
      <c r="D34" s="101" t="s">
        <v>1146</v>
      </c>
      <c r="E34" s="101" t="s">
        <v>1147</v>
      </c>
      <c r="F34" s="101" t="s">
        <v>1301</v>
      </c>
      <c r="G34" s="101">
        <v>12041</v>
      </c>
      <c r="H34" s="101">
        <v>9785</v>
      </c>
      <c r="I34" s="101">
        <v>46</v>
      </c>
      <c r="J34" s="101">
        <v>0</v>
      </c>
      <c r="K34" s="101">
        <v>9739</v>
      </c>
      <c r="L34" s="101">
        <v>0</v>
      </c>
      <c r="M34" s="101">
        <v>0</v>
      </c>
      <c r="N34" s="101" t="s">
        <v>3037</v>
      </c>
      <c r="O34" s="101">
        <v>2256</v>
      </c>
      <c r="P34" s="101">
        <v>2024</v>
      </c>
      <c r="Q34" s="101">
        <v>212</v>
      </c>
      <c r="R34" s="101">
        <v>0</v>
      </c>
      <c r="S34" s="101">
        <v>20</v>
      </c>
      <c r="T34" s="101">
        <v>756</v>
      </c>
    </row>
    <row r="35" s="99" customFormat="1" ht="20" customHeight="1" spans="1:20">
      <c r="A35" s="101" t="s">
        <v>1218</v>
      </c>
      <c r="B35" s="101" t="s">
        <v>3003</v>
      </c>
      <c r="C35" s="101" t="s">
        <v>3004</v>
      </c>
      <c r="D35" s="101" t="s">
        <v>1146</v>
      </c>
      <c r="E35" s="101" t="s">
        <v>1147</v>
      </c>
      <c r="F35" s="101" t="s">
        <v>1317</v>
      </c>
      <c r="G35" s="101">
        <v>2407</v>
      </c>
      <c r="H35" s="101">
        <v>1193</v>
      </c>
      <c r="I35" s="101">
        <v>61</v>
      </c>
      <c r="J35" s="101">
        <v>0</v>
      </c>
      <c r="K35" s="101">
        <v>1132</v>
      </c>
      <c r="L35" s="101">
        <v>0</v>
      </c>
      <c r="M35" s="101">
        <v>0</v>
      </c>
      <c r="N35" s="101" t="s">
        <v>3038</v>
      </c>
      <c r="O35" s="101">
        <v>1214</v>
      </c>
      <c r="P35" s="101">
        <v>1179</v>
      </c>
      <c r="Q35" s="101">
        <v>26</v>
      </c>
      <c r="R35" s="101">
        <v>0</v>
      </c>
      <c r="S35" s="101">
        <v>9</v>
      </c>
      <c r="T35" s="101">
        <v>326</v>
      </c>
    </row>
    <row r="36" s="99" customFormat="1" ht="20" customHeight="1" spans="1:20">
      <c r="A36" s="101" t="s">
        <v>1238</v>
      </c>
      <c r="B36" s="101" t="s">
        <v>3003</v>
      </c>
      <c r="C36" s="101" t="s">
        <v>3004</v>
      </c>
      <c r="D36" s="101" t="s">
        <v>1146</v>
      </c>
      <c r="E36" s="101" t="s">
        <v>1147</v>
      </c>
      <c r="F36" s="101" t="s">
        <v>1331</v>
      </c>
      <c r="G36" s="101">
        <v>11143</v>
      </c>
      <c r="H36" s="101">
        <v>9398</v>
      </c>
      <c r="I36" s="101">
        <v>68</v>
      </c>
      <c r="J36" s="101">
        <v>0</v>
      </c>
      <c r="K36" s="101">
        <v>9330</v>
      </c>
      <c r="L36" s="101">
        <v>0</v>
      </c>
      <c r="M36" s="101">
        <v>0</v>
      </c>
      <c r="N36" s="101" t="s">
        <v>3039</v>
      </c>
      <c r="O36" s="101">
        <v>1745</v>
      </c>
      <c r="P36" s="101">
        <v>1392</v>
      </c>
      <c r="Q36" s="101">
        <v>324</v>
      </c>
      <c r="R36" s="101">
        <v>1</v>
      </c>
      <c r="S36" s="101">
        <v>28</v>
      </c>
      <c r="T36" s="101">
        <v>1505</v>
      </c>
    </row>
    <row r="37" s="99" customFormat="1" ht="20" customHeight="1" spans="1:20">
      <c r="A37" s="101" t="s">
        <v>1196</v>
      </c>
      <c r="B37" s="101" t="s">
        <v>3003</v>
      </c>
      <c r="C37" s="101" t="s">
        <v>3004</v>
      </c>
      <c r="D37" s="101" t="s">
        <v>1146</v>
      </c>
      <c r="E37" s="101" t="s">
        <v>1147</v>
      </c>
      <c r="F37" s="101" t="s">
        <v>1347</v>
      </c>
      <c r="G37" s="101">
        <v>3920</v>
      </c>
      <c r="H37" s="101">
        <v>65</v>
      </c>
      <c r="I37" s="101">
        <v>65</v>
      </c>
      <c r="J37" s="101">
        <v>0</v>
      </c>
      <c r="K37" s="101">
        <v>0</v>
      </c>
      <c r="L37" s="101">
        <v>0</v>
      </c>
      <c r="M37" s="101">
        <v>0</v>
      </c>
      <c r="N37" s="101" t="s">
        <v>3040</v>
      </c>
      <c r="O37" s="101">
        <v>3855</v>
      </c>
      <c r="P37" s="101">
        <v>3839</v>
      </c>
      <c r="Q37" s="101">
        <v>0</v>
      </c>
      <c r="R37" s="101">
        <v>0</v>
      </c>
      <c r="S37" s="101">
        <v>16</v>
      </c>
      <c r="T37" s="101">
        <v>16</v>
      </c>
    </row>
    <row r="38" s="99" customFormat="1" ht="20" customHeight="1" spans="1:20">
      <c r="A38" s="101" t="s">
        <v>1356</v>
      </c>
      <c r="B38" s="101" t="s">
        <v>3003</v>
      </c>
      <c r="C38" s="101" t="s">
        <v>3004</v>
      </c>
      <c r="D38" s="101" t="s">
        <v>1146</v>
      </c>
      <c r="E38" s="101" t="s">
        <v>1147</v>
      </c>
      <c r="F38" s="101" t="s">
        <v>1357</v>
      </c>
      <c r="G38" s="101">
        <v>7880</v>
      </c>
      <c r="H38" s="101">
        <v>21</v>
      </c>
      <c r="I38" s="101">
        <v>21</v>
      </c>
      <c r="J38" s="101">
        <v>0</v>
      </c>
      <c r="K38" s="101">
        <v>0</v>
      </c>
      <c r="L38" s="101">
        <v>0</v>
      </c>
      <c r="M38" s="101">
        <v>0</v>
      </c>
      <c r="N38" s="101" t="s">
        <v>3041</v>
      </c>
      <c r="O38" s="101">
        <v>7859</v>
      </c>
      <c r="P38" s="101">
        <v>6002</v>
      </c>
      <c r="Q38" s="101">
        <v>38</v>
      </c>
      <c r="R38" s="101">
        <v>1807</v>
      </c>
      <c r="S38" s="101">
        <v>12</v>
      </c>
      <c r="T38" s="101">
        <v>89</v>
      </c>
    </row>
    <row r="39" s="99" customFormat="1" ht="20" customHeight="1" spans="1:20">
      <c r="A39" s="101" t="s">
        <v>1354</v>
      </c>
      <c r="B39" s="101" t="s">
        <v>3003</v>
      </c>
      <c r="C39" s="101" t="s">
        <v>3004</v>
      </c>
      <c r="D39" s="101" t="s">
        <v>1146</v>
      </c>
      <c r="E39" s="101" t="s">
        <v>1147</v>
      </c>
      <c r="F39" s="101" t="s">
        <v>1371</v>
      </c>
      <c r="G39" s="101">
        <v>7479</v>
      </c>
      <c r="H39" s="101">
        <v>5781</v>
      </c>
      <c r="I39" s="101">
        <v>36</v>
      </c>
      <c r="J39" s="101">
        <v>0</v>
      </c>
      <c r="K39" s="101">
        <v>5745</v>
      </c>
      <c r="L39" s="101">
        <v>0</v>
      </c>
      <c r="M39" s="101">
        <v>0</v>
      </c>
      <c r="N39" s="101" t="s">
        <v>3042</v>
      </c>
      <c r="O39" s="101">
        <v>1698</v>
      </c>
      <c r="P39" s="101">
        <v>1475</v>
      </c>
      <c r="Q39" s="101">
        <v>223</v>
      </c>
      <c r="R39" s="101">
        <v>0</v>
      </c>
      <c r="S39" s="101">
        <v>0</v>
      </c>
      <c r="T39" s="101">
        <v>0</v>
      </c>
    </row>
    <row r="40" s="99" customFormat="1" ht="20" customHeight="1" spans="1:20">
      <c r="A40" s="101" t="s">
        <v>1211</v>
      </c>
      <c r="B40" s="101" t="s">
        <v>3003</v>
      </c>
      <c r="C40" s="101" t="s">
        <v>3004</v>
      </c>
      <c r="D40" s="101" t="s">
        <v>1146</v>
      </c>
      <c r="E40" s="101" t="s">
        <v>1147</v>
      </c>
      <c r="F40" s="101" t="s">
        <v>1380</v>
      </c>
      <c r="G40" s="101">
        <v>10873</v>
      </c>
      <c r="H40" s="101">
        <v>9249</v>
      </c>
      <c r="I40" s="101">
        <v>163</v>
      </c>
      <c r="J40" s="101">
        <v>0</v>
      </c>
      <c r="K40" s="101">
        <v>9086</v>
      </c>
      <c r="L40" s="101">
        <v>0</v>
      </c>
      <c r="M40" s="101">
        <v>0</v>
      </c>
      <c r="N40" s="101" t="s">
        <v>3043</v>
      </c>
      <c r="O40" s="101">
        <v>1624</v>
      </c>
      <c r="P40" s="101">
        <v>1247</v>
      </c>
      <c r="Q40" s="101">
        <v>360</v>
      </c>
      <c r="R40" s="101">
        <v>1</v>
      </c>
      <c r="S40" s="101">
        <v>16</v>
      </c>
      <c r="T40" s="101">
        <v>723</v>
      </c>
    </row>
    <row r="41" s="99" customFormat="1" ht="20" customHeight="1" spans="1:20">
      <c r="A41" s="101" t="s">
        <v>1223</v>
      </c>
      <c r="B41" s="101" t="s">
        <v>3003</v>
      </c>
      <c r="C41" s="101" t="s">
        <v>3004</v>
      </c>
      <c r="D41" s="101" t="s">
        <v>1146</v>
      </c>
      <c r="E41" s="101" t="s">
        <v>1147</v>
      </c>
      <c r="F41" s="101" t="s">
        <v>1390</v>
      </c>
      <c r="G41" s="101">
        <v>15082</v>
      </c>
      <c r="H41" s="101">
        <v>10842</v>
      </c>
      <c r="I41" s="101">
        <v>107</v>
      </c>
      <c r="J41" s="101">
        <v>0</v>
      </c>
      <c r="K41" s="101">
        <v>10735</v>
      </c>
      <c r="L41" s="101">
        <v>0</v>
      </c>
      <c r="M41" s="101">
        <v>0</v>
      </c>
      <c r="N41" s="101" t="s">
        <v>3044</v>
      </c>
      <c r="O41" s="101">
        <v>4240</v>
      </c>
      <c r="P41" s="101">
        <v>3948</v>
      </c>
      <c r="Q41" s="101">
        <v>209</v>
      </c>
      <c r="R41" s="101">
        <v>3</v>
      </c>
      <c r="S41" s="101">
        <v>80</v>
      </c>
      <c r="T41" s="101">
        <v>3260</v>
      </c>
    </row>
    <row r="42" s="99" customFormat="1" ht="20" customHeight="1" spans="1:20">
      <c r="A42" s="101" t="s">
        <v>1203</v>
      </c>
      <c r="B42" s="101" t="s">
        <v>3003</v>
      </c>
      <c r="C42" s="101" t="s">
        <v>3004</v>
      </c>
      <c r="D42" s="101" t="s">
        <v>1146</v>
      </c>
      <c r="E42" s="101" t="s">
        <v>1147</v>
      </c>
      <c r="F42" s="101" t="s">
        <v>1404</v>
      </c>
      <c r="G42" s="101">
        <v>10502</v>
      </c>
      <c r="H42" s="101">
        <v>7308</v>
      </c>
      <c r="I42" s="101">
        <v>53</v>
      </c>
      <c r="J42" s="101">
        <v>0</v>
      </c>
      <c r="K42" s="101">
        <v>7255</v>
      </c>
      <c r="L42" s="101">
        <v>0</v>
      </c>
      <c r="M42" s="101">
        <v>0</v>
      </c>
      <c r="N42" s="101" t="s">
        <v>3045</v>
      </c>
      <c r="O42" s="101">
        <v>3194</v>
      </c>
      <c r="P42" s="101">
        <v>2925</v>
      </c>
      <c r="Q42" s="101">
        <v>267</v>
      </c>
      <c r="R42" s="101">
        <v>0</v>
      </c>
      <c r="S42" s="101">
        <v>2</v>
      </c>
      <c r="T42" s="101">
        <v>35</v>
      </c>
    </row>
    <row r="43" s="99" customFormat="1" ht="20" customHeight="1" spans="1:20">
      <c r="A43" s="101" t="s">
        <v>1306</v>
      </c>
      <c r="B43" s="101" t="s">
        <v>3003</v>
      </c>
      <c r="C43" s="101" t="s">
        <v>3004</v>
      </c>
      <c r="D43" s="101" t="s">
        <v>1146</v>
      </c>
      <c r="E43" s="101" t="s">
        <v>1147</v>
      </c>
      <c r="F43" s="101" t="s">
        <v>1416</v>
      </c>
      <c r="G43" s="101">
        <v>605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 t="s">
        <v>3046</v>
      </c>
      <c r="O43" s="101">
        <v>605</v>
      </c>
      <c r="P43" s="101">
        <v>605</v>
      </c>
      <c r="Q43" s="101">
        <v>0</v>
      </c>
      <c r="R43" s="101">
        <v>0</v>
      </c>
      <c r="S43" s="101">
        <v>0</v>
      </c>
      <c r="T43" s="101">
        <v>0</v>
      </c>
    </row>
    <row r="44" s="99" customFormat="1" ht="20" customHeight="1" spans="1:20">
      <c r="A44" s="101" t="s">
        <v>1421</v>
      </c>
      <c r="B44" s="101" t="s">
        <v>3003</v>
      </c>
      <c r="C44" s="101" t="s">
        <v>3004</v>
      </c>
      <c r="D44" s="101" t="s">
        <v>1146</v>
      </c>
      <c r="E44" s="101" t="s">
        <v>1147</v>
      </c>
      <c r="F44" s="101" t="s">
        <v>1422</v>
      </c>
      <c r="G44" s="101">
        <v>4872</v>
      </c>
      <c r="H44" s="101">
        <v>730</v>
      </c>
      <c r="I44" s="101">
        <v>88</v>
      </c>
      <c r="J44" s="101">
        <v>0</v>
      </c>
      <c r="K44" s="101">
        <v>642</v>
      </c>
      <c r="L44" s="101">
        <v>0</v>
      </c>
      <c r="M44" s="101">
        <v>0</v>
      </c>
      <c r="N44" s="101" t="s">
        <v>3047</v>
      </c>
      <c r="O44" s="101">
        <v>4142</v>
      </c>
      <c r="P44" s="101">
        <v>4099</v>
      </c>
      <c r="Q44" s="101">
        <v>28</v>
      </c>
      <c r="R44" s="101">
        <v>15</v>
      </c>
      <c r="S44" s="101">
        <v>0</v>
      </c>
      <c r="T44" s="101">
        <v>0</v>
      </c>
    </row>
    <row r="45" s="99" customFormat="1" ht="20" customHeight="1" spans="1:20">
      <c r="A45" s="101" t="s">
        <v>1296</v>
      </c>
      <c r="B45" s="101" t="s">
        <v>3003</v>
      </c>
      <c r="C45" s="101" t="s">
        <v>3004</v>
      </c>
      <c r="D45" s="101" t="s">
        <v>1146</v>
      </c>
      <c r="E45" s="101" t="s">
        <v>1147</v>
      </c>
      <c r="F45" s="101" t="s">
        <v>1431</v>
      </c>
      <c r="G45" s="101">
        <v>18753</v>
      </c>
      <c r="H45" s="101">
        <v>12913</v>
      </c>
      <c r="I45" s="101">
        <v>77</v>
      </c>
      <c r="J45" s="101">
        <v>0</v>
      </c>
      <c r="K45" s="101">
        <v>12836</v>
      </c>
      <c r="L45" s="101">
        <v>0</v>
      </c>
      <c r="M45" s="101">
        <v>0</v>
      </c>
      <c r="N45" s="101" t="s">
        <v>3048</v>
      </c>
      <c r="O45" s="101">
        <v>5840</v>
      </c>
      <c r="P45" s="101">
        <v>5359</v>
      </c>
      <c r="Q45" s="101">
        <v>432</v>
      </c>
      <c r="R45" s="101">
        <v>49</v>
      </c>
      <c r="S45" s="101">
        <v>0</v>
      </c>
      <c r="T45" s="101">
        <v>0</v>
      </c>
    </row>
    <row r="46" s="99" customFormat="1" ht="20" customHeight="1" spans="1:20">
      <c r="A46" s="101" t="s">
        <v>1442</v>
      </c>
      <c r="B46" s="101" t="s">
        <v>3003</v>
      </c>
      <c r="C46" s="101" t="s">
        <v>3004</v>
      </c>
      <c r="D46" s="101" t="s">
        <v>1146</v>
      </c>
      <c r="E46" s="101" t="s">
        <v>1147</v>
      </c>
      <c r="F46" s="101" t="s">
        <v>1443</v>
      </c>
      <c r="G46" s="101">
        <v>21512</v>
      </c>
      <c r="H46" s="101">
        <v>13576</v>
      </c>
      <c r="I46" s="101">
        <v>111</v>
      </c>
      <c r="J46" s="101">
        <v>0</v>
      </c>
      <c r="K46" s="101">
        <v>13465</v>
      </c>
      <c r="L46" s="101">
        <v>0</v>
      </c>
      <c r="M46" s="101">
        <v>0</v>
      </c>
      <c r="N46" s="101" t="s">
        <v>3049</v>
      </c>
      <c r="O46" s="101">
        <v>7936</v>
      </c>
      <c r="P46" s="101">
        <v>5160</v>
      </c>
      <c r="Q46" s="101">
        <v>603</v>
      </c>
      <c r="R46" s="101">
        <v>2173</v>
      </c>
      <c r="S46" s="101">
        <v>0</v>
      </c>
      <c r="T46" s="101">
        <v>0</v>
      </c>
    </row>
    <row r="47" s="99" customFormat="1" ht="20" customHeight="1" spans="1:20">
      <c r="A47" s="101" t="s">
        <v>1456</v>
      </c>
      <c r="B47" s="101" t="s">
        <v>3003</v>
      </c>
      <c r="C47" s="101" t="s">
        <v>3004</v>
      </c>
      <c r="D47" s="101" t="s">
        <v>1146</v>
      </c>
      <c r="E47" s="101" t="s">
        <v>1147</v>
      </c>
      <c r="F47" s="101" t="s">
        <v>1457</v>
      </c>
      <c r="G47" s="101">
        <v>20520</v>
      </c>
      <c r="H47" s="101">
        <v>15137</v>
      </c>
      <c r="I47" s="101">
        <v>235</v>
      </c>
      <c r="J47" s="101">
        <v>0</v>
      </c>
      <c r="K47" s="101">
        <v>14902</v>
      </c>
      <c r="L47" s="101">
        <v>0</v>
      </c>
      <c r="M47" s="101">
        <v>0</v>
      </c>
      <c r="N47" s="101" t="s">
        <v>3050</v>
      </c>
      <c r="O47" s="101">
        <v>5383</v>
      </c>
      <c r="P47" s="101">
        <v>4842</v>
      </c>
      <c r="Q47" s="101">
        <v>496</v>
      </c>
      <c r="R47" s="101">
        <v>40</v>
      </c>
      <c r="S47" s="101">
        <v>5</v>
      </c>
      <c r="T47" s="101">
        <v>68</v>
      </c>
    </row>
    <row r="48" s="99" customFormat="1" ht="20" customHeight="1" spans="1:20">
      <c r="A48" s="101" t="s">
        <v>1472</v>
      </c>
      <c r="B48" s="101" t="s">
        <v>3003</v>
      </c>
      <c r="C48" s="101" t="s">
        <v>3004</v>
      </c>
      <c r="D48" s="101" t="s">
        <v>1146</v>
      </c>
      <c r="E48" s="101" t="s">
        <v>1147</v>
      </c>
      <c r="F48" s="101" t="s">
        <v>1473</v>
      </c>
      <c r="G48" s="101">
        <v>8570</v>
      </c>
      <c r="H48" s="101">
        <v>5730</v>
      </c>
      <c r="I48" s="101">
        <v>195</v>
      </c>
      <c r="J48" s="101">
        <v>0</v>
      </c>
      <c r="K48" s="101">
        <v>5535</v>
      </c>
      <c r="L48" s="101">
        <v>0</v>
      </c>
      <c r="M48" s="101">
        <v>0</v>
      </c>
      <c r="N48" s="101" t="s">
        <v>3051</v>
      </c>
      <c r="O48" s="101">
        <v>2840</v>
      </c>
      <c r="P48" s="101">
        <v>2400</v>
      </c>
      <c r="Q48" s="101">
        <v>417</v>
      </c>
      <c r="R48" s="101">
        <v>23</v>
      </c>
      <c r="S48" s="101">
        <v>0</v>
      </c>
      <c r="T48" s="101">
        <v>0</v>
      </c>
    </row>
    <row r="49" s="99" customFormat="1" ht="20" customHeight="1" spans="1:20">
      <c r="A49" s="101" t="s">
        <v>1326</v>
      </c>
      <c r="B49" s="101" t="s">
        <v>3003</v>
      </c>
      <c r="C49" s="101" t="s">
        <v>3004</v>
      </c>
      <c r="D49" s="101" t="s">
        <v>1146</v>
      </c>
      <c r="E49" s="101" t="s">
        <v>1147</v>
      </c>
      <c r="F49" s="101" t="s">
        <v>1483</v>
      </c>
      <c r="G49" s="101">
        <v>10989</v>
      </c>
      <c r="H49" s="101">
        <v>7445</v>
      </c>
      <c r="I49" s="101">
        <v>90</v>
      </c>
      <c r="J49" s="101">
        <v>0</v>
      </c>
      <c r="K49" s="101">
        <v>7355</v>
      </c>
      <c r="L49" s="101">
        <v>0</v>
      </c>
      <c r="M49" s="101">
        <v>0</v>
      </c>
      <c r="N49" s="101" t="s">
        <v>3052</v>
      </c>
      <c r="O49" s="101">
        <v>3544</v>
      </c>
      <c r="P49" s="101">
        <v>3372</v>
      </c>
      <c r="Q49" s="101">
        <v>135</v>
      </c>
      <c r="R49" s="101">
        <v>0</v>
      </c>
      <c r="S49" s="101">
        <v>37</v>
      </c>
      <c r="T49" s="101">
        <v>818</v>
      </c>
    </row>
    <row r="50" s="99" customFormat="1" ht="20" customHeight="1" spans="1:20">
      <c r="A50" s="101" t="s">
        <v>1476</v>
      </c>
      <c r="B50" s="101" t="s">
        <v>3003</v>
      </c>
      <c r="C50" s="101" t="s">
        <v>3004</v>
      </c>
      <c r="D50" s="101" t="s">
        <v>1146</v>
      </c>
      <c r="E50" s="101" t="s">
        <v>1147</v>
      </c>
      <c r="F50" s="101" t="s">
        <v>1499</v>
      </c>
      <c r="G50" s="101">
        <v>6415</v>
      </c>
      <c r="H50" s="101">
        <v>5239</v>
      </c>
      <c r="I50" s="101">
        <v>106</v>
      </c>
      <c r="J50" s="101">
        <v>0</v>
      </c>
      <c r="K50" s="101">
        <v>5133</v>
      </c>
      <c r="L50" s="101">
        <v>0</v>
      </c>
      <c r="M50" s="101">
        <v>0</v>
      </c>
      <c r="N50" s="101" t="s">
        <v>3053</v>
      </c>
      <c r="O50" s="101">
        <v>1176</v>
      </c>
      <c r="P50" s="101">
        <v>1096</v>
      </c>
      <c r="Q50" s="101">
        <v>80</v>
      </c>
      <c r="R50" s="101">
        <v>0</v>
      </c>
      <c r="S50" s="101">
        <v>0</v>
      </c>
      <c r="T50" s="101">
        <v>0</v>
      </c>
    </row>
    <row r="51" s="99" customFormat="1" ht="20" customHeight="1" spans="1:20">
      <c r="A51" s="101" t="s">
        <v>1323</v>
      </c>
      <c r="B51" s="101" t="s">
        <v>3003</v>
      </c>
      <c r="C51" s="101" t="s">
        <v>3004</v>
      </c>
      <c r="D51" s="101" t="s">
        <v>1146</v>
      </c>
      <c r="E51" s="101" t="s">
        <v>1147</v>
      </c>
      <c r="F51" s="101" t="s">
        <v>1510</v>
      </c>
      <c r="G51" s="101">
        <v>18086</v>
      </c>
      <c r="H51" s="101">
        <v>13688</v>
      </c>
      <c r="I51" s="101">
        <v>226</v>
      </c>
      <c r="J51" s="101">
        <v>0</v>
      </c>
      <c r="K51" s="101">
        <v>13462</v>
      </c>
      <c r="L51" s="101">
        <v>0</v>
      </c>
      <c r="M51" s="101">
        <v>0</v>
      </c>
      <c r="N51" s="101" t="s">
        <v>3054</v>
      </c>
      <c r="O51" s="101">
        <v>4398</v>
      </c>
      <c r="P51" s="101">
        <v>4137</v>
      </c>
      <c r="Q51" s="101">
        <v>214</v>
      </c>
      <c r="R51" s="101">
        <v>0</v>
      </c>
      <c r="S51" s="101">
        <v>47</v>
      </c>
      <c r="T51" s="101">
        <v>2244</v>
      </c>
    </row>
    <row r="52" s="99" customFormat="1" ht="20" customHeight="1" spans="1:20">
      <c r="A52" s="101" t="s">
        <v>1345</v>
      </c>
      <c r="B52" s="101" t="s">
        <v>3003</v>
      </c>
      <c r="C52" s="101" t="s">
        <v>3004</v>
      </c>
      <c r="D52" s="101" t="s">
        <v>1146</v>
      </c>
      <c r="E52" s="101" t="s">
        <v>1147</v>
      </c>
      <c r="F52" s="101" t="s">
        <v>1523</v>
      </c>
      <c r="G52" s="101">
        <v>16264</v>
      </c>
      <c r="H52" s="101">
        <v>13096</v>
      </c>
      <c r="I52" s="101">
        <v>72</v>
      </c>
      <c r="J52" s="101">
        <v>0</v>
      </c>
      <c r="K52" s="101">
        <v>13024</v>
      </c>
      <c r="L52" s="101">
        <v>0</v>
      </c>
      <c r="M52" s="101">
        <v>0</v>
      </c>
      <c r="N52" s="101" t="s">
        <v>3055</v>
      </c>
      <c r="O52" s="101">
        <v>3168</v>
      </c>
      <c r="P52" s="101">
        <v>2859</v>
      </c>
      <c r="Q52" s="101">
        <v>202</v>
      </c>
      <c r="R52" s="101">
        <v>0</v>
      </c>
      <c r="S52" s="101">
        <v>107</v>
      </c>
      <c r="T52" s="101">
        <v>4384</v>
      </c>
    </row>
    <row r="53" s="99" customFormat="1" ht="20" customHeight="1" spans="1:20">
      <c r="A53" s="101" t="s">
        <v>1429</v>
      </c>
      <c r="B53" s="101" t="s">
        <v>3003</v>
      </c>
      <c r="C53" s="101" t="s">
        <v>3004</v>
      </c>
      <c r="D53" s="101" t="s">
        <v>1146</v>
      </c>
      <c r="E53" s="101" t="s">
        <v>1147</v>
      </c>
      <c r="F53" s="101" t="s">
        <v>1539</v>
      </c>
      <c r="G53" s="101">
        <v>12298</v>
      </c>
      <c r="H53" s="101">
        <v>7621</v>
      </c>
      <c r="I53" s="101">
        <v>278</v>
      </c>
      <c r="J53" s="101">
        <v>0</v>
      </c>
      <c r="K53" s="101">
        <v>7343</v>
      </c>
      <c r="L53" s="101">
        <v>0</v>
      </c>
      <c r="M53" s="101">
        <v>0</v>
      </c>
      <c r="N53" s="101" t="s">
        <v>3056</v>
      </c>
      <c r="O53" s="101">
        <v>4677</v>
      </c>
      <c r="P53" s="101">
        <v>4217</v>
      </c>
      <c r="Q53" s="101">
        <v>145</v>
      </c>
      <c r="R53" s="101">
        <v>290</v>
      </c>
      <c r="S53" s="101">
        <v>25</v>
      </c>
      <c r="T53" s="101">
        <v>355</v>
      </c>
    </row>
    <row r="54" s="99" customFormat="1" ht="20" customHeight="1" spans="1:20">
      <c r="A54" s="101" t="s">
        <v>1556</v>
      </c>
      <c r="B54" s="101" t="s">
        <v>3003</v>
      </c>
      <c r="C54" s="101" t="s">
        <v>3004</v>
      </c>
      <c r="D54" s="101" t="s">
        <v>1146</v>
      </c>
      <c r="E54" s="101" t="s">
        <v>1147</v>
      </c>
      <c r="F54" s="101" t="s">
        <v>1557</v>
      </c>
      <c r="G54" s="101">
        <v>16019</v>
      </c>
      <c r="H54" s="101">
        <v>8873</v>
      </c>
      <c r="I54" s="101">
        <v>164</v>
      </c>
      <c r="J54" s="101">
        <v>0</v>
      </c>
      <c r="K54" s="101">
        <v>8709</v>
      </c>
      <c r="L54" s="101">
        <v>0</v>
      </c>
      <c r="M54" s="101">
        <v>0</v>
      </c>
      <c r="N54" s="101" t="s">
        <v>3057</v>
      </c>
      <c r="O54" s="101">
        <v>7146</v>
      </c>
      <c r="P54" s="101">
        <v>4645</v>
      </c>
      <c r="Q54" s="101">
        <v>245</v>
      </c>
      <c r="R54" s="101">
        <v>2215</v>
      </c>
      <c r="S54" s="101">
        <v>41</v>
      </c>
      <c r="T54" s="101">
        <v>2250</v>
      </c>
    </row>
    <row r="55" s="99" customFormat="1" ht="20" customHeight="1" spans="1:20">
      <c r="A55" s="101" t="s">
        <v>1455</v>
      </c>
      <c r="B55" s="101" t="s">
        <v>3003</v>
      </c>
      <c r="C55" s="101" t="s">
        <v>3004</v>
      </c>
      <c r="D55" s="101" t="s">
        <v>1146</v>
      </c>
      <c r="E55" s="101" t="s">
        <v>1147</v>
      </c>
      <c r="F55" s="101" t="s">
        <v>1572</v>
      </c>
      <c r="G55" s="101">
        <v>12119</v>
      </c>
      <c r="H55" s="101">
        <v>8759</v>
      </c>
      <c r="I55" s="101">
        <v>265</v>
      </c>
      <c r="J55" s="101">
        <v>0</v>
      </c>
      <c r="K55" s="101">
        <v>8494</v>
      </c>
      <c r="L55" s="101">
        <v>0</v>
      </c>
      <c r="M55" s="101">
        <v>0</v>
      </c>
      <c r="N55" s="101" t="s">
        <v>3058</v>
      </c>
      <c r="O55" s="101">
        <v>3360</v>
      </c>
      <c r="P55" s="101">
        <v>2195</v>
      </c>
      <c r="Q55" s="101">
        <v>351</v>
      </c>
      <c r="R55" s="101">
        <v>814</v>
      </c>
      <c r="S55" s="101">
        <v>0</v>
      </c>
      <c r="T55" s="101">
        <v>0</v>
      </c>
    </row>
    <row r="56" s="99" customFormat="1" ht="20" customHeight="1" spans="1:20">
      <c r="A56" s="101" t="s">
        <v>1412</v>
      </c>
      <c r="B56" s="101" t="s">
        <v>3003</v>
      </c>
      <c r="C56" s="101" t="s">
        <v>3004</v>
      </c>
      <c r="D56" s="101" t="s">
        <v>1146</v>
      </c>
      <c r="E56" s="101" t="s">
        <v>1147</v>
      </c>
      <c r="F56" s="101" t="s">
        <v>1588</v>
      </c>
      <c r="G56" s="101">
        <v>879</v>
      </c>
      <c r="H56" s="101">
        <v>312</v>
      </c>
      <c r="I56" s="101">
        <v>312</v>
      </c>
      <c r="J56" s="101">
        <v>0</v>
      </c>
      <c r="K56" s="101">
        <v>0</v>
      </c>
      <c r="L56" s="101">
        <v>0</v>
      </c>
      <c r="M56" s="101">
        <v>0</v>
      </c>
      <c r="N56" s="101" t="s">
        <v>3059</v>
      </c>
      <c r="O56" s="101">
        <v>567</v>
      </c>
      <c r="P56" s="101">
        <v>567</v>
      </c>
      <c r="Q56" s="101">
        <v>0</v>
      </c>
      <c r="R56" s="101">
        <v>0</v>
      </c>
      <c r="S56" s="101">
        <v>0</v>
      </c>
      <c r="T56" s="101">
        <v>0</v>
      </c>
    </row>
    <row r="57" s="99" customFormat="1" ht="20" customHeight="1" spans="1:20">
      <c r="A57" s="101" t="s">
        <v>1591</v>
      </c>
      <c r="B57" s="101" t="s">
        <v>3003</v>
      </c>
      <c r="C57" s="101" t="s">
        <v>3004</v>
      </c>
      <c r="D57" s="101" t="s">
        <v>1146</v>
      </c>
      <c r="E57" s="101" t="s">
        <v>1147</v>
      </c>
      <c r="F57" s="101" t="s">
        <v>1592</v>
      </c>
      <c r="G57" s="101">
        <v>2574</v>
      </c>
      <c r="H57" s="101">
        <v>112</v>
      </c>
      <c r="I57" s="101">
        <v>112</v>
      </c>
      <c r="J57" s="101">
        <v>0</v>
      </c>
      <c r="K57" s="101">
        <v>0</v>
      </c>
      <c r="L57" s="101">
        <v>0</v>
      </c>
      <c r="M57" s="101">
        <v>0</v>
      </c>
      <c r="N57" s="101" t="s">
        <v>3060</v>
      </c>
      <c r="O57" s="101">
        <v>2462</v>
      </c>
      <c r="P57" s="101">
        <v>2425</v>
      </c>
      <c r="Q57" s="101">
        <v>0</v>
      </c>
      <c r="R57" s="101">
        <v>0</v>
      </c>
      <c r="S57" s="101">
        <v>37</v>
      </c>
      <c r="T57" s="101">
        <v>2157</v>
      </c>
    </row>
    <row r="58" s="99" customFormat="1" ht="20" customHeight="1" spans="1:20">
      <c r="A58" s="101" t="s">
        <v>1601</v>
      </c>
      <c r="B58" s="101" t="s">
        <v>3003</v>
      </c>
      <c r="C58" s="101" t="s">
        <v>3004</v>
      </c>
      <c r="D58" s="101" t="s">
        <v>1146</v>
      </c>
      <c r="E58" s="101" t="s">
        <v>1147</v>
      </c>
      <c r="F58" s="101" t="s">
        <v>1602</v>
      </c>
      <c r="G58" s="101">
        <v>9287</v>
      </c>
      <c r="H58" s="101">
        <v>6872</v>
      </c>
      <c r="I58" s="101">
        <v>79</v>
      </c>
      <c r="J58" s="101">
        <v>0</v>
      </c>
      <c r="K58" s="101">
        <v>6793</v>
      </c>
      <c r="L58" s="101">
        <v>0</v>
      </c>
      <c r="M58" s="101">
        <v>0</v>
      </c>
      <c r="N58" s="101" t="s">
        <v>3061</v>
      </c>
      <c r="O58" s="101">
        <v>2415</v>
      </c>
      <c r="P58" s="101">
        <v>2223</v>
      </c>
      <c r="Q58" s="101">
        <v>154</v>
      </c>
      <c r="R58" s="101">
        <v>0</v>
      </c>
      <c r="S58" s="101">
        <v>38</v>
      </c>
      <c r="T58" s="101">
        <v>2407</v>
      </c>
    </row>
    <row r="59" s="99" customFormat="1" ht="20" customHeight="1" spans="1:20">
      <c r="A59" s="101" t="s">
        <v>1612</v>
      </c>
      <c r="B59" s="101" t="s">
        <v>3003</v>
      </c>
      <c r="C59" s="101" t="s">
        <v>3004</v>
      </c>
      <c r="D59" s="101" t="s">
        <v>1146</v>
      </c>
      <c r="E59" s="101" t="s">
        <v>1147</v>
      </c>
      <c r="F59" s="101" t="s">
        <v>1613</v>
      </c>
      <c r="G59" s="101">
        <v>3798</v>
      </c>
      <c r="H59" s="101">
        <v>3029</v>
      </c>
      <c r="I59" s="101">
        <v>36</v>
      </c>
      <c r="J59" s="101">
        <v>0</v>
      </c>
      <c r="K59" s="101">
        <v>2993</v>
      </c>
      <c r="L59" s="101">
        <v>0</v>
      </c>
      <c r="M59" s="101">
        <v>0</v>
      </c>
      <c r="N59" s="101" t="s">
        <v>3062</v>
      </c>
      <c r="O59" s="101">
        <v>769</v>
      </c>
      <c r="P59" s="101">
        <v>696</v>
      </c>
      <c r="Q59" s="101">
        <v>69</v>
      </c>
      <c r="R59" s="101">
        <v>0</v>
      </c>
      <c r="S59" s="101">
        <v>4</v>
      </c>
      <c r="T59" s="101">
        <v>183</v>
      </c>
    </row>
    <row r="60" s="99" customFormat="1" ht="20" customHeight="1" spans="1:20">
      <c r="A60" s="101" t="s">
        <v>1328</v>
      </c>
      <c r="B60" s="101" t="s">
        <v>3003</v>
      </c>
      <c r="C60" s="101" t="s">
        <v>3004</v>
      </c>
      <c r="D60" s="101" t="s">
        <v>1146</v>
      </c>
      <c r="E60" s="101" t="s">
        <v>1147</v>
      </c>
      <c r="F60" s="101" t="s">
        <v>1623</v>
      </c>
      <c r="G60" s="101">
        <v>9602</v>
      </c>
      <c r="H60" s="101">
        <v>7780</v>
      </c>
      <c r="I60" s="101">
        <v>21</v>
      </c>
      <c r="J60" s="101">
        <v>0</v>
      </c>
      <c r="K60" s="101">
        <v>7759</v>
      </c>
      <c r="L60" s="101">
        <v>0</v>
      </c>
      <c r="M60" s="101">
        <v>0</v>
      </c>
      <c r="N60" s="101" t="s">
        <v>3063</v>
      </c>
      <c r="O60" s="101">
        <v>1822</v>
      </c>
      <c r="P60" s="101">
        <v>1589</v>
      </c>
      <c r="Q60" s="101">
        <v>202</v>
      </c>
      <c r="R60" s="101">
        <v>0</v>
      </c>
      <c r="S60" s="101">
        <v>31</v>
      </c>
      <c r="T60" s="101">
        <v>1044</v>
      </c>
    </row>
    <row r="61" s="99" customFormat="1" ht="20" customHeight="1" spans="1:20">
      <c r="A61" s="101" t="s">
        <v>1230</v>
      </c>
      <c r="B61" s="101" t="s">
        <v>3003</v>
      </c>
      <c r="C61" s="101" t="s">
        <v>3004</v>
      </c>
      <c r="D61" s="101" t="s">
        <v>1146</v>
      </c>
      <c r="E61" s="101" t="s">
        <v>1147</v>
      </c>
      <c r="F61" s="101" t="s">
        <v>1637</v>
      </c>
      <c r="G61" s="101">
        <v>6184</v>
      </c>
      <c r="H61" s="101">
        <v>4041</v>
      </c>
      <c r="I61" s="101">
        <v>80</v>
      </c>
      <c r="J61" s="101">
        <v>0</v>
      </c>
      <c r="K61" s="101">
        <v>3961</v>
      </c>
      <c r="L61" s="101">
        <v>0</v>
      </c>
      <c r="M61" s="101">
        <v>0</v>
      </c>
      <c r="N61" s="101" t="s">
        <v>3064</v>
      </c>
      <c r="O61" s="101">
        <v>2143</v>
      </c>
      <c r="P61" s="101">
        <v>1943</v>
      </c>
      <c r="Q61" s="101">
        <v>177</v>
      </c>
      <c r="R61" s="101">
        <v>1</v>
      </c>
      <c r="S61" s="101">
        <v>22</v>
      </c>
      <c r="T61" s="101">
        <v>36</v>
      </c>
    </row>
    <row r="62" s="99" customFormat="1" ht="20" customHeight="1" spans="1:20">
      <c r="A62" s="101" t="s">
        <v>1314</v>
      </c>
      <c r="B62" s="101" t="s">
        <v>3003</v>
      </c>
      <c r="C62" s="101" t="s">
        <v>3004</v>
      </c>
      <c r="D62" s="101" t="s">
        <v>1146</v>
      </c>
      <c r="E62" s="101" t="s">
        <v>1147</v>
      </c>
      <c r="F62" s="101" t="s">
        <v>1648</v>
      </c>
      <c r="G62" s="101">
        <v>8975</v>
      </c>
      <c r="H62" s="101">
        <v>48</v>
      </c>
      <c r="I62" s="101">
        <v>48</v>
      </c>
      <c r="J62" s="101">
        <v>0</v>
      </c>
      <c r="K62" s="101">
        <v>0</v>
      </c>
      <c r="L62" s="101">
        <v>0</v>
      </c>
      <c r="M62" s="101">
        <v>0</v>
      </c>
      <c r="N62" s="101" t="s">
        <v>3065</v>
      </c>
      <c r="O62" s="101">
        <v>8927</v>
      </c>
      <c r="P62" s="101">
        <v>7517</v>
      </c>
      <c r="Q62" s="101">
        <v>39</v>
      </c>
      <c r="R62" s="101">
        <v>1366</v>
      </c>
      <c r="S62" s="101">
        <v>5</v>
      </c>
      <c r="T62" s="101">
        <v>20</v>
      </c>
    </row>
    <row r="63" s="99" customFormat="1" ht="20" customHeight="1" spans="1:20">
      <c r="A63" s="101" t="s">
        <v>1367</v>
      </c>
      <c r="B63" s="101" t="s">
        <v>3003</v>
      </c>
      <c r="C63" s="101" t="s">
        <v>3004</v>
      </c>
      <c r="D63" s="101" t="s">
        <v>1146</v>
      </c>
      <c r="E63" s="101" t="s">
        <v>1147</v>
      </c>
      <c r="F63" s="101" t="s">
        <v>1656</v>
      </c>
      <c r="G63" s="101">
        <v>9416</v>
      </c>
      <c r="H63" s="101">
        <v>4912</v>
      </c>
      <c r="I63" s="101">
        <v>42</v>
      </c>
      <c r="J63" s="101">
        <v>0</v>
      </c>
      <c r="K63" s="101">
        <v>4870</v>
      </c>
      <c r="L63" s="101">
        <v>0</v>
      </c>
      <c r="M63" s="101">
        <v>0</v>
      </c>
      <c r="N63" s="101" t="s">
        <v>3066</v>
      </c>
      <c r="O63" s="101">
        <v>4504</v>
      </c>
      <c r="P63" s="101">
        <v>4242</v>
      </c>
      <c r="Q63" s="101">
        <v>259</v>
      </c>
      <c r="R63" s="101">
        <v>1</v>
      </c>
      <c r="S63" s="101">
        <v>2</v>
      </c>
      <c r="T63" s="101">
        <v>14</v>
      </c>
    </row>
    <row r="64" s="99" customFormat="1" ht="20" customHeight="1" spans="1:20">
      <c r="A64" s="101" t="s">
        <v>1364</v>
      </c>
      <c r="B64" s="101" t="s">
        <v>3003</v>
      </c>
      <c r="C64" s="101" t="s">
        <v>3004</v>
      </c>
      <c r="D64" s="101" t="s">
        <v>1146</v>
      </c>
      <c r="E64" s="101" t="s">
        <v>1147</v>
      </c>
      <c r="F64" s="101" t="s">
        <v>1665</v>
      </c>
      <c r="G64" s="101">
        <v>9969</v>
      </c>
      <c r="H64" s="101">
        <v>8598</v>
      </c>
      <c r="I64" s="101">
        <v>204</v>
      </c>
      <c r="J64" s="101">
        <v>0</v>
      </c>
      <c r="K64" s="101">
        <v>8394</v>
      </c>
      <c r="L64" s="101">
        <v>0</v>
      </c>
      <c r="M64" s="101">
        <v>0</v>
      </c>
      <c r="N64" s="101" t="s">
        <v>3067</v>
      </c>
      <c r="O64" s="101">
        <v>1371</v>
      </c>
      <c r="P64" s="101">
        <v>932</v>
      </c>
      <c r="Q64" s="101">
        <v>424</v>
      </c>
      <c r="R64" s="101">
        <v>0</v>
      </c>
      <c r="S64" s="101">
        <v>15</v>
      </c>
      <c r="T64" s="101">
        <v>583</v>
      </c>
    </row>
    <row r="65" s="99" customFormat="1" ht="20" customHeight="1" spans="1:20">
      <c r="A65" s="101" t="s">
        <v>1264</v>
      </c>
      <c r="B65" s="101" t="s">
        <v>3003</v>
      </c>
      <c r="C65" s="101" t="s">
        <v>3004</v>
      </c>
      <c r="D65" s="101" t="s">
        <v>1146</v>
      </c>
      <c r="E65" s="101" t="s">
        <v>1147</v>
      </c>
      <c r="F65" s="101" t="s">
        <v>1674</v>
      </c>
      <c r="G65" s="101">
        <v>14435</v>
      </c>
      <c r="H65" s="101">
        <v>10763</v>
      </c>
      <c r="I65" s="101">
        <v>146</v>
      </c>
      <c r="J65" s="101">
        <v>0</v>
      </c>
      <c r="K65" s="101">
        <v>10617</v>
      </c>
      <c r="L65" s="101">
        <v>0</v>
      </c>
      <c r="M65" s="101">
        <v>0</v>
      </c>
      <c r="N65" s="101" t="s">
        <v>3068</v>
      </c>
      <c r="O65" s="101">
        <v>3672</v>
      </c>
      <c r="P65" s="101">
        <v>3382</v>
      </c>
      <c r="Q65" s="101">
        <v>213</v>
      </c>
      <c r="R65" s="101">
        <v>5</v>
      </c>
      <c r="S65" s="101">
        <v>72</v>
      </c>
      <c r="T65" s="101">
        <v>3302</v>
      </c>
    </row>
    <row r="66" s="99" customFormat="1" ht="20" customHeight="1" spans="1:20">
      <c r="A66" s="101" t="s">
        <v>1685</v>
      </c>
      <c r="B66" s="101" t="s">
        <v>3003</v>
      </c>
      <c r="C66" s="101" t="s">
        <v>3004</v>
      </c>
      <c r="D66" s="101" t="s">
        <v>1146</v>
      </c>
      <c r="E66" s="101" t="s">
        <v>1147</v>
      </c>
      <c r="F66" s="101" t="s">
        <v>1686</v>
      </c>
      <c r="G66" s="101">
        <v>11663</v>
      </c>
      <c r="H66" s="101">
        <v>9366</v>
      </c>
      <c r="I66" s="101">
        <v>82</v>
      </c>
      <c r="J66" s="101">
        <v>0</v>
      </c>
      <c r="K66" s="101">
        <v>9284</v>
      </c>
      <c r="L66" s="101">
        <v>0</v>
      </c>
      <c r="M66" s="101">
        <v>0</v>
      </c>
      <c r="N66" s="101" t="s">
        <v>3069</v>
      </c>
      <c r="O66" s="101">
        <v>2297</v>
      </c>
      <c r="P66" s="101">
        <v>1981</v>
      </c>
      <c r="Q66" s="101">
        <v>312</v>
      </c>
      <c r="R66" s="101">
        <v>0</v>
      </c>
      <c r="S66" s="101">
        <v>4</v>
      </c>
      <c r="T66" s="101">
        <v>99</v>
      </c>
    </row>
    <row r="67" s="99" customFormat="1" ht="20" customHeight="1" spans="1:20">
      <c r="A67" s="101" t="s">
        <v>1350</v>
      </c>
      <c r="B67" s="101" t="s">
        <v>3003</v>
      </c>
      <c r="C67" s="101" t="s">
        <v>3004</v>
      </c>
      <c r="D67" s="101" t="s">
        <v>1146</v>
      </c>
      <c r="E67" s="101" t="s">
        <v>1147</v>
      </c>
      <c r="F67" s="101" t="s">
        <v>1698</v>
      </c>
      <c r="G67" s="101">
        <v>2276</v>
      </c>
      <c r="H67" s="101">
        <v>64</v>
      </c>
      <c r="I67" s="101">
        <v>64</v>
      </c>
      <c r="J67" s="101">
        <v>0</v>
      </c>
      <c r="K67" s="101">
        <v>0</v>
      </c>
      <c r="L67" s="101">
        <v>0</v>
      </c>
      <c r="M67" s="101">
        <v>0</v>
      </c>
      <c r="N67" s="101" t="s">
        <v>3070</v>
      </c>
      <c r="O67" s="101">
        <v>2212</v>
      </c>
      <c r="P67" s="101">
        <v>2212</v>
      </c>
      <c r="Q67" s="101">
        <v>0</v>
      </c>
      <c r="R67" s="101">
        <v>0</v>
      </c>
      <c r="S67" s="101">
        <v>0</v>
      </c>
      <c r="T67" s="101">
        <v>0</v>
      </c>
    </row>
    <row r="68" s="99" customFormat="1" ht="20" customHeight="1" spans="1:20">
      <c r="A68" s="101" t="s">
        <v>1702</v>
      </c>
      <c r="B68" s="101" t="s">
        <v>3003</v>
      </c>
      <c r="C68" s="101" t="s">
        <v>3004</v>
      </c>
      <c r="D68" s="101" t="s">
        <v>1146</v>
      </c>
      <c r="E68" s="101" t="s">
        <v>1147</v>
      </c>
      <c r="F68" s="101" t="s">
        <v>1703</v>
      </c>
      <c r="G68" s="101">
        <v>7770</v>
      </c>
      <c r="H68" s="101">
        <v>3271</v>
      </c>
      <c r="I68" s="101">
        <v>63</v>
      </c>
      <c r="J68" s="101">
        <v>0</v>
      </c>
      <c r="K68" s="101">
        <v>3208</v>
      </c>
      <c r="L68" s="101">
        <v>0</v>
      </c>
      <c r="M68" s="101">
        <v>0</v>
      </c>
      <c r="N68" s="101" t="s">
        <v>3071</v>
      </c>
      <c r="O68" s="101">
        <v>4499</v>
      </c>
      <c r="P68" s="101">
        <v>4334</v>
      </c>
      <c r="Q68" s="101">
        <v>165</v>
      </c>
      <c r="R68" s="101">
        <v>0</v>
      </c>
      <c r="S68" s="101">
        <v>0</v>
      </c>
      <c r="T68" s="101">
        <v>0</v>
      </c>
    </row>
    <row r="69" s="99" customFormat="1" ht="20" customHeight="1" spans="1:20">
      <c r="A69" s="101" t="s">
        <v>1249</v>
      </c>
      <c r="B69" s="101" t="s">
        <v>3003</v>
      </c>
      <c r="C69" s="101" t="s">
        <v>3004</v>
      </c>
      <c r="D69" s="101" t="s">
        <v>1146</v>
      </c>
      <c r="E69" s="101" t="s">
        <v>1147</v>
      </c>
      <c r="F69" s="101" t="s">
        <v>1714</v>
      </c>
      <c r="G69" s="101">
        <v>20305</v>
      </c>
      <c r="H69" s="101">
        <v>13631</v>
      </c>
      <c r="I69" s="101">
        <v>65</v>
      </c>
      <c r="J69" s="101">
        <v>0</v>
      </c>
      <c r="K69" s="101">
        <v>13566</v>
      </c>
      <c r="L69" s="101">
        <v>0</v>
      </c>
      <c r="M69" s="101">
        <v>0</v>
      </c>
      <c r="N69" s="101" t="s">
        <v>3072</v>
      </c>
      <c r="O69" s="101">
        <v>6674</v>
      </c>
      <c r="P69" s="101">
        <v>6072</v>
      </c>
      <c r="Q69" s="101">
        <v>545</v>
      </c>
      <c r="R69" s="101">
        <v>57</v>
      </c>
      <c r="S69" s="101">
        <v>0</v>
      </c>
      <c r="T69" s="101">
        <v>0</v>
      </c>
    </row>
    <row r="70" s="99" customFormat="1" ht="20" customHeight="1" spans="1:20">
      <c r="A70" s="101" t="s">
        <v>1598</v>
      </c>
      <c r="B70" s="101" t="s">
        <v>3003</v>
      </c>
      <c r="C70" s="101" t="s">
        <v>3004</v>
      </c>
      <c r="D70" s="101" t="s">
        <v>1146</v>
      </c>
      <c r="E70" s="101" t="s">
        <v>1147</v>
      </c>
      <c r="F70" s="101" t="s">
        <v>1725</v>
      </c>
      <c r="G70" s="101">
        <v>19524</v>
      </c>
      <c r="H70" s="101">
        <v>13159</v>
      </c>
      <c r="I70" s="101">
        <v>83</v>
      </c>
      <c r="J70" s="101">
        <v>0</v>
      </c>
      <c r="K70" s="101">
        <v>13076</v>
      </c>
      <c r="L70" s="101">
        <v>0</v>
      </c>
      <c r="M70" s="101">
        <v>0</v>
      </c>
      <c r="N70" s="101" t="s">
        <v>3073</v>
      </c>
      <c r="O70" s="101">
        <v>6365</v>
      </c>
      <c r="P70" s="101">
        <v>4202</v>
      </c>
      <c r="Q70" s="101">
        <v>591</v>
      </c>
      <c r="R70" s="101">
        <v>1568</v>
      </c>
      <c r="S70" s="101">
        <v>4</v>
      </c>
      <c r="T70" s="101">
        <v>4</v>
      </c>
    </row>
    <row r="71" s="99" customFormat="1" ht="20" customHeight="1" spans="1:20">
      <c r="A71" s="101" t="s">
        <v>1418</v>
      </c>
      <c r="B71" s="101" t="s">
        <v>3003</v>
      </c>
      <c r="C71" s="101" t="s">
        <v>3004</v>
      </c>
      <c r="D71" s="101" t="s">
        <v>1146</v>
      </c>
      <c r="E71" s="101" t="s">
        <v>1147</v>
      </c>
      <c r="F71" s="101" t="s">
        <v>1739</v>
      </c>
      <c r="G71" s="101">
        <v>16674</v>
      </c>
      <c r="H71" s="101">
        <v>12709</v>
      </c>
      <c r="I71" s="101">
        <v>194</v>
      </c>
      <c r="J71" s="101">
        <v>0</v>
      </c>
      <c r="K71" s="101">
        <v>12515</v>
      </c>
      <c r="L71" s="101">
        <v>0</v>
      </c>
      <c r="M71" s="101">
        <v>0</v>
      </c>
      <c r="N71" s="101" t="s">
        <v>3034</v>
      </c>
      <c r="O71" s="101">
        <v>3965</v>
      </c>
      <c r="P71" s="101">
        <v>3038</v>
      </c>
      <c r="Q71" s="101">
        <v>482</v>
      </c>
      <c r="R71" s="101">
        <v>441</v>
      </c>
      <c r="S71" s="101">
        <v>4</v>
      </c>
      <c r="T71" s="101">
        <v>12</v>
      </c>
    </row>
    <row r="72" s="99" customFormat="1" ht="20" customHeight="1" spans="1:20">
      <c r="A72" s="101" t="s">
        <v>1521</v>
      </c>
      <c r="B72" s="101" t="s">
        <v>3003</v>
      </c>
      <c r="C72" s="101" t="s">
        <v>3004</v>
      </c>
      <c r="D72" s="101" t="s">
        <v>1146</v>
      </c>
      <c r="E72" s="101" t="s">
        <v>1147</v>
      </c>
      <c r="F72" s="101" t="s">
        <v>1752</v>
      </c>
      <c r="G72" s="101">
        <v>13008</v>
      </c>
      <c r="H72" s="101">
        <v>10723</v>
      </c>
      <c r="I72" s="101">
        <v>257</v>
      </c>
      <c r="J72" s="101">
        <v>0</v>
      </c>
      <c r="K72" s="101">
        <v>10466</v>
      </c>
      <c r="L72" s="101">
        <v>0</v>
      </c>
      <c r="M72" s="101">
        <v>0</v>
      </c>
      <c r="N72" s="101" t="s">
        <v>3074</v>
      </c>
      <c r="O72" s="101">
        <v>2285</v>
      </c>
      <c r="P72" s="101">
        <v>1797</v>
      </c>
      <c r="Q72" s="101">
        <v>486</v>
      </c>
      <c r="R72" s="101">
        <v>2</v>
      </c>
      <c r="S72" s="101">
        <v>0</v>
      </c>
      <c r="T72" s="101">
        <v>0</v>
      </c>
    </row>
    <row r="73" s="99" customFormat="1" ht="20" customHeight="1" spans="1:20">
      <c r="A73" s="101" t="s">
        <v>1549</v>
      </c>
      <c r="B73" s="101" t="s">
        <v>3003</v>
      </c>
      <c r="C73" s="101" t="s">
        <v>3004</v>
      </c>
      <c r="D73" s="101" t="s">
        <v>1146</v>
      </c>
      <c r="E73" s="101" t="s">
        <v>1147</v>
      </c>
      <c r="F73" s="101" t="s">
        <v>1764</v>
      </c>
      <c r="G73" s="101">
        <v>5655</v>
      </c>
      <c r="H73" s="101">
        <v>4311</v>
      </c>
      <c r="I73" s="101">
        <v>153</v>
      </c>
      <c r="J73" s="101">
        <v>0</v>
      </c>
      <c r="K73" s="101">
        <v>4158</v>
      </c>
      <c r="L73" s="101">
        <v>0</v>
      </c>
      <c r="M73" s="101">
        <v>0</v>
      </c>
      <c r="N73" s="101" t="s">
        <v>3075</v>
      </c>
      <c r="O73" s="101">
        <v>1344</v>
      </c>
      <c r="P73" s="101">
        <v>1267</v>
      </c>
      <c r="Q73" s="101">
        <v>72</v>
      </c>
      <c r="R73" s="101">
        <v>1</v>
      </c>
      <c r="S73" s="101">
        <v>4</v>
      </c>
      <c r="T73" s="101">
        <v>29</v>
      </c>
    </row>
    <row r="74" s="99" customFormat="1" ht="20" customHeight="1" spans="1:20">
      <c r="A74" s="101" t="s">
        <v>1209</v>
      </c>
      <c r="B74" s="101" t="s">
        <v>3003</v>
      </c>
      <c r="C74" s="101" t="s">
        <v>3004</v>
      </c>
      <c r="D74" s="101" t="s">
        <v>1146</v>
      </c>
      <c r="E74" s="101" t="s">
        <v>1147</v>
      </c>
      <c r="F74" s="101" t="s">
        <v>1773</v>
      </c>
      <c r="G74" s="101">
        <v>8600</v>
      </c>
      <c r="H74" s="101">
        <v>6412</v>
      </c>
      <c r="I74" s="101">
        <v>60</v>
      </c>
      <c r="J74" s="101">
        <v>0</v>
      </c>
      <c r="K74" s="101">
        <v>6352</v>
      </c>
      <c r="L74" s="101">
        <v>0</v>
      </c>
      <c r="M74" s="101">
        <v>0</v>
      </c>
      <c r="N74" s="101" t="s">
        <v>3068</v>
      </c>
      <c r="O74" s="101">
        <v>2188</v>
      </c>
      <c r="P74" s="101">
        <v>2060</v>
      </c>
      <c r="Q74" s="101">
        <v>100</v>
      </c>
      <c r="R74" s="101">
        <v>0</v>
      </c>
      <c r="S74" s="101">
        <v>28</v>
      </c>
      <c r="T74" s="101">
        <v>551</v>
      </c>
    </row>
    <row r="75" s="99" customFormat="1" ht="20" customHeight="1" spans="1:20">
      <c r="A75" s="101" t="s">
        <v>1299</v>
      </c>
      <c r="B75" s="101" t="s">
        <v>3003</v>
      </c>
      <c r="C75" s="101" t="s">
        <v>3004</v>
      </c>
      <c r="D75" s="101" t="s">
        <v>1146</v>
      </c>
      <c r="E75" s="101" t="s">
        <v>1147</v>
      </c>
      <c r="F75" s="101" t="s">
        <v>1784</v>
      </c>
      <c r="G75" s="101">
        <v>16852</v>
      </c>
      <c r="H75" s="101">
        <v>12376</v>
      </c>
      <c r="I75" s="101">
        <v>245</v>
      </c>
      <c r="J75" s="101">
        <v>0</v>
      </c>
      <c r="K75" s="101">
        <v>12131</v>
      </c>
      <c r="L75" s="101">
        <v>0</v>
      </c>
      <c r="M75" s="101">
        <v>0</v>
      </c>
      <c r="N75" s="101" t="s">
        <v>3076</v>
      </c>
      <c r="O75" s="101">
        <v>4476</v>
      </c>
      <c r="P75" s="101">
        <v>4242</v>
      </c>
      <c r="Q75" s="101">
        <v>202</v>
      </c>
      <c r="R75" s="101">
        <v>0</v>
      </c>
      <c r="S75" s="101">
        <v>32</v>
      </c>
      <c r="T75" s="101">
        <v>379</v>
      </c>
    </row>
    <row r="76" s="99" customFormat="1" ht="20" customHeight="1" spans="1:20">
      <c r="A76" s="101" t="s">
        <v>1748</v>
      </c>
      <c r="B76" s="101" t="s">
        <v>3003</v>
      </c>
      <c r="C76" s="101" t="s">
        <v>3004</v>
      </c>
      <c r="D76" s="101" t="s">
        <v>1146</v>
      </c>
      <c r="E76" s="101" t="s">
        <v>1147</v>
      </c>
      <c r="F76" s="101" t="s">
        <v>1796</v>
      </c>
      <c r="G76" s="101">
        <v>18548</v>
      </c>
      <c r="H76" s="101">
        <v>14209</v>
      </c>
      <c r="I76" s="101">
        <v>77</v>
      </c>
      <c r="J76" s="101">
        <v>0</v>
      </c>
      <c r="K76" s="101">
        <v>14132</v>
      </c>
      <c r="L76" s="101">
        <v>0</v>
      </c>
      <c r="M76" s="101">
        <v>0</v>
      </c>
      <c r="N76" s="101" t="s">
        <v>3077</v>
      </c>
      <c r="O76" s="101">
        <v>4339</v>
      </c>
      <c r="P76" s="101">
        <v>4068</v>
      </c>
      <c r="Q76" s="101">
        <v>219</v>
      </c>
      <c r="R76" s="101">
        <v>0</v>
      </c>
      <c r="S76" s="101">
        <v>52</v>
      </c>
      <c r="T76" s="101">
        <v>873</v>
      </c>
    </row>
    <row r="77" s="99" customFormat="1" ht="20" customHeight="1" spans="1:20">
      <c r="A77" s="101" t="s">
        <v>1229</v>
      </c>
      <c r="B77" s="101" t="s">
        <v>3003</v>
      </c>
      <c r="C77" s="101" t="s">
        <v>3004</v>
      </c>
      <c r="D77" s="101" t="s">
        <v>1146</v>
      </c>
      <c r="E77" s="101" t="s">
        <v>1147</v>
      </c>
      <c r="F77" s="101" t="s">
        <v>1810</v>
      </c>
      <c r="G77" s="101">
        <v>16711</v>
      </c>
      <c r="H77" s="101">
        <v>12712</v>
      </c>
      <c r="I77" s="101">
        <v>39</v>
      </c>
      <c r="J77" s="101">
        <v>0</v>
      </c>
      <c r="K77" s="101">
        <v>12673</v>
      </c>
      <c r="L77" s="101">
        <v>0</v>
      </c>
      <c r="M77" s="101">
        <v>0</v>
      </c>
      <c r="N77" s="101" t="s">
        <v>3078</v>
      </c>
      <c r="O77" s="101">
        <v>3999</v>
      </c>
      <c r="P77" s="101">
        <v>3690</v>
      </c>
      <c r="Q77" s="101">
        <v>217</v>
      </c>
      <c r="R77" s="101">
        <v>41</v>
      </c>
      <c r="S77" s="101">
        <v>51</v>
      </c>
      <c r="T77" s="101">
        <v>2806</v>
      </c>
    </row>
    <row r="78" s="99" customFormat="1" ht="20" customHeight="1" spans="1:20">
      <c r="A78" s="101" t="s">
        <v>1207</v>
      </c>
      <c r="B78" s="101" t="s">
        <v>3003</v>
      </c>
      <c r="C78" s="101" t="s">
        <v>3004</v>
      </c>
      <c r="D78" s="101" t="s">
        <v>1146</v>
      </c>
      <c r="E78" s="101" t="s">
        <v>1147</v>
      </c>
      <c r="F78" s="101" t="s">
        <v>1825</v>
      </c>
      <c r="G78" s="101">
        <v>19225</v>
      </c>
      <c r="H78" s="101">
        <v>12683</v>
      </c>
      <c r="I78" s="101">
        <v>121</v>
      </c>
      <c r="J78" s="101">
        <v>0</v>
      </c>
      <c r="K78" s="101">
        <v>12562</v>
      </c>
      <c r="L78" s="101">
        <v>0</v>
      </c>
      <c r="M78" s="101">
        <v>0</v>
      </c>
      <c r="N78" s="101" t="s">
        <v>3079</v>
      </c>
      <c r="O78" s="101">
        <v>6542</v>
      </c>
      <c r="P78" s="101">
        <v>3435</v>
      </c>
      <c r="Q78" s="101">
        <v>396</v>
      </c>
      <c r="R78" s="101">
        <v>2675</v>
      </c>
      <c r="S78" s="101">
        <v>36</v>
      </c>
      <c r="T78" s="101">
        <v>1364</v>
      </c>
    </row>
    <row r="79" s="99" customFormat="1" ht="20" customHeight="1" spans="1:20">
      <c r="A79" s="101" t="s">
        <v>1842</v>
      </c>
      <c r="B79" s="101" t="s">
        <v>3003</v>
      </c>
      <c r="C79" s="101" t="s">
        <v>3004</v>
      </c>
      <c r="D79" s="101" t="s">
        <v>1146</v>
      </c>
      <c r="E79" s="101" t="s">
        <v>1147</v>
      </c>
      <c r="F79" s="101" t="s">
        <v>1843</v>
      </c>
      <c r="G79" s="101">
        <v>2937</v>
      </c>
      <c r="H79" s="101">
        <v>249</v>
      </c>
      <c r="I79" s="101">
        <v>249</v>
      </c>
      <c r="J79" s="101">
        <v>0</v>
      </c>
      <c r="K79" s="101">
        <v>0</v>
      </c>
      <c r="L79" s="101">
        <v>0</v>
      </c>
      <c r="M79" s="101">
        <v>0</v>
      </c>
      <c r="N79" s="101" t="s">
        <v>3080</v>
      </c>
      <c r="O79" s="101">
        <v>2688</v>
      </c>
      <c r="P79" s="101">
        <v>1584</v>
      </c>
      <c r="Q79" s="101">
        <v>180</v>
      </c>
      <c r="R79" s="101">
        <v>911</v>
      </c>
      <c r="S79" s="101">
        <v>13</v>
      </c>
      <c r="T79" s="101">
        <v>1068</v>
      </c>
    </row>
    <row r="80" s="99" customFormat="1" ht="20" customHeight="1" spans="1:20">
      <c r="A80" s="101" t="s">
        <v>1325</v>
      </c>
      <c r="B80" s="101" t="s">
        <v>3003</v>
      </c>
      <c r="C80" s="101" t="s">
        <v>3004</v>
      </c>
      <c r="D80" s="101" t="s">
        <v>1146</v>
      </c>
      <c r="E80" s="101" t="s">
        <v>1147</v>
      </c>
      <c r="F80" s="101" t="s">
        <v>1854</v>
      </c>
      <c r="G80" s="101">
        <v>5776</v>
      </c>
      <c r="H80" s="101">
        <v>3811</v>
      </c>
      <c r="I80" s="101">
        <v>26</v>
      </c>
      <c r="J80" s="101">
        <v>0</v>
      </c>
      <c r="K80" s="101">
        <v>3785</v>
      </c>
      <c r="L80" s="101">
        <v>0</v>
      </c>
      <c r="M80" s="101">
        <v>0</v>
      </c>
      <c r="N80" s="101" t="s">
        <v>3081</v>
      </c>
      <c r="O80" s="101">
        <v>1965</v>
      </c>
      <c r="P80" s="101">
        <v>1867</v>
      </c>
      <c r="Q80" s="101">
        <v>69</v>
      </c>
      <c r="R80" s="101">
        <v>0</v>
      </c>
      <c r="S80" s="101">
        <v>29</v>
      </c>
      <c r="T80" s="101">
        <v>1820</v>
      </c>
    </row>
    <row r="81" s="99" customFormat="1" ht="20" customHeight="1" spans="1:20">
      <c r="A81" s="101" t="s">
        <v>1863</v>
      </c>
      <c r="B81" s="101" t="s">
        <v>3003</v>
      </c>
      <c r="C81" s="101" t="s">
        <v>3004</v>
      </c>
      <c r="D81" s="101" t="s">
        <v>1146</v>
      </c>
      <c r="E81" s="101" t="s">
        <v>1147</v>
      </c>
      <c r="F81" s="101" t="s">
        <v>1864</v>
      </c>
      <c r="G81" s="101">
        <v>3993</v>
      </c>
      <c r="H81" s="101">
        <v>815</v>
      </c>
      <c r="I81" s="101">
        <v>191</v>
      </c>
      <c r="J81" s="101">
        <v>0</v>
      </c>
      <c r="K81" s="101">
        <v>624</v>
      </c>
      <c r="L81" s="101">
        <v>0</v>
      </c>
      <c r="M81" s="101">
        <v>0</v>
      </c>
      <c r="N81" s="101" t="s">
        <v>3082</v>
      </c>
      <c r="O81" s="101">
        <v>3178</v>
      </c>
      <c r="P81" s="101">
        <v>3125</v>
      </c>
      <c r="Q81" s="101">
        <v>23</v>
      </c>
      <c r="R81" s="101">
        <v>6</v>
      </c>
      <c r="S81" s="101">
        <v>24</v>
      </c>
      <c r="T81" s="101">
        <v>1166</v>
      </c>
    </row>
    <row r="82" s="99" customFormat="1" ht="20" customHeight="1" spans="1:20">
      <c r="A82" s="101" t="s">
        <v>1245</v>
      </c>
      <c r="B82" s="101" t="s">
        <v>3003</v>
      </c>
      <c r="C82" s="101" t="s">
        <v>3004</v>
      </c>
      <c r="D82" s="101" t="s">
        <v>1146</v>
      </c>
      <c r="E82" s="101" t="s">
        <v>1147</v>
      </c>
      <c r="F82" s="101" t="s">
        <v>1873</v>
      </c>
      <c r="G82" s="101">
        <v>10785</v>
      </c>
      <c r="H82" s="101">
        <v>9420</v>
      </c>
      <c r="I82" s="101">
        <v>36</v>
      </c>
      <c r="J82" s="101">
        <v>0</v>
      </c>
      <c r="K82" s="101">
        <v>9384</v>
      </c>
      <c r="L82" s="101">
        <v>0</v>
      </c>
      <c r="M82" s="101">
        <v>0</v>
      </c>
      <c r="N82" s="101" t="s">
        <v>3083</v>
      </c>
      <c r="O82" s="101">
        <v>1365</v>
      </c>
      <c r="P82" s="101">
        <v>1136</v>
      </c>
      <c r="Q82" s="101">
        <v>209</v>
      </c>
      <c r="R82" s="101">
        <v>0</v>
      </c>
      <c r="S82" s="101">
        <v>20</v>
      </c>
      <c r="T82" s="101">
        <v>618</v>
      </c>
    </row>
    <row r="83" s="99" customFormat="1" ht="20" customHeight="1" spans="1:20">
      <c r="A83" s="101" t="s">
        <v>1470</v>
      </c>
      <c r="B83" s="101" t="s">
        <v>3003</v>
      </c>
      <c r="C83" s="101" t="s">
        <v>3004</v>
      </c>
      <c r="D83" s="101" t="s">
        <v>1146</v>
      </c>
      <c r="E83" s="101" t="s">
        <v>1147</v>
      </c>
      <c r="F83" s="101" t="s">
        <v>1882</v>
      </c>
      <c r="G83" s="101">
        <v>11100</v>
      </c>
      <c r="H83" s="101">
        <v>8845</v>
      </c>
      <c r="I83" s="101">
        <v>42</v>
      </c>
      <c r="J83" s="101">
        <v>0</v>
      </c>
      <c r="K83" s="101">
        <v>8803</v>
      </c>
      <c r="L83" s="101">
        <v>0</v>
      </c>
      <c r="M83" s="101">
        <v>0</v>
      </c>
      <c r="N83" s="101" t="s">
        <v>3084</v>
      </c>
      <c r="O83" s="101">
        <v>2255</v>
      </c>
      <c r="P83" s="101">
        <v>1906</v>
      </c>
      <c r="Q83" s="101">
        <v>330</v>
      </c>
      <c r="R83" s="101">
        <v>1</v>
      </c>
      <c r="S83" s="101">
        <v>18</v>
      </c>
      <c r="T83" s="101">
        <v>1118</v>
      </c>
    </row>
    <row r="84" s="99" customFormat="1" ht="20" customHeight="1" spans="1:20">
      <c r="A84" s="101" t="s">
        <v>1897</v>
      </c>
      <c r="B84" s="101" t="s">
        <v>3003</v>
      </c>
      <c r="C84" s="101" t="s">
        <v>3004</v>
      </c>
      <c r="D84" s="101" t="s">
        <v>1146</v>
      </c>
      <c r="E84" s="101" t="s">
        <v>1147</v>
      </c>
      <c r="F84" s="101" t="s">
        <v>1898</v>
      </c>
      <c r="G84" s="101">
        <v>153</v>
      </c>
      <c r="H84" s="101">
        <v>57</v>
      </c>
      <c r="I84" s="101">
        <v>56</v>
      </c>
      <c r="J84" s="101">
        <v>0</v>
      </c>
      <c r="K84" s="101">
        <v>1</v>
      </c>
      <c r="L84" s="101">
        <v>0</v>
      </c>
      <c r="M84" s="101">
        <v>0</v>
      </c>
      <c r="N84" s="101" t="s">
        <v>3085</v>
      </c>
      <c r="O84" s="101">
        <v>96</v>
      </c>
      <c r="P84" s="101">
        <v>90</v>
      </c>
      <c r="Q84" s="101">
        <v>1</v>
      </c>
      <c r="R84" s="101">
        <v>5</v>
      </c>
      <c r="S84" s="101">
        <v>0</v>
      </c>
      <c r="T84" s="101">
        <v>0</v>
      </c>
    </row>
    <row r="85" s="99" customFormat="1" ht="20" customHeight="1" spans="1:20">
      <c r="A85" s="101" t="s">
        <v>1822</v>
      </c>
      <c r="B85" s="101" t="s">
        <v>3003</v>
      </c>
      <c r="C85" s="101" t="s">
        <v>3004</v>
      </c>
      <c r="D85" s="101" t="s">
        <v>1146</v>
      </c>
      <c r="E85" s="101" t="s">
        <v>1147</v>
      </c>
      <c r="F85" s="101" t="s">
        <v>1902</v>
      </c>
      <c r="G85" s="101">
        <v>2616</v>
      </c>
      <c r="H85" s="101">
        <v>27</v>
      </c>
      <c r="I85" s="101">
        <v>27</v>
      </c>
      <c r="J85" s="101">
        <v>0</v>
      </c>
      <c r="K85" s="101">
        <v>0</v>
      </c>
      <c r="L85" s="101">
        <v>0</v>
      </c>
      <c r="M85" s="101">
        <v>0</v>
      </c>
      <c r="N85" s="101" t="s">
        <v>3086</v>
      </c>
      <c r="O85" s="101">
        <v>2589</v>
      </c>
      <c r="P85" s="101">
        <v>2573</v>
      </c>
      <c r="Q85" s="101">
        <v>0</v>
      </c>
      <c r="R85" s="101">
        <v>0</v>
      </c>
      <c r="S85" s="101">
        <v>16</v>
      </c>
      <c r="T85" s="101">
        <v>16</v>
      </c>
    </row>
    <row r="86" s="99" customFormat="1" ht="20" customHeight="1" spans="1:20">
      <c r="A86" s="101" t="s">
        <v>1909</v>
      </c>
      <c r="B86" s="101" t="s">
        <v>3003</v>
      </c>
      <c r="C86" s="101" t="s">
        <v>3004</v>
      </c>
      <c r="D86" s="101" t="s">
        <v>1146</v>
      </c>
      <c r="E86" s="101" t="s">
        <v>1147</v>
      </c>
      <c r="F86" s="101" t="s">
        <v>1910</v>
      </c>
      <c r="G86" s="101">
        <v>6490</v>
      </c>
      <c r="H86" s="101">
        <v>12</v>
      </c>
      <c r="I86" s="101">
        <v>12</v>
      </c>
      <c r="J86" s="101">
        <v>0</v>
      </c>
      <c r="K86" s="101">
        <v>0</v>
      </c>
      <c r="L86" s="101">
        <v>0</v>
      </c>
      <c r="M86" s="101">
        <v>0</v>
      </c>
      <c r="N86" s="101" t="s">
        <v>3017</v>
      </c>
      <c r="O86" s="101">
        <v>6478</v>
      </c>
      <c r="P86" s="101">
        <v>4853</v>
      </c>
      <c r="Q86" s="101">
        <v>35</v>
      </c>
      <c r="R86" s="101">
        <v>1582</v>
      </c>
      <c r="S86" s="101">
        <v>8</v>
      </c>
      <c r="T86" s="101">
        <v>79</v>
      </c>
    </row>
    <row r="87" s="99" customFormat="1" ht="20" customHeight="1" spans="1:20">
      <c r="A87" s="101" t="s">
        <v>1730</v>
      </c>
      <c r="B87" s="101" t="s">
        <v>3003</v>
      </c>
      <c r="C87" s="101" t="s">
        <v>3004</v>
      </c>
      <c r="D87" s="101" t="s">
        <v>1146</v>
      </c>
      <c r="E87" s="101" t="s">
        <v>1147</v>
      </c>
      <c r="F87" s="101" t="s">
        <v>1918</v>
      </c>
      <c r="G87" s="101">
        <v>5235</v>
      </c>
      <c r="H87" s="101">
        <v>2721</v>
      </c>
      <c r="I87" s="101">
        <v>10</v>
      </c>
      <c r="J87" s="101">
        <v>0</v>
      </c>
      <c r="K87" s="101">
        <v>2711</v>
      </c>
      <c r="L87" s="101">
        <v>0</v>
      </c>
      <c r="M87" s="101">
        <v>0</v>
      </c>
      <c r="N87" s="101" t="s">
        <v>3087</v>
      </c>
      <c r="O87" s="101">
        <v>2514</v>
      </c>
      <c r="P87" s="101">
        <v>2314</v>
      </c>
      <c r="Q87" s="101">
        <v>115</v>
      </c>
      <c r="R87" s="101">
        <v>84</v>
      </c>
      <c r="S87" s="101">
        <v>1</v>
      </c>
      <c r="T87" s="101">
        <v>1</v>
      </c>
    </row>
    <row r="88" s="99" customFormat="1" ht="20" customHeight="1" spans="1:20">
      <c r="A88" s="101" t="s">
        <v>1795</v>
      </c>
      <c r="B88" s="101" t="s">
        <v>3003</v>
      </c>
      <c r="C88" s="101" t="s">
        <v>3004</v>
      </c>
      <c r="D88" s="101" t="s">
        <v>1146</v>
      </c>
      <c r="E88" s="101" t="s">
        <v>1147</v>
      </c>
      <c r="F88" s="101" t="s">
        <v>1928</v>
      </c>
      <c r="G88" s="101">
        <v>13697</v>
      </c>
      <c r="H88" s="101">
        <v>12871</v>
      </c>
      <c r="I88" s="101">
        <v>261</v>
      </c>
      <c r="J88" s="101">
        <v>0</v>
      </c>
      <c r="K88" s="101">
        <v>12610</v>
      </c>
      <c r="L88" s="101">
        <v>0</v>
      </c>
      <c r="M88" s="101">
        <v>0</v>
      </c>
      <c r="N88" s="101" t="s">
        <v>3088</v>
      </c>
      <c r="O88" s="101">
        <v>826</v>
      </c>
      <c r="P88" s="101">
        <v>296</v>
      </c>
      <c r="Q88" s="101">
        <v>530</v>
      </c>
      <c r="R88" s="101">
        <v>0</v>
      </c>
      <c r="S88" s="101">
        <v>0</v>
      </c>
      <c r="T88" s="101">
        <v>0</v>
      </c>
    </row>
    <row r="89" s="99" customFormat="1" ht="20" customHeight="1" spans="1:20">
      <c r="A89" s="101" t="s">
        <v>1468</v>
      </c>
      <c r="B89" s="101" t="s">
        <v>3003</v>
      </c>
      <c r="C89" s="101" t="s">
        <v>3004</v>
      </c>
      <c r="D89" s="101" t="s">
        <v>1146</v>
      </c>
      <c r="E89" s="101" t="s">
        <v>1147</v>
      </c>
      <c r="F89" s="101" t="s">
        <v>1936</v>
      </c>
      <c r="G89" s="101">
        <v>7794</v>
      </c>
      <c r="H89" s="101">
        <v>5215</v>
      </c>
      <c r="I89" s="101">
        <v>52</v>
      </c>
      <c r="J89" s="101">
        <v>0</v>
      </c>
      <c r="K89" s="101">
        <v>5163</v>
      </c>
      <c r="L89" s="101">
        <v>0</v>
      </c>
      <c r="M89" s="101">
        <v>0</v>
      </c>
      <c r="N89" s="101" t="s">
        <v>3089</v>
      </c>
      <c r="O89" s="101">
        <v>2579</v>
      </c>
      <c r="P89" s="101">
        <v>2422</v>
      </c>
      <c r="Q89" s="101">
        <v>101</v>
      </c>
      <c r="R89" s="101">
        <v>0</v>
      </c>
      <c r="S89" s="101">
        <v>56</v>
      </c>
      <c r="T89" s="101">
        <v>2141</v>
      </c>
    </row>
    <row r="90" s="99" customFormat="1" ht="20" customHeight="1" spans="1:20">
      <c r="A90" s="101" t="s">
        <v>1851</v>
      </c>
      <c r="B90" s="101" t="s">
        <v>3003</v>
      </c>
      <c r="C90" s="101" t="s">
        <v>3004</v>
      </c>
      <c r="D90" s="101" t="s">
        <v>1146</v>
      </c>
      <c r="E90" s="101" t="s">
        <v>1147</v>
      </c>
      <c r="F90" s="101" t="s">
        <v>1944</v>
      </c>
      <c r="G90" s="101">
        <v>13668</v>
      </c>
      <c r="H90" s="101">
        <v>10391</v>
      </c>
      <c r="I90" s="101">
        <v>17</v>
      </c>
      <c r="J90" s="101">
        <v>0</v>
      </c>
      <c r="K90" s="101">
        <v>10374</v>
      </c>
      <c r="L90" s="101">
        <v>0</v>
      </c>
      <c r="M90" s="101">
        <v>0</v>
      </c>
      <c r="N90" s="101" t="s">
        <v>3090</v>
      </c>
      <c r="O90" s="101">
        <v>3277</v>
      </c>
      <c r="P90" s="101">
        <v>3027</v>
      </c>
      <c r="Q90" s="101">
        <v>214</v>
      </c>
      <c r="R90" s="101">
        <v>0</v>
      </c>
      <c r="S90" s="101">
        <v>36</v>
      </c>
      <c r="T90" s="101">
        <v>1471</v>
      </c>
    </row>
    <row r="91" s="99" customFormat="1" ht="20" customHeight="1" spans="1:20">
      <c r="A91" s="101" t="s">
        <v>1241</v>
      </c>
      <c r="B91" s="101" t="s">
        <v>3003</v>
      </c>
      <c r="C91" s="101" t="s">
        <v>3004</v>
      </c>
      <c r="D91" s="101" t="s">
        <v>1146</v>
      </c>
      <c r="E91" s="101" t="s">
        <v>1147</v>
      </c>
      <c r="F91" s="101" t="s">
        <v>1954</v>
      </c>
      <c r="G91" s="101">
        <v>7364</v>
      </c>
      <c r="H91" s="101">
        <v>4797</v>
      </c>
      <c r="I91" s="101">
        <v>15</v>
      </c>
      <c r="J91" s="101">
        <v>0</v>
      </c>
      <c r="K91" s="101">
        <v>4782</v>
      </c>
      <c r="L91" s="101">
        <v>0</v>
      </c>
      <c r="M91" s="101">
        <v>0</v>
      </c>
      <c r="N91" s="101" t="s">
        <v>3091</v>
      </c>
      <c r="O91" s="101">
        <v>2567</v>
      </c>
      <c r="P91" s="101">
        <v>2353</v>
      </c>
      <c r="Q91" s="101">
        <v>212</v>
      </c>
      <c r="R91" s="101">
        <v>2</v>
      </c>
      <c r="S91" s="101">
        <v>0</v>
      </c>
      <c r="T91" s="101">
        <v>0</v>
      </c>
    </row>
    <row r="92" s="99" customFormat="1" ht="20" customHeight="1" spans="1:20">
      <c r="A92" s="101" t="s">
        <v>1860</v>
      </c>
      <c r="B92" s="101" t="s">
        <v>3003</v>
      </c>
      <c r="C92" s="101" t="s">
        <v>3004</v>
      </c>
      <c r="D92" s="101" t="s">
        <v>1146</v>
      </c>
      <c r="E92" s="101" t="s">
        <v>1147</v>
      </c>
      <c r="F92" s="101" t="s">
        <v>1963</v>
      </c>
      <c r="G92" s="101">
        <v>3708</v>
      </c>
      <c r="H92" s="101">
        <v>745</v>
      </c>
      <c r="I92" s="101">
        <v>90</v>
      </c>
      <c r="J92" s="101">
        <v>0</v>
      </c>
      <c r="K92" s="101">
        <v>655</v>
      </c>
      <c r="L92" s="101">
        <v>0</v>
      </c>
      <c r="M92" s="101">
        <v>0</v>
      </c>
      <c r="N92" s="101" t="s">
        <v>3092</v>
      </c>
      <c r="O92" s="101">
        <v>2963</v>
      </c>
      <c r="P92" s="101">
        <v>2919</v>
      </c>
      <c r="Q92" s="101">
        <v>44</v>
      </c>
      <c r="R92" s="101">
        <v>0</v>
      </c>
      <c r="S92" s="101">
        <v>0</v>
      </c>
      <c r="T92" s="101">
        <v>0</v>
      </c>
    </row>
    <row r="93" s="99" customFormat="1" ht="20" customHeight="1" spans="1:20">
      <c r="A93" s="101" t="s">
        <v>1839</v>
      </c>
      <c r="B93" s="101" t="s">
        <v>3003</v>
      </c>
      <c r="C93" s="101" t="s">
        <v>3004</v>
      </c>
      <c r="D93" s="101" t="s">
        <v>1146</v>
      </c>
      <c r="E93" s="101" t="s">
        <v>1147</v>
      </c>
      <c r="F93" s="101" t="s">
        <v>1969</v>
      </c>
      <c r="G93" s="101">
        <v>18369</v>
      </c>
      <c r="H93" s="101">
        <v>11504</v>
      </c>
      <c r="I93" s="101">
        <v>86</v>
      </c>
      <c r="J93" s="101">
        <v>0</v>
      </c>
      <c r="K93" s="101">
        <v>11418</v>
      </c>
      <c r="L93" s="101">
        <v>0</v>
      </c>
      <c r="M93" s="101">
        <v>0</v>
      </c>
      <c r="N93" s="101" t="s">
        <v>3093</v>
      </c>
      <c r="O93" s="101">
        <v>6865</v>
      </c>
      <c r="P93" s="101">
        <v>6131</v>
      </c>
      <c r="Q93" s="101">
        <v>473</v>
      </c>
      <c r="R93" s="101">
        <v>260</v>
      </c>
      <c r="S93" s="101">
        <v>1</v>
      </c>
      <c r="T93" s="101">
        <v>1</v>
      </c>
    </row>
    <row r="94" s="99" customFormat="1" ht="20" customHeight="1" spans="1:20">
      <c r="A94" s="101" t="s">
        <v>1496</v>
      </c>
      <c r="B94" s="101" t="s">
        <v>3003</v>
      </c>
      <c r="C94" s="101" t="s">
        <v>3004</v>
      </c>
      <c r="D94" s="101" t="s">
        <v>1146</v>
      </c>
      <c r="E94" s="101" t="s">
        <v>1147</v>
      </c>
      <c r="F94" s="101" t="s">
        <v>1978</v>
      </c>
      <c r="G94" s="101">
        <v>20417</v>
      </c>
      <c r="H94" s="101">
        <v>14881</v>
      </c>
      <c r="I94" s="101">
        <v>96</v>
      </c>
      <c r="J94" s="101">
        <v>0</v>
      </c>
      <c r="K94" s="101">
        <v>14785</v>
      </c>
      <c r="L94" s="101">
        <v>0</v>
      </c>
      <c r="M94" s="101">
        <v>0</v>
      </c>
      <c r="N94" s="101" t="s">
        <v>3094</v>
      </c>
      <c r="O94" s="101">
        <v>5536</v>
      </c>
      <c r="P94" s="101">
        <v>4466</v>
      </c>
      <c r="Q94" s="101">
        <v>610</v>
      </c>
      <c r="R94" s="101">
        <v>459</v>
      </c>
      <c r="S94" s="101">
        <v>1</v>
      </c>
      <c r="T94" s="101">
        <v>5</v>
      </c>
    </row>
    <row r="95" s="99" customFormat="1" ht="20" customHeight="1" spans="1:20">
      <c r="A95" s="101" t="s">
        <v>1990</v>
      </c>
      <c r="B95" s="101" t="s">
        <v>3003</v>
      </c>
      <c r="C95" s="101" t="s">
        <v>3004</v>
      </c>
      <c r="D95" s="101" t="s">
        <v>1146</v>
      </c>
      <c r="E95" s="101" t="s">
        <v>1147</v>
      </c>
      <c r="F95" s="101" t="s">
        <v>1991</v>
      </c>
      <c r="G95" s="101">
        <v>16808</v>
      </c>
      <c r="H95" s="101">
        <v>13353</v>
      </c>
      <c r="I95" s="101">
        <v>364</v>
      </c>
      <c r="J95" s="101">
        <v>0</v>
      </c>
      <c r="K95" s="101">
        <v>12989</v>
      </c>
      <c r="L95" s="101">
        <v>0</v>
      </c>
      <c r="M95" s="101">
        <v>0</v>
      </c>
      <c r="N95" s="101" t="s">
        <v>3095</v>
      </c>
      <c r="O95" s="101">
        <v>3455</v>
      </c>
      <c r="P95" s="101">
        <v>2958</v>
      </c>
      <c r="Q95" s="101">
        <v>481</v>
      </c>
      <c r="R95" s="101">
        <v>16</v>
      </c>
      <c r="S95" s="101">
        <v>0</v>
      </c>
      <c r="T95" s="101">
        <v>0</v>
      </c>
    </row>
    <row r="96" s="99" customFormat="1" ht="20" customHeight="1" spans="1:20">
      <c r="A96" s="101" t="s">
        <v>1620</v>
      </c>
      <c r="B96" s="101" t="s">
        <v>3003</v>
      </c>
      <c r="C96" s="101" t="s">
        <v>3004</v>
      </c>
      <c r="D96" s="101" t="s">
        <v>1146</v>
      </c>
      <c r="E96" s="101" t="s">
        <v>1147</v>
      </c>
      <c r="F96" s="101" t="s">
        <v>2001</v>
      </c>
      <c r="G96" s="101">
        <v>7785</v>
      </c>
      <c r="H96" s="101">
        <v>7040</v>
      </c>
      <c r="I96" s="101">
        <v>296</v>
      </c>
      <c r="J96" s="101">
        <v>0</v>
      </c>
      <c r="K96" s="101">
        <v>6744</v>
      </c>
      <c r="L96" s="101">
        <v>0</v>
      </c>
      <c r="M96" s="101">
        <v>0</v>
      </c>
      <c r="N96" s="101" t="s">
        <v>3096</v>
      </c>
      <c r="O96" s="101">
        <v>745</v>
      </c>
      <c r="P96" s="101">
        <v>380</v>
      </c>
      <c r="Q96" s="101">
        <v>345</v>
      </c>
      <c r="R96" s="101">
        <v>0</v>
      </c>
      <c r="S96" s="101">
        <v>20</v>
      </c>
      <c r="T96" s="101">
        <v>40</v>
      </c>
    </row>
    <row r="97" s="99" customFormat="1" ht="20" customHeight="1" spans="1:20">
      <c r="A97" s="101" t="s">
        <v>1420</v>
      </c>
      <c r="B97" s="101" t="s">
        <v>3003</v>
      </c>
      <c r="C97" s="101" t="s">
        <v>3004</v>
      </c>
      <c r="D97" s="101" t="s">
        <v>1146</v>
      </c>
      <c r="E97" s="101" t="s">
        <v>1147</v>
      </c>
      <c r="F97" s="101" t="s">
        <v>2008</v>
      </c>
      <c r="G97" s="101">
        <v>14878</v>
      </c>
      <c r="H97" s="101">
        <v>9877</v>
      </c>
      <c r="I97" s="101">
        <v>137</v>
      </c>
      <c r="J97" s="101">
        <v>0</v>
      </c>
      <c r="K97" s="101">
        <v>9740</v>
      </c>
      <c r="L97" s="101">
        <v>0</v>
      </c>
      <c r="M97" s="101">
        <v>0</v>
      </c>
      <c r="N97" s="101" t="s">
        <v>3097</v>
      </c>
      <c r="O97" s="101">
        <v>5001</v>
      </c>
      <c r="P97" s="101">
        <v>4727</v>
      </c>
      <c r="Q97" s="101">
        <v>187</v>
      </c>
      <c r="R97" s="101">
        <v>0</v>
      </c>
      <c r="S97" s="101">
        <v>87</v>
      </c>
      <c r="T97" s="101">
        <v>3799</v>
      </c>
    </row>
    <row r="98" s="99" customFormat="1" ht="20" customHeight="1" spans="1:20">
      <c r="A98" s="101" t="s">
        <v>1185</v>
      </c>
      <c r="B98" s="101" t="s">
        <v>3003</v>
      </c>
      <c r="C98" s="101" t="s">
        <v>3004</v>
      </c>
      <c r="D98" s="101" t="s">
        <v>1146</v>
      </c>
      <c r="E98" s="101" t="s">
        <v>1147</v>
      </c>
      <c r="F98" s="101" t="s">
        <v>2021</v>
      </c>
      <c r="G98" s="101">
        <v>8042</v>
      </c>
      <c r="H98" s="101">
        <v>6477</v>
      </c>
      <c r="I98" s="101">
        <v>155</v>
      </c>
      <c r="J98" s="101">
        <v>0</v>
      </c>
      <c r="K98" s="101">
        <v>6322</v>
      </c>
      <c r="L98" s="101">
        <v>0</v>
      </c>
      <c r="M98" s="101">
        <v>0</v>
      </c>
      <c r="N98" s="101" t="s">
        <v>3098</v>
      </c>
      <c r="O98" s="101">
        <v>1565</v>
      </c>
      <c r="P98" s="101">
        <v>1431</v>
      </c>
      <c r="Q98" s="101">
        <v>114</v>
      </c>
      <c r="R98" s="101">
        <v>0</v>
      </c>
      <c r="S98" s="101">
        <v>20</v>
      </c>
      <c r="T98" s="101">
        <v>937</v>
      </c>
    </row>
    <row r="99" s="99" customFormat="1" ht="20" customHeight="1" spans="1:20">
      <c r="A99" s="101" t="s">
        <v>1807</v>
      </c>
      <c r="B99" s="101" t="s">
        <v>3003</v>
      </c>
      <c r="C99" s="101" t="s">
        <v>3004</v>
      </c>
      <c r="D99" s="101" t="s">
        <v>1146</v>
      </c>
      <c r="E99" s="101" t="s">
        <v>1147</v>
      </c>
      <c r="F99" s="101" t="s">
        <v>2032</v>
      </c>
      <c r="G99" s="101">
        <v>15306</v>
      </c>
      <c r="H99" s="101">
        <v>11576</v>
      </c>
      <c r="I99" s="101">
        <v>269</v>
      </c>
      <c r="J99" s="101">
        <v>0</v>
      </c>
      <c r="K99" s="101">
        <v>11307</v>
      </c>
      <c r="L99" s="101">
        <v>0</v>
      </c>
      <c r="M99" s="101">
        <v>0</v>
      </c>
      <c r="N99" s="101" t="s">
        <v>3099</v>
      </c>
      <c r="O99" s="101">
        <v>3730</v>
      </c>
      <c r="P99" s="101">
        <v>3453</v>
      </c>
      <c r="Q99" s="101">
        <v>200</v>
      </c>
      <c r="R99" s="101">
        <v>0</v>
      </c>
      <c r="S99" s="101">
        <v>77</v>
      </c>
      <c r="T99" s="101">
        <v>3229</v>
      </c>
    </row>
    <row r="100" s="99" customFormat="1" ht="20" customHeight="1" spans="1:20">
      <c r="A100" s="101" t="s">
        <v>1876</v>
      </c>
      <c r="B100" s="101" t="s">
        <v>3003</v>
      </c>
      <c r="C100" s="101" t="s">
        <v>3004</v>
      </c>
      <c r="D100" s="101" t="s">
        <v>1146</v>
      </c>
      <c r="E100" s="101" t="s">
        <v>1147</v>
      </c>
      <c r="F100" s="101" t="s">
        <v>2045</v>
      </c>
      <c r="G100" s="101">
        <v>14424</v>
      </c>
      <c r="H100" s="101">
        <v>12721</v>
      </c>
      <c r="I100" s="101">
        <v>61</v>
      </c>
      <c r="J100" s="101">
        <v>0</v>
      </c>
      <c r="K100" s="101">
        <v>12660</v>
      </c>
      <c r="L100" s="101">
        <v>0</v>
      </c>
      <c r="M100" s="101">
        <v>0</v>
      </c>
      <c r="N100" s="101" t="s">
        <v>3100</v>
      </c>
      <c r="O100" s="101">
        <v>1703</v>
      </c>
      <c r="P100" s="101">
        <v>1470</v>
      </c>
      <c r="Q100" s="101">
        <v>210</v>
      </c>
      <c r="R100" s="101">
        <v>0</v>
      </c>
      <c r="S100" s="101">
        <v>23</v>
      </c>
      <c r="T100" s="101">
        <v>807</v>
      </c>
    </row>
    <row r="101" s="99" customFormat="1" ht="20" customHeight="1" spans="1:20">
      <c r="A101" s="101" t="s">
        <v>2053</v>
      </c>
      <c r="B101" s="101" t="s">
        <v>3003</v>
      </c>
      <c r="C101" s="101" t="s">
        <v>3004</v>
      </c>
      <c r="D101" s="101" t="s">
        <v>1146</v>
      </c>
      <c r="E101" s="101" t="s">
        <v>1147</v>
      </c>
      <c r="F101" s="101" t="s">
        <v>2054</v>
      </c>
      <c r="G101" s="101">
        <v>17925</v>
      </c>
      <c r="H101" s="101">
        <v>14974</v>
      </c>
      <c r="I101" s="101">
        <v>89</v>
      </c>
      <c r="J101" s="101">
        <v>0</v>
      </c>
      <c r="K101" s="101">
        <v>14885</v>
      </c>
      <c r="L101" s="101">
        <v>0</v>
      </c>
      <c r="M101" s="101">
        <v>0</v>
      </c>
      <c r="N101" s="101" t="s">
        <v>3101</v>
      </c>
      <c r="O101" s="101">
        <v>2951</v>
      </c>
      <c r="P101" s="101">
        <v>2559</v>
      </c>
      <c r="Q101" s="101">
        <v>349</v>
      </c>
      <c r="R101" s="101">
        <v>43</v>
      </c>
      <c r="S101" s="101">
        <v>0</v>
      </c>
      <c r="T101" s="101">
        <v>0</v>
      </c>
    </row>
    <row r="102" s="99" customFormat="1" ht="20" customHeight="1" spans="1:20">
      <c r="A102" s="101" t="s">
        <v>1508</v>
      </c>
      <c r="B102" s="101" t="s">
        <v>3003</v>
      </c>
      <c r="C102" s="101" t="s">
        <v>3004</v>
      </c>
      <c r="D102" s="101" t="s">
        <v>1146</v>
      </c>
      <c r="E102" s="101" t="s">
        <v>1147</v>
      </c>
      <c r="F102" s="101" t="s">
        <v>2064</v>
      </c>
      <c r="G102" s="101">
        <v>4635</v>
      </c>
      <c r="H102" s="101">
        <v>142</v>
      </c>
      <c r="I102" s="101">
        <v>138</v>
      </c>
      <c r="J102" s="101">
        <v>0</v>
      </c>
      <c r="K102" s="101">
        <v>4</v>
      </c>
      <c r="L102" s="101">
        <v>0</v>
      </c>
      <c r="M102" s="101">
        <v>0</v>
      </c>
      <c r="N102" s="101" t="s">
        <v>3102</v>
      </c>
      <c r="O102" s="101">
        <v>4493</v>
      </c>
      <c r="P102" s="101">
        <v>2412</v>
      </c>
      <c r="Q102" s="101">
        <v>107</v>
      </c>
      <c r="R102" s="101">
        <v>1966</v>
      </c>
      <c r="S102" s="101">
        <v>8</v>
      </c>
      <c r="T102" s="101">
        <v>146</v>
      </c>
    </row>
    <row r="103" s="99" customFormat="1" ht="20" customHeight="1" spans="1:20">
      <c r="A103" s="101" t="s">
        <v>2042</v>
      </c>
      <c r="B103" s="101" t="s">
        <v>3003</v>
      </c>
      <c r="C103" s="101" t="s">
        <v>3004</v>
      </c>
      <c r="D103" s="101" t="s">
        <v>1146</v>
      </c>
      <c r="E103" s="101" t="s">
        <v>1147</v>
      </c>
      <c r="F103" s="101" t="s">
        <v>2072</v>
      </c>
      <c r="G103" s="101">
        <v>7849</v>
      </c>
      <c r="H103" s="101">
        <v>4735</v>
      </c>
      <c r="I103" s="101">
        <v>80</v>
      </c>
      <c r="J103" s="101">
        <v>0</v>
      </c>
      <c r="K103" s="101">
        <v>4655</v>
      </c>
      <c r="L103" s="101">
        <v>0</v>
      </c>
      <c r="M103" s="101">
        <v>0</v>
      </c>
      <c r="N103" s="101" t="s">
        <v>3103</v>
      </c>
      <c r="O103" s="101">
        <v>3114</v>
      </c>
      <c r="P103" s="101">
        <v>2670</v>
      </c>
      <c r="Q103" s="101">
        <v>167</v>
      </c>
      <c r="R103" s="101">
        <v>237</v>
      </c>
      <c r="S103" s="101">
        <v>40</v>
      </c>
      <c r="T103" s="101">
        <v>2183</v>
      </c>
    </row>
    <row r="104" s="99" customFormat="1" ht="20" customHeight="1" spans="1:20">
      <c r="A104" s="101" t="s">
        <v>1182</v>
      </c>
      <c r="B104" s="101" t="s">
        <v>3003</v>
      </c>
      <c r="C104" s="101" t="s">
        <v>3004</v>
      </c>
      <c r="D104" s="101" t="s">
        <v>1146</v>
      </c>
      <c r="E104" s="101" t="s">
        <v>1147</v>
      </c>
      <c r="F104" s="101" t="s">
        <v>2082</v>
      </c>
      <c r="G104" s="101">
        <v>7164</v>
      </c>
      <c r="H104" s="101">
        <v>5719</v>
      </c>
      <c r="I104" s="101">
        <v>197</v>
      </c>
      <c r="J104" s="101">
        <v>0</v>
      </c>
      <c r="K104" s="101">
        <v>5522</v>
      </c>
      <c r="L104" s="101">
        <v>0</v>
      </c>
      <c r="M104" s="101">
        <v>0</v>
      </c>
      <c r="N104" s="101" t="s">
        <v>3104</v>
      </c>
      <c r="O104" s="101">
        <v>1445</v>
      </c>
      <c r="P104" s="101">
        <v>1182</v>
      </c>
      <c r="Q104" s="101">
        <v>259</v>
      </c>
      <c r="R104" s="101">
        <v>0</v>
      </c>
      <c r="S104" s="101">
        <v>4</v>
      </c>
      <c r="T104" s="101">
        <v>149</v>
      </c>
    </row>
    <row r="105" s="99" customFormat="1" ht="20" customHeight="1" spans="1:20">
      <c r="A105" s="101" t="s">
        <v>1402</v>
      </c>
      <c r="B105" s="101" t="s">
        <v>3003</v>
      </c>
      <c r="C105" s="101" t="s">
        <v>3004</v>
      </c>
      <c r="D105" s="101" t="s">
        <v>1146</v>
      </c>
      <c r="E105" s="101" t="s">
        <v>1147</v>
      </c>
      <c r="F105" s="101" t="s">
        <v>2091</v>
      </c>
      <c r="G105" s="101">
        <v>2853</v>
      </c>
      <c r="H105" s="101">
        <v>366</v>
      </c>
      <c r="I105" s="101">
        <v>180</v>
      </c>
      <c r="J105" s="101">
        <v>0</v>
      </c>
      <c r="K105" s="101">
        <v>186</v>
      </c>
      <c r="L105" s="101">
        <v>0</v>
      </c>
      <c r="M105" s="101">
        <v>0</v>
      </c>
      <c r="N105" s="101" t="s">
        <v>3105</v>
      </c>
      <c r="O105" s="101">
        <v>2487</v>
      </c>
      <c r="P105" s="101">
        <v>2455</v>
      </c>
      <c r="Q105" s="101">
        <v>4</v>
      </c>
      <c r="R105" s="101">
        <v>0</v>
      </c>
      <c r="S105" s="101">
        <v>28</v>
      </c>
      <c r="T105" s="101">
        <v>1659</v>
      </c>
    </row>
    <row r="106" s="99" customFormat="1" ht="20" customHeight="1" spans="1:20">
      <c r="A106" s="101" t="s">
        <v>2098</v>
      </c>
      <c r="B106" s="101" t="s">
        <v>3003</v>
      </c>
      <c r="C106" s="101" t="s">
        <v>3004</v>
      </c>
      <c r="D106" s="101" t="s">
        <v>1146</v>
      </c>
      <c r="E106" s="101" t="s">
        <v>1147</v>
      </c>
      <c r="F106" s="101" t="s">
        <v>2099</v>
      </c>
      <c r="G106" s="101">
        <v>3944</v>
      </c>
      <c r="H106" s="101">
        <v>3622</v>
      </c>
      <c r="I106" s="101">
        <v>20</v>
      </c>
      <c r="J106" s="101">
        <v>0</v>
      </c>
      <c r="K106" s="101">
        <v>3602</v>
      </c>
      <c r="L106" s="101">
        <v>0</v>
      </c>
      <c r="M106" s="101">
        <v>0</v>
      </c>
      <c r="N106" s="101" t="s">
        <v>3106</v>
      </c>
      <c r="O106" s="101">
        <v>322</v>
      </c>
      <c r="P106" s="101">
        <v>243</v>
      </c>
      <c r="Q106" s="101">
        <v>79</v>
      </c>
      <c r="R106" s="101">
        <v>0</v>
      </c>
      <c r="S106" s="101">
        <v>0</v>
      </c>
      <c r="T106" s="101">
        <v>0</v>
      </c>
    </row>
    <row r="107" s="99" customFormat="1" ht="20" customHeight="1" spans="1:20">
      <c r="A107" s="101" t="s">
        <v>2105</v>
      </c>
      <c r="B107" s="101" t="s">
        <v>3003</v>
      </c>
      <c r="C107" s="101" t="s">
        <v>3004</v>
      </c>
      <c r="D107" s="101" t="s">
        <v>1146</v>
      </c>
      <c r="E107" s="101" t="s">
        <v>1147</v>
      </c>
      <c r="F107" s="101" t="s">
        <v>2106</v>
      </c>
      <c r="G107" s="101">
        <v>499</v>
      </c>
      <c r="H107" s="101">
        <v>25</v>
      </c>
      <c r="I107" s="101">
        <v>25</v>
      </c>
      <c r="J107" s="101">
        <v>0</v>
      </c>
      <c r="K107" s="101">
        <v>0</v>
      </c>
      <c r="L107" s="101">
        <v>0</v>
      </c>
      <c r="M107" s="101">
        <v>0</v>
      </c>
      <c r="N107" s="101" t="s">
        <v>3107</v>
      </c>
      <c r="O107" s="101">
        <v>474</v>
      </c>
      <c r="P107" s="101">
        <v>459</v>
      </c>
      <c r="Q107" s="101">
        <v>0</v>
      </c>
      <c r="R107" s="101">
        <v>0</v>
      </c>
      <c r="S107" s="101">
        <v>15</v>
      </c>
      <c r="T107" s="101">
        <v>575</v>
      </c>
    </row>
    <row r="108" s="99" customFormat="1" ht="20" customHeight="1" spans="1:20">
      <c r="A108" s="101" t="s">
        <v>1894</v>
      </c>
      <c r="B108" s="101" t="s">
        <v>3003</v>
      </c>
      <c r="C108" s="101" t="s">
        <v>3004</v>
      </c>
      <c r="D108" s="101" t="s">
        <v>1146</v>
      </c>
      <c r="E108" s="101" t="s">
        <v>1147</v>
      </c>
      <c r="F108" s="101" t="s">
        <v>2110</v>
      </c>
      <c r="G108" s="101">
        <v>9894</v>
      </c>
      <c r="H108" s="101">
        <v>7006</v>
      </c>
      <c r="I108" s="101">
        <v>11</v>
      </c>
      <c r="J108" s="101">
        <v>0</v>
      </c>
      <c r="K108" s="101">
        <v>6995</v>
      </c>
      <c r="L108" s="101">
        <v>0</v>
      </c>
      <c r="M108" s="101">
        <v>0</v>
      </c>
      <c r="N108" s="101" t="s">
        <v>3108</v>
      </c>
      <c r="O108" s="101">
        <v>2888</v>
      </c>
      <c r="P108" s="101">
        <v>2702</v>
      </c>
      <c r="Q108" s="101">
        <v>148</v>
      </c>
      <c r="R108" s="101">
        <v>0</v>
      </c>
      <c r="S108" s="101">
        <v>38</v>
      </c>
      <c r="T108" s="101">
        <v>2281</v>
      </c>
    </row>
    <row r="109" s="99" customFormat="1" ht="20" customHeight="1" spans="1:20">
      <c r="A109" s="101" t="s">
        <v>1498</v>
      </c>
      <c r="B109" s="101" t="s">
        <v>3003</v>
      </c>
      <c r="C109" s="101" t="s">
        <v>3004</v>
      </c>
      <c r="D109" s="101" t="s">
        <v>1146</v>
      </c>
      <c r="E109" s="101" t="s">
        <v>1147</v>
      </c>
      <c r="F109" s="101" t="s">
        <v>2124</v>
      </c>
      <c r="G109" s="101">
        <v>7184</v>
      </c>
      <c r="H109" s="101">
        <v>5508</v>
      </c>
      <c r="I109" s="101">
        <v>84</v>
      </c>
      <c r="J109" s="101">
        <v>0</v>
      </c>
      <c r="K109" s="101">
        <v>5424</v>
      </c>
      <c r="L109" s="101">
        <v>0</v>
      </c>
      <c r="M109" s="101">
        <v>0</v>
      </c>
      <c r="N109" s="101" t="s">
        <v>3109</v>
      </c>
      <c r="O109" s="101">
        <v>1676</v>
      </c>
      <c r="P109" s="101">
        <v>1413</v>
      </c>
      <c r="Q109" s="101">
        <v>243</v>
      </c>
      <c r="R109" s="101">
        <v>3</v>
      </c>
      <c r="S109" s="101">
        <v>17</v>
      </c>
      <c r="T109" s="101">
        <v>17</v>
      </c>
    </row>
    <row r="110" s="99" customFormat="1" ht="20" customHeight="1" spans="1:20">
      <c r="A110" s="101" t="s">
        <v>1617</v>
      </c>
      <c r="B110" s="101" t="s">
        <v>3003</v>
      </c>
      <c r="C110" s="101" t="s">
        <v>3004</v>
      </c>
      <c r="D110" s="101" t="s">
        <v>1146</v>
      </c>
      <c r="E110" s="101" t="s">
        <v>1147</v>
      </c>
      <c r="F110" s="101" t="s">
        <v>2133</v>
      </c>
      <c r="G110" s="101">
        <v>8556</v>
      </c>
      <c r="H110" s="101">
        <v>14</v>
      </c>
      <c r="I110" s="101">
        <v>12</v>
      </c>
      <c r="J110" s="101">
        <v>0</v>
      </c>
      <c r="K110" s="101">
        <v>2</v>
      </c>
      <c r="L110" s="101">
        <v>0</v>
      </c>
      <c r="M110" s="101">
        <v>0</v>
      </c>
      <c r="N110" s="101" t="s">
        <v>3110</v>
      </c>
      <c r="O110" s="101">
        <v>8542</v>
      </c>
      <c r="P110" s="101">
        <v>6699</v>
      </c>
      <c r="Q110" s="101">
        <v>26</v>
      </c>
      <c r="R110" s="101">
        <v>1807</v>
      </c>
      <c r="S110" s="101">
        <v>10</v>
      </c>
      <c r="T110" s="101">
        <v>22</v>
      </c>
    </row>
    <row r="111" s="99" customFormat="1" ht="20" customHeight="1" spans="1:20">
      <c r="A111" s="101" t="s">
        <v>2140</v>
      </c>
      <c r="B111" s="101" t="s">
        <v>3003</v>
      </c>
      <c r="C111" s="101" t="s">
        <v>3004</v>
      </c>
      <c r="D111" s="101" t="s">
        <v>1146</v>
      </c>
      <c r="E111" s="101" t="s">
        <v>1147</v>
      </c>
      <c r="F111" s="101" t="s">
        <v>2141</v>
      </c>
      <c r="G111" s="101">
        <v>11515</v>
      </c>
      <c r="H111" s="101">
        <v>7900</v>
      </c>
      <c r="I111" s="101">
        <v>26</v>
      </c>
      <c r="J111" s="101">
        <v>0</v>
      </c>
      <c r="K111" s="101">
        <v>7874</v>
      </c>
      <c r="L111" s="101">
        <v>0</v>
      </c>
      <c r="M111" s="101">
        <v>0</v>
      </c>
      <c r="N111" s="101" t="s">
        <v>3111</v>
      </c>
      <c r="O111" s="101">
        <v>3615</v>
      </c>
      <c r="P111" s="101">
        <v>3303</v>
      </c>
      <c r="Q111" s="101">
        <v>306</v>
      </c>
      <c r="R111" s="101">
        <v>6</v>
      </c>
      <c r="S111" s="101">
        <v>0</v>
      </c>
      <c r="T111" s="101">
        <v>0</v>
      </c>
    </row>
    <row r="112" s="99" customFormat="1" ht="20" customHeight="1" spans="1:20">
      <c r="A112" s="101" t="s">
        <v>2019</v>
      </c>
      <c r="B112" s="101" t="s">
        <v>3003</v>
      </c>
      <c r="C112" s="101" t="s">
        <v>3004</v>
      </c>
      <c r="D112" s="101" t="s">
        <v>1146</v>
      </c>
      <c r="E112" s="101" t="s">
        <v>1147</v>
      </c>
      <c r="F112" s="101" t="s">
        <v>2149</v>
      </c>
      <c r="G112" s="101">
        <v>8029</v>
      </c>
      <c r="H112" s="101">
        <v>6390</v>
      </c>
      <c r="I112" s="101">
        <v>137</v>
      </c>
      <c r="J112" s="101">
        <v>0</v>
      </c>
      <c r="K112" s="101">
        <v>6253</v>
      </c>
      <c r="L112" s="101">
        <v>0</v>
      </c>
      <c r="M112" s="101">
        <v>0</v>
      </c>
      <c r="N112" s="101" t="s">
        <v>3112</v>
      </c>
      <c r="O112" s="101">
        <v>1639</v>
      </c>
      <c r="P112" s="101">
        <v>1280</v>
      </c>
      <c r="Q112" s="101">
        <v>328</v>
      </c>
      <c r="R112" s="101">
        <v>1</v>
      </c>
      <c r="S112" s="101">
        <v>30</v>
      </c>
      <c r="T112" s="101">
        <v>1408</v>
      </c>
    </row>
    <row r="113" s="99" customFormat="1" ht="20" customHeight="1" spans="1:20">
      <c r="A113" s="101" t="s">
        <v>1925</v>
      </c>
      <c r="B113" s="101" t="s">
        <v>3003</v>
      </c>
      <c r="C113" s="101" t="s">
        <v>3004</v>
      </c>
      <c r="D113" s="101" t="s">
        <v>1146</v>
      </c>
      <c r="E113" s="101" t="s">
        <v>1147</v>
      </c>
      <c r="F113" s="101" t="s">
        <v>2159</v>
      </c>
      <c r="G113" s="101">
        <v>14117</v>
      </c>
      <c r="H113" s="101">
        <v>10213</v>
      </c>
      <c r="I113" s="101">
        <v>147</v>
      </c>
      <c r="J113" s="101">
        <v>0</v>
      </c>
      <c r="K113" s="101">
        <v>10066</v>
      </c>
      <c r="L113" s="101">
        <v>0</v>
      </c>
      <c r="M113" s="101">
        <v>0</v>
      </c>
      <c r="N113" s="101" t="s">
        <v>3113</v>
      </c>
      <c r="O113" s="101">
        <v>3904</v>
      </c>
      <c r="P113" s="101">
        <v>3633</v>
      </c>
      <c r="Q113" s="101">
        <v>221</v>
      </c>
      <c r="R113" s="101">
        <v>0</v>
      </c>
      <c r="S113" s="101">
        <v>50</v>
      </c>
      <c r="T113" s="101">
        <v>2205</v>
      </c>
    </row>
    <row r="114" s="99" customFormat="1" ht="20" customHeight="1" spans="1:20">
      <c r="A114" s="101" t="s">
        <v>1370</v>
      </c>
      <c r="B114" s="101" t="s">
        <v>3003</v>
      </c>
      <c r="C114" s="101" t="s">
        <v>3004</v>
      </c>
      <c r="D114" s="101" t="s">
        <v>1146</v>
      </c>
      <c r="E114" s="101" t="s">
        <v>1147</v>
      </c>
      <c r="F114" s="101" t="s">
        <v>2171</v>
      </c>
      <c r="G114" s="101">
        <v>10694</v>
      </c>
      <c r="H114" s="101">
        <v>9804</v>
      </c>
      <c r="I114" s="101">
        <v>19</v>
      </c>
      <c r="J114" s="101">
        <v>0</v>
      </c>
      <c r="K114" s="101">
        <v>9785</v>
      </c>
      <c r="L114" s="101">
        <v>0</v>
      </c>
      <c r="M114" s="101">
        <v>0</v>
      </c>
      <c r="N114" s="101" t="s">
        <v>3114</v>
      </c>
      <c r="O114" s="101">
        <v>890</v>
      </c>
      <c r="P114" s="101">
        <v>562</v>
      </c>
      <c r="Q114" s="101">
        <v>322</v>
      </c>
      <c r="R114" s="101">
        <v>0</v>
      </c>
      <c r="S114" s="101">
        <v>6</v>
      </c>
      <c r="T114" s="101">
        <v>276</v>
      </c>
    </row>
    <row r="115" s="99" customFormat="1" ht="20" customHeight="1" spans="1:20">
      <c r="A115" s="101" t="s">
        <v>1767</v>
      </c>
      <c r="B115" s="101" t="s">
        <v>3003</v>
      </c>
      <c r="C115" s="101" t="s">
        <v>3004</v>
      </c>
      <c r="D115" s="101" t="s">
        <v>1146</v>
      </c>
      <c r="E115" s="101" t="s">
        <v>1147</v>
      </c>
      <c r="F115" s="101" t="s">
        <v>2180</v>
      </c>
      <c r="G115" s="101">
        <v>2527</v>
      </c>
      <c r="H115" s="101">
        <v>6</v>
      </c>
      <c r="I115" s="101">
        <v>6</v>
      </c>
      <c r="J115" s="101">
        <v>0</v>
      </c>
      <c r="K115" s="101">
        <v>0</v>
      </c>
      <c r="L115" s="101">
        <v>0</v>
      </c>
      <c r="M115" s="101">
        <v>0</v>
      </c>
      <c r="N115" s="101" t="s">
        <v>3115</v>
      </c>
      <c r="O115" s="101">
        <v>2521</v>
      </c>
      <c r="P115" s="101">
        <v>2521</v>
      </c>
      <c r="Q115" s="101">
        <v>0</v>
      </c>
      <c r="R115" s="101">
        <v>0</v>
      </c>
      <c r="S115" s="101">
        <v>0</v>
      </c>
      <c r="T115" s="101">
        <v>0</v>
      </c>
    </row>
    <row r="116" s="99" customFormat="1" ht="20" customHeight="1" spans="1:20">
      <c r="A116" s="101" t="s">
        <v>1369</v>
      </c>
      <c r="B116" s="101" t="s">
        <v>3003</v>
      </c>
      <c r="C116" s="101" t="s">
        <v>3004</v>
      </c>
      <c r="D116" s="101" t="s">
        <v>1146</v>
      </c>
      <c r="E116" s="101" t="s">
        <v>1147</v>
      </c>
      <c r="F116" s="101" t="s">
        <v>2183</v>
      </c>
      <c r="G116" s="101">
        <v>3392</v>
      </c>
      <c r="H116" s="101">
        <v>1047</v>
      </c>
      <c r="I116" s="101">
        <v>39</v>
      </c>
      <c r="J116" s="101">
        <v>0</v>
      </c>
      <c r="K116" s="101">
        <v>1008</v>
      </c>
      <c r="L116" s="101">
        <v>0</v>
      </c>
      <c r="M116" s="101">
        <v>0</v>
      </c>
      <c r="N116" s="101" t="s">
        <v>3116</v>
      </c>
      <c r="O116" s="101">
        <v>2345</v>
      </c>
      <c r="P116" s="101">
        <v>2277</v>
      </c>
      <c r="Q116" s="101">
        <v>47</v>
      </c>
      <c r="R116" s="101">
        <v>21</v>
      </c>
      <c r="S116" s="101">
        <v>0</v>
      </c>
      <c r="T116" s="101">
        <v>0</v>
      </c>
    </row>
    <row r="117" s="99" customFormat="1" ht="20" customHeight="1" spans="1:20">
      <c r="A117" s="101" t="s">
        <v>1320</v>
      </c>
      <c r="B117" s="101" t="s">
        <v>3003</v>
      </c>
      <c r="C117" s="101" t="s">
        <v>3004</v>
      </c>
      <c r="D117" s="101" t="s">
        <v>1146</v>
      </c>
      <c r="E117" s="101" t="s">
        <v>1147</v>
      </c>
      <c r="F117" s="101" t="s">
        <v>2191</v>
      </c>
      <c r="G117" s="101">
        <v>17430</v>
      </c>
      <c r="H117" s="101">
        <v>10891</v>
      </c>
      <c r="I117" s="101">
        <v>64</v>
      </c>
      <c r="J117" s="101">
        <v>0</v>
      </c>
      <c r="K117" s="101">
        <v>10827</v>
      </c>
      <c r="L117" s="101">
        <v>0</v>
      </c>
      <c r="M117" s="101">
        <v>0</v>
      </c>
      <c r="N117" s="101" t="s">
        <v>3117</v>
      </c>
      <c r="O117" s="101">
        <v>6539</v>
      </c>
      <c r="P117" s="101">
        <v>5970</v>
      </c>
      <c r="Q117" s="101">
        <v>429</v>
      </c>
      <c r="R117" s="101">
        <v>140</v>
      </c>
      <c r="S117" s="101">
        <v>0</v>
      </c>
      <c r="T117" s="101">
        <v>0</v>
      </c>
    </row>
    <row r="118" s="99" customFormat="1" ht="20" customHeight="1" spans="1:20">
      <c r="A118" s="101" t="s">
        <v>1227</v>
      </c>
      <c r="B118" s="101" t="s">
        <v>3003</v>
      </c>
      <c r="C118" s="101" t="s">
        <v>3004</v>
      </c>
      <c r="D118" s="101" t="s">
        <v>1146</v>
      </c>
      <c r="E118" s="101" t="s">
        <v>1147</v>
      </c>
      <c r="F118" s="101" t="s">
        <v>2201</v>
      </c>
      <c r="G118" s="101">
        <v>16311</v>
      </c>
      <c r="H118" s="101">
        <v>11450</v>
      </c>
      <c r="I118" s="101">
        <v>218</v>
      </c>
      <c r="J118" s="101">
        <v>0</v>
      </c>
      <c r="K118" s="101">
        <v>11232</v>
      </c>
      <c r="L118" s="101">
        <v>0</v>
      </c>
      <c r="M118" s="101">
        <v>0</v>
      </c>
      <c r="N118" s="101" t="s">
        <v>3118</v>
      </c>
      <c r="O118" s="101">
        <v>4861</v>
      </c>
      <c r="P118" s="101">
        <v>4043</v>
      </c>
      <c r="Q118" s="101">
        <v>507</v>
      </c>
      <c r="R118" s="101">
        <v>310</v>
      </c>
      <c r="S118" s="101">
        <v>1</v>
      </c>
      <c r="T118" s="101">
        <v>1</v>
      </c>
    </row>
    <row r="119" s="99" customFormat="1" ht="20" customHeight="1" spans="1:20">
      <c r="A119" s="101" t="s">
        <v>2211</v>
      </c>
      <c r="B119" s="101" t="s">
        <v>3003</v>
      </c>
      <c r="C119" s="101" t="s">
        <v>3004</v>
      </c>
      <c r="D119" s="101" t="s">
        <v>1146</v>
      </c>
      <c r="E119" s="101" t="s">
        <v>1147</v>
      </c>
      <c r="F119" s="101" t="s">
        <v>2212</v>
      </c>
      <c r="G119" s="101">
        <v>14772</v>
      </c>
      <c r="H119" s="101">
        <v>12584</v>
      </c>
      <c r="I119" s="101">
        <v>113</v>
      </c>
      <c r="J119" s="101">
        <v>0</v>
      </c>
      <c r="K119" s="101">
        <v>12471</v>
      </c>
      <c r="L119" s="101">
        <v>0</v>
      </c>
      <c r="M119" s="101">
        <v>0</v>
      </c>
      <c r="N119" s="101" t="s">
        <v>3119</v>
      </c>
      <c r="O119" s="101">
        <v>2188</v>
      </c>
      <c r="P119" s="101">
        <v>1786</v>
      </c>
      <c r="Q119" s="101">
        <v>382</v>
      </c>
      <c r="R119" s="101">
        <v>20</v>
      </c>
      <c r="S119" s="101">
        <v>0</v>
      </c>
      <c r="T119" s="101">
        <v>0</v>
      </c>
    </row>
    <row r="120" s="99" customFormat="1" ht="20" customHeight="1" spans="1:20">
      <c r="A120" s="101" t="s">
        <v>1780</v>
      </c>
      <c r="B120" s="101" t="s">
        <v>3003</v>
      </c>
      <c r="C120" s="101" t="s">
        <v>3004</v>
      </c>
      <c r="D120" s="101" t="s">
        <v>1146</v>
      </c>
      <c r="E120" s="101" t="s">
        <v>1147</v>
      </c>
      <c r="F120" s="101" t="s">
        <v>2222</v>
      </c>
      <c r="G120" s="101">
        <v>10255</v>
      </c>
      <c r="H120" s="101">
        <v>9738</v>
      </c>
      <c r="I120" s="101">
        <v>118</v>
      </c>
      <c r="J120" s="101">
        <v>0</v>
      </c>
      <c r="K120" s="101">
        <v>9620</v>
      </c>
      <c r="L120" s="101">
        <v>0</v>
      </c>
      <c r="M120" s="101">
        <v>0</v>
      </c>
      <c r="N120" s="101" t="s">
        <v>3120</v>
      </c>
      <c r="O120" s="101">
        <v>517</v>
      </c>
      <c r="P120" s="101">
        <v>85</v>
      </c>
      <c r="Q120" s="101">
        <v>431</v>
      </c>
      <c r="R120" s="101">
        <v>1</v>
      </c>
      <c r="S120" s="101">
        <v>0</v>
      </c>
      <c r="T120" s="101">
        <v>0</v>
      </c>
    </row>
    <row r="121" s="99" customFormat="1" ht="20" customHeight="1" spans="1:20">
      <c r="A121" s="101" t="s">
        <v>1334</v>
      </c>
      <c r="B121" s="101" t="s">
        <v>3003</v>
      </c>
      <c r="C121" s="101" t="s">
        <v>3004</v>
      </c>
      <c r="D121" s="101" t="s">
        <v>1146</v>
      </c>
      <c r="E121" s="101" t="s">
        <v>1147</v>
      </c>
      <c r="F121" s="101" t="s">
        <v>2229</v>
      </c>
      <c r="G121" s="101">
        <v>11972</v>
      </c>
      <c r="H121" s="101">
        <v>7744</v>
      </c>
      <c r="I121" s="101">
        <v>50</v>
      </c>
      <c r="J121" s="101">
        <v>0</v>
      </c>
      <c r="K121" s="101">
        <v>7694</v>
      </c>
      <c r="L121" s="101">
        <v>0</v>
      </c>
      <c r="M121" s="101">
        <v>0</v>
      </c>
      <c r="N121" s="101" t="s">
        <v>3121</v>
      </c>
      <c r="O121" s="101">
        <v>4228</v>
      </c>
      <c r="P121" s="101">
        <v>4049</v>
      </c>
      <c r="Q121" s="101">
        <v>130</v>
      </c>
      <c r="R121" s="101">
        <v>0</v>
      </c>
      <c r="S121" s="101">
        <v>49</v>
      </c>
      <c r="T121" s="101">
        <v>1114</v>
      </c>
    </row>
    <row r="122" s="99" customFormat="1" ht="20" customHeight="1" spans="1:20">
      <c r="A122" s="101" t="s">
        <v>1551</v>
      </c>
      <c r="B122" s="101" t="s">
        <v>3003</v>
      </c>
      <c r="C122" s="101" t="s">
        <v>3004</v>
      </c>
      <c r="D122" s="101" t="s">
        <v>1146</v>
      </c>
      <c r="E122" s="101" t="s">
        <v>1147</v>
      </c>
      <c r="F122" s="101" t="s">
        <v>2240</v>
      </c>
      <c r="G122" s="101">
        <v>6806</v>
      </c>
      <c r="H122" s="101">
        <v>4806</v>
      </c>
      <c r="I122" s="101">
        <v>43</v>
      </c>
      <c r="J122" s="101">
        <v>0</v>
      </c>
      <c r="K122" s="101">
        <v>4763</v>
      </c>
      <c r="L122" s="101">
        <v>0</v>
      </c>
      <c r="M122" s="101">
        <v>0</v>
      </c>
      <c r="N122" s="101" t="s">
        <v>3122</v>
      </c>
      <c r="O122" s="101">
        <v>2000</v>
      </c>
      <c r="P122" s="101">
        <v>1916</v>
      </c>
      <c r="Q122" s="101">
        <v>73</v>
      </c>
      <c r="R122" s="101">
        <v>0</v>
      </c>
      <c r="S122" s="101">
        <v>11</v>
      </c>
      <c r="T122" s="101">
        <v>430</v>
      </c>
    </row>
    <row r="123" s="99" customFormat="1" ht="20" customHeight="1" spans="1:20">
      <c r="A123" s="101" t="s">
        <v>2250</v>
      </c>
      <c r="B123" s="101" t="s">
        <v>3003</v>
      </c>
      <c r="C123" s="101" t="s">
        <v>3004</v>
      </c>
      <c r="D123" s="101" t="s">
        <v>1146</v>
      </c>
      <c r="E123" s="101" t="s">
        <v>1147</v>
      </c>
      <c r="F123" s="101" t="s">
        <v>2251</v>
      </c>
      <c r="G123" s="101">
        <v>17299</v>
      </c>
      <c r="H123" s="101">
        <v>13761</v>
      </c>
      <c r="I123" s="101">
        <v>65</v>
      </c>
      <c r="J123" s="101">
        <v>0</v>
      </c>
      <c r="K123" s="101">
        <v>13696</v>
      </c>
      <c r="L123" s="101">
        <v>0</v>
      </c>
      <c r="M123" s="101">
        <v>0</v>
      </c>
      <c r="N123" s="101" t="s">
        <v>3123</v>
      </c>
      <c r="O123" s="101">
        <v>3538</v>
      </c>
      <c r="P123" s="101">
        <v>3200</v>
      </c>
      <c r="Q123" s="101">
        <v>226</v>
      </c>
      <c r="R123" s="101">
        <v>0</v>
      </c>
      <c r="S123" s="101">
        <v>112</v>
      </c>
      <c r="T123" s="101">
        <v>4422</v>
      </c>
    </row>
    <row r="124" s="99" customFormat="1" ht="20" customHeight="1" spans="1:20">
      <c r="A124" s="101" t="s">
        <v>1697</v>
      </c>
      <c r="B124" s="101" t="s">
        <v>3003</v>
      </c>
      <c r="C124" s="101" t="s">
        <v>3004</v>
      </c>
      <c r="D124" s="101" t="s">
        <v>1146</v>
      </c>
      <c r="E124" s="101" t="s">
        <v>1147</v>
      </c>
      <c r="F124" s="101" t="s">
        <v>2262</v>
      </c>
      <c r="G124" s="101">
        <v>13526</v>
      </c>
      <c r="H124" s="101">
        <v>12311</v>
      </c>
      <c r="I124" s="101">
        <v>20</v>
      </c>
      <c r="J124" s="101">
        <v>0</v>
      </c>
      <c r="K124" s="101">
        <v>12291</v>
      </c>
      <c r="L124" s="101">
        <v>0</v>
      </c>
      <c r="M124" s="101">
        <v>0</v>
      </c>
      <c r="N124" s="101" t="s">
        <v>3124</v>
      </c>
      <c r="O124" s="101">
        <v>1215</v>
      </c>
      <c r="P124" s="101">
        <v>1003</v>
      </c>
      <c r="Q124" s="101">
        <v>209</v>
      </c>
      <c r="R124" s="101">
        <v>0</v>
      </c>
      <c r="S124" s="101">
        <v>3</v>
      </c>
      <c r="T124" s="101">
        <v>50</v>
      </c>
    </row>
    <row r="125" s="99" customFormat="1" ht="20" customHeight="1" spans="1:20">
      <c r="A125" s="101" t="s">
        <v>2270</v>
      </c>
      <c r="B125" s="101" t="s">
        <v>3003</v>
      </c>
      <c r="C125" s="101" t="s">
        <v>3004</v>
      </c>
      <c r="D125" s="101" t="s">
        <v>1146</v>
      </c>
      <c r="E125" s="101" t="s">
        <v>1147</v>
      </c>
      <c r="F125" s="101" t="s">
        <v>2271</v>
      </c>
      <c r="G125" s="101">
        <v>13440</v>
      </c>
      <c r="H125" s="101">
        <v>10964</v>
      </c>
      <c r="I125" s="101">
        <v>74</v>
      </c>
      <c r="J125" s="101">
        <v>0</v>
      </c>
      <c r="K125" s="101">
        <v>10890</v>
      </c>
      <c r="L125" s="101">
        <v>0</v>
      </c>
      <c r="M125" s="101">
        <v>0</v>
      </c>
      <c r="N125" s="101" t="s">
        <v>3125</v>
      </c>
      <c r="O125" s="101">
        <v>2476</v>
      </c>
      <c r="P125" s="101">
        <v>2167</v>
      </c>
      <c r="Q125" s="101">
        <v>302</v>
      </c>
      <c r="R125" s="101">
        <v>7</v>
      </c>
      <c r="S125" s="101">
        <v>0</v>
      </c>
      <c r="T125" s="101">
        <v>0</v>
      </c>
    </row>
    <row r="126" s="99" customFormat="1" ht="20" customHeight="1" spans="1:20">
      <c r="A126" s="101" t="s">
        <v>1244</v>
      </c>
      <c r="B126" s="101" t="s">
        <v>3003</v>
      </c>
      <c r="C126" s="101" t="s">
        <v>3004</v>
      </c>
      <c r="D126" s="101" t="s">
        <v>1146</v>
      </c>
      <c r="E126" s="101" t="s">
        <v>1147</v>
      </c>
      <c r="F126" s="101" t="s">
        <v>2282</v>
      </c>
      <c r="G126" s="101">
        <v>2930</v>
      </c>
      <c r="H126" s="101">
        <v>131</v>
      </c>
      <c r="I126" s="101">
        <v>127</v>
      </c>
      <c r="J126" s="101">
        <v>0</v>
      </c>
      <c r="K126" s="101">
        <v>4</v>
      </c>
      <c r="L126" s="101">
        <v>0</v>
      </c>
      <c r="M126" s="101">
        <v>0</v>
      </c>
      <c r="N126" s="101" t="s">
        <v>3126</v>
      </c>
      <c r="O126" s="101">
        <v>2799</v>
      </c>
      <c r="P126" s="101">
        <v>1846</v>
      </c>
      <c r="Q126" s="101">
        <v>97</v>
      </c>
      <c r="R126" s="101">
        <v>856</v>
      </c>
      <c r="S126" s="101">
        <v>0</v>
      </c>
      <c r="T126" s="101">
        <v>0</v>
      </c>
    </row>
    <row r="127" s="99" customFormat="1" ht="20" customHeight="1" spans="1:20">
      <c r="A127" s="101" t="s">
        <v>1755</v>
      </c>
      <c r="B127" s="101" t="s">
        <v>3003</v>
      </c>
      <c r="C127" s="101" t="s">
        <v>3004</v>
      </c>
      <c r="D127" s="101" t="s">
        <v>1146</v>
      </c>
      <c r="E127" s="101" t="s">
        <v>1147</v>
      </c>
      <c r="F127" s="101" t="s">
        <v>2289</v>
      </c>
      <c r="G127" s="101">
        <v>936</v>
      </c>
      <c r="H127" s="101">
        <v>147</v>
      </c>
      <c r="I127" s="101">
        <v>140</v>
      </c>
      <c r="J127" s="101">
        <v>0</v>
      </c>
      <c r="K127" s="101">
        <v>7</v>
      </c>
      <c r="L127" s="101">
        <v>0</v>
      </c>
      <c r="M127" s="101">
        <v>0</v>
      </c>
      <c r="N127" s="101" t="s">
        <v>3127</v>
      </c>
      <c r="O127" s="101">
        <v>789</v>
      </c>
      <c r="P127" s="101">
        <v>758</v>
      </c>
      <c r="Q127" s="101">
        <v>6</v>
      </c>
      <c r="R127" s="101">
        <v>0</v>
      </c>
      <c r="S127" s="101">
        <v>25</v>
      </c>
      <c r="T127" s="101">
        <v>1383</v>
      </c>
    </row>
    <row r="128" s="99" customFormat="1" ht="20" customHeight="1" spans="1:20">
      <c r="A128" s="101" t="s">
        <v>1259</v>
      </c>
      <c r="B128" s="101" t="s">
        <v>3003</v>
      </c>
      <c r="C128" s="101" t="s">
        <v>3004</v>
      </c>
      <c r="D128" s="101" t="s">
        <v>1146</v>
      </c>
      <c r="E128" s="101" t="s">
        <v>1147</v>
      </c>
      <c r="F128" s="101" t="s">
        <v>2296</v>
      </c>
      <c r="G128" s="101">
        <v>8669</v>
      </c>
      <c r="H128" s="101">
        <v>6035</v>
      </c>
      <c r="I128" s="101">
        <v>16</v>
      </c>
      <c r="J128" s="101">
        <v>0</v>
      </c>
      <c r="K128" s="101">
        <v>6019</v>
      </c>
      <c r="L128" s="101">
        <v>0</v>
      </c>
      <c r="M128" s="101">
        <v>0</v>
      </c>
      <c r="N128" s="101" t="s">
        <v>3128</v>
      </c>
      <c r="O128" s="101">
        <v>2634</v>
      </c>
      <c r="P128" s="101">
        <v>2486</v>
      </c>
      <c r="Q128" s="101">
        <v>122</v>
      </c>
      <c r="R128" s="101">
        <v>0</v>
      </c>
      <c r="S128" s="101">
        <v>26</v>
      </c>
      <c r="T128" s="101">
        <v>1592</v>
      </c>
    </row>
    <row r="129" s="99" customFormat="1" ht="20" customHeight="1" spans="1:20">
      <c r="A129" s="101" t="s">
        <v>1986</v>
      </c>
      <c r="B129" s="101" t="s">
        <v>3003</v>
      </c>
      <c r="C129" s="101" t="s">
        <v>3004</v>
      </c>
      <c r="D129" s="101" t="s">
        <v>1146</v>
      </c>
      <c r="E129" s="101" t="s">
        <v>1147</v>
      </c>
      <c r="F129" s="101" t="s">
        <v>2302</v>
      </c>
      <c r="G129" s="101">
        <v>6855</v>
      </c>
      <c r="H129" s="101">
        <v>4536</v>
      </c>
      <c r="I129" s="101">
        <v>49</v>
      </c>
      <c r="J129" s="101">
        <v>0</v>
      </c>
      <c r="K129" s="101">
        <v>4487</v>
      </c>
      <c r="L129" s="101">
        <v>0</v>
      </c>
      <c r="M129" s="101">
        <v>0</v>
      </c>
      <c r="N129" s="101" t="s">
        <v>3129</v>
      </c>
      <c r="O129" s="101">
        <v>2319</v>
      </c>
      <c r="P129" s="101">
        <v>2201</v>
      </c>
      <c r="Q129" s="101">
        <v>102</v>
      </c>
      <c r="R129" s="101">
        <v>0</v>
      </c>
      <c r="S129" s="101">
        <v>16</v>
      </c>
      <c r="T129" s="101">
        <v>922</v>
      </c>
    </row>
    <row r="130" s="99" customFormat="1" ht="20" customHeight="1" spans="1:20">
      <c r="A130" s="101" t="s">
        <v>2309</v>
      </c>
      <c r="B130" s="101" t="s">
        <v>3003</v>
      </c>
      <c r="C130" s="101" t="s">
        <v>3004</v>
      </c>
      <c r="D130" s="101" t="s">
        <v>1146</v>
      </c>
      <c r="E130" s="101" t="s">
        <v>1147</v>
      </c>
      <c r="F130" s="101" t="s">
        <v>2310</v>
      </c>
      <c r="G130" s="101">
        <v>3219</v>
      </c>
      <c r="H130" s="101">
        <v>2838</v>
      </c>
      <c r="I130" s="101">
        <v>24</v>
      </c>
      <c r="J130" s="101">
        <v>0</v>
      </c>
      <c r="K130" s="101">
        <v>2814</v>
      </c>
      <c r="L130" s="101">
        <v>0</v>
      </c>
      <c r="M130" s="101">
        <v>0</v>
      </c>
      <c r="N130" s="101" t="s">
        <v>3130</v>
      </c>
      <c r="O130" s="101">
        <v>381</v>
      </c>
      <c r="P130" s="101">
        <v>307</v>
      </c>
      <c r="Q130" s="101">
        <v>71</v>
      </c>
      <c r="R130" s="101">
        <v>0</v>
      </c>
      <c r="S130" s="101">
        <v>3</v>
      </c>
      <c r="T130" s="101">
        <v>198</v>
      </c>
    </row>
    <row r="131" s="99" customFormat="1" ht="20" customHeight="1" spans="1:20">
      <c r="A131" s="101" t="s">
        <v>1742</v>
      </c>
      <c r="B131" s="101" t="s">
        <v>3003</v>
      </c>
      <c r="C131" s="101" t="s">
        <v>3004</v>
      </c>
      <c r="D131" s="101" t="s">
        <v>1146</v>
      </c>
      <c r="E131" s="101" t="s">
        <v>1147</v>
      </c>
      <c r="F131" s="101" t="s">
        <v>2317</v>
      </c>
      <c r="G131" s="101">
        <v>11973</v>
      </c>
      <c r="H131" s="101">
        <v>9419</v>
      </c>
      <c r="I131" s="101">
        <v>55</v>
      </c>
      <c r="J131" s="101">
        <v>0</v>
      </c>
      <c r="K131" s="101">
        <v>9364</v>
      </c>
      <c r="L131" s="101">
        <v>0</v>
      </c>
      <c r="M131" s="101">
        <v>0</v>
      </c>
      <c r="N131" s="101" t="s">
        <v>3131</v>
      </c>
      <c r="O131" s="101">
        <v>2554</v>
      </c>
      <c r="P131" s="101">
        <v>2186</v>
      </c>
      <c r="Q131" s="101">
        <v>326</v>
      </c>
      <c r="R131" s="101">
        <v>7</v>
      </c>
      <c r="S131" s="101">
        <v>35</v>
      </c>
      <c r="T131" s="101">
        <v>2225</v>
      </c>
    </row>
    <row r="132" s="99" customFormat="1" ht="20" customHeight="1" spans="1:20">
      <c r="A132" s="101" t="s">
        <v>1537</v>
      </c>
      <c r="B132" s="101" t="s">
        <v>3003</v>
      </c>
      <c r="C132" s="101" t="s">
        <v>3004</v>
      </c>
      <c r="D132" s="101" t="s">
        <v>1146</v>
      </c>
      <c r="E132" s="101" t="s">
        <v>1147</v>
      </c>
      <c r="F132" s="101" t="s">
        <v>2326</v>
      </c>
      <c r="G132" s="101">
        <v>320</v>
      </c>
      <c r="H132" s="101">
        <v>198</v>
      </c>
      <c r="I132" s="101">
        <v>26</v>
      </c>
      <c r="J132" s="101">
        <v>0</v>
      </c>
      <c r="K132" s="101">
        <v>172</v>
      </c>
      <c r="L132" s="101">
        <v>0</v>
      </c>
      <c r="M132" s="101">
        <v>0</v>
      </c>
      <c r="N132" s="101" t="s">
        <v>3132</v>
      </c>
      <c r="O132" s="101">
        <v>122</v>
      </c>
      <c r="P132" s="101">
        <v>114</v>
      </c>
      <c r="Q132" s="101">
        <v>8</v>
      </c>
      <c r="R132" s="101">
        <v>0</v>
      </c>
      <c r="S132" s="101">
        <v>0</v>
      </c>
      <c r="T132" s="101">
        <v>0</v>
      </c>
    </row>
    <row r="133" s="99" customFormat="1" ht="20" customHeight="1" spans="1:20">
      <c r="A133" s="101" t="s">
        <v>1535</v>
      </c>
      <c r="B133" s="101" t="s">
        <v>3003</v>
      </c>
      <c r="C133" s="101" t="s">
        <v>3004</v>
      </c>
      <c r="D133" s="101" t="s">
        <v>1146</v>
      </c>
      <c r="E133" s="101" t="s">
        <v>1147</v>
      </c>
      <c r="F133" s="101" t="s">
        <v>2330</v>
      </c>
      <c r="G133" s="101">
        <v>2065</v>
      </c>
      <c r="H133" s="101">
        <v>108</v>
      </c>
      <c r="I133" s="101">
        <v>108</v>
      </c>
      <c r="J133" s="101">
        <v>0</v>
      </c>
      <c r="K133" s="101">
        <v>0</v>
      </c>
      <c r="L133" s="101">
        <v>0</v>
      </c>
      <c r="M133" s="101">
        <v>0</v>
      </c>
      <c r="N133" s="101" t="s">
        <v>3133</v>
      </c>
      <c r="O133" s="101">
        <v>1957</v>
      </c>
      <c r="P133" s="101">
        <v>1934</v>
      </c>
      <c r="Q133" s="101">
        <v>0</v>
      </c>
      <c r="R133" s="101">
        <v>0</v>
      </c>
      <c r="S133" s="101">
        <v>23</v>
      </c>
      <c r="T133" s="101">
        <v>23</v>
      </c>
    </row>
    <row r="134" s="99" customFormat="1" ht="20" customHeight="1" spans="1:20">
      <c r="A134" s="101" t="s">
        <v>2216</v>
      </c>
      <c r="B134" s="101" t="s">
        <v>3003</v>
      </c>
      <c r="C134" s="101" t="s">
        <v>3004</v>
      </c>
      <c r="D134" s="101" t="s">
        <v>1146</v>
      </c>
      <c r="E134" s="101" t="s">
        <v>1147</v>
      </c>
      <c r="F134" s="101" t="s">
        <v>2334</v>
      </c>
      <c r="G134" s="101">
        <v>7545</v>
      </c>
      <c r="H134" s="101">
        <v>15</v>
      </c>
      <c r="I134" s="101">
        <v>13</v>
      </c>
      <c r="J134" s="101">
        <v>0</v>
      </c>
      <c r="K134" s="101">
        <v>2</v>
      </c>
      <c r="L134" s="101">
        <v>0</v>
      </c>
      <c r="M134" s="101">
        <v>0</v>
      </c>
      <c r="N134" s="101" t="s">
        <v>3134</v>
      </c>
      <c r="O134" s="101">
        <v>7530</v>
      </c>
      <c r="P134" s="101">
        <v>6392</v>
      </c>
      <c r="Q134" s="101">
        <v>28</v>
      </c>
      <c r="R134" s="101">
        <v>1103</v>
      </c>
      <c r="S134" s="101">
        <v>7</v>
      </c>
      <c r="T134" s="101">
        <v>60</v>
      </c>
    </row>
    <row r="135" s="99" customFormat="1" ht="20" customHeight="1" spans="1:20">
      <c r="A135" s="101" t="s">
        <v>2341</v>
      </c>
      <c r="B135" s="101" t="s">
        <v>3003</v>
      </c>
      <c r="C135" s="101" t="s">
        <v>3004</v>
      </c>
      <c r="D135" s="101" t="s">
        <v>1146</v>
      </c>
      <c r="E135" s="101" t="s">
        <v>1147</v>
      </c>
      <c r="F135" s="101" t="s">
        <v>2342</v>
      </c>
      <c r="G135" s="101">
        <v>7748</v>
      </c>
      <c r="H135" s="101">
        <v>5148</v>
      </c>
      <c r="I135" s="101">
        <v>1</v>
      </c>
      <c r="J135" s="101">
        <v>0</v>
      </c>
      <c r="K135" s="101">
        <v>5147</v>
      </c>
      <c r="L135" s="101">
        <v>0</v>
      </c>
      <c r="M135" s="101">
        <v>0</v>
      </c>
      <c r="N135" s="101" t="s">
        <v>3135</v>
      </c>
      <c r="O135" s="101">
        <v>2600</v>
      </c>
      <c r="P135" s="101">
        <v>2358</v>
      </c>
      <c r="Q135" s="101">
        <v>242</v>
      </c>
      <c r="R135" s="101">
        <v>0</v>
      </c>
      <c r="S135" s="101">
        <v>0</v>
      </c>
      <c r="T135" s="101">
        <v>0</v>
      </c>
    </row>
    <row r="136" s="99" customFormat="1" ht="20" customHeight="1" spans="1:20">
      <c r="A136" s="101" t="s">
        <v>1507</v>
      </c>
      <c r="B136" s="101" t="s">
        <v>3003</v>
      </c>
      <c r="C136" s="101" t="s">
        <v>3004</v>
      </c>
      <c r="D136" s="101" t="s">
        <v>1146</v>
      </c>
      <c r="E136" s="101" t="s">
        <v>1147</v>
      </c>
      <c r="F136" s="101" t="s">
        <v>2350</v>
      </c>
      <c r="G136" s="101">
        <v>9092</v>
      </c>
      <c r="H136" s="101">
        <v>7939</v>
      </c>
      <c r="I136" s="101">
        <v>197</v>
      </c>
      <c r="J136" s="101">
        <v>0</v>
      </c>
      <c r="K136" s="101">
        <v>7742</v>
      </c>
      <c r="L136" s="101">
        <v>0</v>
      </c>
      <c r="M136" s="101">
        <v>0</v>
      </c>
      <c r="N136" s="101" t="s">
        <v>3136</v>
      </c>
      <c r="O136" s="101">
        <v>1153</v>
      </c>
      <c r="P136" s="101">
        <v>764</v>
      </c>
      <c r="Q136" s="101">
        <v>389</v>
      </c>
      <c r="R136" s="101">
        <v>0</v>
      </c>
      <c r="S136" s="101">
        <v>0</v>
      </c>
      <c r="T136" s="101">
        <v>0</v>
      </c>
    </row>
    <row r="137" s="99" customFormat="1" ht="20" customHeight="1" spans="1:20">
      <c r="A137" s="101" t="s">
        <v>2260</v>
      </c>
      <c r="B137" s="101" t="s">
        <v>3003</v>
      </c>
      <c r="C137" s="101" t="s">
        <v>3004</v>
      </c>
      <c r="D137" s="101" t="s">
        <v>1146</v>
      </c>
      <c r="E137" s="101" t="s">
        <v>1147</v>
      </c>
      <c r="F137" s="101" t="s">
        <v>2357</v>
      </c>
      <c r="G137" s="101">
        <v>11055</v>
      </c>
      <c r="H137" s="101">
        <v>7371</v>
      </c>
      <c r="I137" s="101">
        <v>85</v>
      </c>
      <c r="J137" s="101">
        <v>0</v>
      </c>
      <c r="K137" s="101">
        <v>7286</v>
      </c>
      <c r="L137" s="101">
        <v>0</v>
      </c>
      <c r="M137" s="101">
        <v>0</v>
      </c>
      <c r="N137" s="101" t="s">
        <v>3137</v>
      </c>
      <c r="O137" s="101">
        <v>3684</v>
      </c>
      <c r="P137" s="101">
        <v>3464</v>
      </c>
      <c r="Q137" s="101">
        <v>153</v>
      </c>
      <c r="R137" s="101">
        <v>0</v>
      </c>
      <c r="S137" s="101">
        <v>67</v>
      </c>
      <c r="T137" s="101">
        <v>2919</v>
      </c>
    </row>
    <row r="138" s="99" customFormat="1" ht="20" customHeight="1" spans="1:20">
      <c r="A138" s="101" t="s">
        <v>1926</v>
      </c>
      <c r="B138" s="101" t="s">
        <v>3003</v>
      </c>
      <c r="C138" s="101" t="s">
        <v>3004</v>
      </c>
      <c r="D138" s="101" t="s">
        <v>1146</v>
      </c>
      <c r="E138" s="101" t="s">
        <v>1147</v>
      </c>
      <c r="F138" s="101" t="s">
        <v>2365</v>
      </c>
      <c r="G138" s="101">
        <v>16706</v>
      </c>
      <c r="H138" s="101">
        <v>14176</v>
      </c>
      <c r="I138" s="101">
        <v>97</v>
      </c>
      <c r="J138" s="101">
        <v>0</v>
      </c>
      <c r="K138" s="101">
        <v>14079</v>
      </c>
      <c r="L138" s="101">
        <v>0</v>
      </c>
      <c r="M138" s="101">
        <v>0</v>
      </c>
      <c r="N138" s="101" t="s">
        <v>3138</v>
      </c>
      <c r="O138" s="101">
        <v>2530</v>
      </c>
      <c r="P138" s="101">
        <v>2137</v>
      </c>
      <c r="Q138" s="101">
        <v>382</v>
      </c>
      <c r="R138" s="101">
        <v>0</v>
      </c>
      <c r="S138" s="101">
        <v>11</v>
      </c>
      <c r="T138" s="101">
        <v>503</v>
      </c>
    </row>
    <row r="139" s="99" customFormat="1" ht="20" customHeight="1" spans="1:20">
      <c r="A139" s="101" t="s">
        <v>2027</v>
      </c>
      <c r="B139" s="101" t="s">
        <v>3003</v>
      </c>
      <c r="C139" s="101" t="s">
        <v>3004</v>
      </c>
      <c r="D139" s="101" t="s">
        <v>1146</v>
      </c>
      <c r="E139" s="101" t="s">
        <v>1147</v>
      </c>
      <c r="F139" s="101" t="s">
        <v>2373</v>
      </c>
      <c r="G139" s="101">
        <v>3384</v>
      </c>
      <c r="H139" s="101">
        <v>25</v>
      </c>
      <c r="I139" s="101">
        <v>25</v>
      </c>
      <c r="J139" s="101">
        <v>0</v>
      </c>
      <c r="K139" s="101">
        <v>0</v>
      </c>
      <c r="L139" s="101">
        <v>0</v>
      </c>
      <c r="M139" s="101">
        <v>0</v>
      </c>
      <c r="N139" s="101" t="s">
        <v>3139</v>
      </c>
      <c r="O139" s="101">
        <v>3359</v>
      </c>
      <c r="P139" s="101">
        <v>3359</v>
      </c>
      <c r="Q139" s="101">
        <v>0</v>
      </c>
      <c r="R139" s="101">
        <v>0</v>
      </c>
      <c r="S139" s="101">
        <v>0</v>
      </c>
      <c r="T139" s="101">
        <v>0</v>
      </c>
    </row>
    <row r="140" s="99" customFormat="1" ht="20" customHeight="1" spans="1:20">
      <c r="A140" s="101" t="s">
        <v>1261</v>
      </c>
      <c r="B140" s="101" t="s">
        <v>3003</v>
      </c>
      <c r="C140" s="101" t="s">
        <v>3004</v>
      </c>
      <c r="D140" s="101" t="s">
        <v>1146</v>
      </c>
      <c r="E140" s="101" t="s">
        <v>1147</v>
      </c>
      <c r="F140" s="101" t="s">
        <v>2377</v>
      </c>
      <c r="G140" s="101">
        <v>3947</v>
      </c>
      <c r="H140" s="101">
        <v>1502</v>
      </c>
      <c r="I140" s="101">
        <v>33</v>
      </c>
      <c r="J140" s="101">
        <v>0</v>
      </c>
      <c r="K140" s="101">
        <v>1469</v>
      </c>
      <c r="L140" s="101">
        <v>0</v>
      </c>
      <c r="M140" s="101">
        <v>0</v>
      </c>
      <c r="N140" s="101" t="s">
        <v>3140</v>
      </c>
      <c r="O140" s="101">
        <v>2445</v>
      </c>
      <c r="P140" s="101">
        <v>2375</v>
      </c>
      <c r="Q140" s="101">
        <v>68</v>
      </c>
      <c r="R140" s="101">
        <v>2</v>
      </c>
      <c r="S140" s="101">
        <v>0</v>
      </c>
      <c r="T140" s="101">
        <v>0</v>
      </c>
    </row>
    <row r="141" s="99" customFormat="1" ht="20" customHeight="1" spans="1:20">
      <c r="A141" s="101" t="s">
        <v>1595</v>
      </c>
      <c r="B141" s="101" t="s">
        <v>3003</v>
      </c>
      <c r="C141" s="101" t="s">
        <v>3004</v>
      </c>
      <c r="D141" s="101" t="s">
        <v>1146</v>
      </c>
      <c r="E141" s="101" t="s">
        <v>1147</v>
      </c>
      <c r="F141" s="101" t="s">
        <v>2385</v>
      </c>
      <c r="G141" s="101">
        <v>18327</v>
      </c>
      <c r="H141" s="101">
        <v>13682</v>
      </c>
      <c r="I141" s="101">
        <v>102</v>
      </c>
      <c r="J141" s="101">
        <v>0</v>
      </c>
      <c r="K141" s="101">
        <v>13580</v>
      </c>
      <c r="L141" s="101">
        <v>0</v>
      </c>
      <c r="M141" s="101">
        <v>0</v>
      </c>
      <c r="N141" s="101" t="s">
        <v>3141</v>
      </c>
      <c r="O141" s="101">
        <v>4645</v>
      </c>
      <c r="P141" s="101">
        <v>3968</v>
      </c>
      <c r="Q141" s="101">
        <v>464</v>
      </c>
      <c r="R141" s="101">
        <v>213</v>
      </c>
      <c r="S141" s="101">
        <v>0</v>
      </c>
      <c r="T141" s="101">
        <v>0</v>
      </c>
    </row>
    <row r="142" s="99" customFormat="1" ht="20" customHeight="1" spans="1:20">
      <c r="A142" s="101" t="s">
        <v>1494</v>
      </c>
      <c r="B142" s="101" t="s">
        <v>3003</v>
      </c>
      <c r="C142" s="101" t="s">
        <v>3004</v>
      </c>
      <c r="D142" s="101" t="s">
        <v>1146</v>
      </c>
      <c r="E142" s="101" t="s">
        <v>1147</v>
      </c>
      <c r="F142" s="101" t="s">
        <v>2394</v>
      </c>
      <c r="G142" s="101">
        <v>20182</v>
      </c>
      <c r="H142" s="101">
        <v>13545</v>
      </c>
      <c r="I142" s="101">
        <v>186</v>
      </c>
      <c r="J142" s="101">
        <v>0</v>
      </c>
      <c r="K142" s="101">
        <v>13359</v>
      </c>
      <c r="L142" s="101">
        <v>0</v>
      </c>
      <c r="M142" s="101">
        <v>0</v>
      </c>
      <c r="N142" s="101" t="s">
        <v>3142</v>
      </c>
      <c r="O142" s="101">
        <v>6637</v>
      </c>
      <c r="P142" s="101">
        <v>5723</v>
      </c>
      <c r="Q142" s="101">
        <v>546</v>
      </c>
      <c r="R142" s="101">
        <v>368</v>
      </c>
      <c r="S142" s="101">
        <v>0</v>
      </c>
      <c r="T142" s="101">
        <v>0</v>
      </c>
    </row>
    <row r="143" s="99" customFormat="1" ht="20" customHeight="1" spans="1:20">
      <c r="A143" s="101" t="s">
        <v>1283</v>
      </c>
      <c r="B143" s="101" t="s">
        <v>3003</v>
      </c>
      <c r="C143" s="101" t="s">
        <v>3004</v>
      </c>
      <c r="D143" s="101" t="s">
        <v>1146</v>
      </c>
      <c r="E143" s="101" t="s">
        <v>1147</v>
      </c>
      <c r="F143" s="101" t="s">
        <v>2403</v>
      </c>
      <c r="G143" s="101">
        <v>17285</v>
      </c>
      <c r="H143" s="101">
        <v>13677</v>
      </c>
      <c r="I143" s="101">
        <v>239</v>
      </c>
      <c r="J143" s="101">
        <v>0</v>
      </c>
      <c r="K143" s="101">
        <v>13438</v>
      </c>
      <c r="L143" s="101">
        <v>0</v>
      </c>
      <c r="M143" s="101">
        <v>0</v>
      </c>
      <c r="N143" s="101" t="s">
        <v>3143</v>
      </c>
      <c r="O143" s="101">
        <v>3608</v>
      </c>
      <c r="P143" s="101">
        <v>3231</v>
      </c>
      <c r="Q143" s="101">
        <v>363</v>
      </c>
      <c r="R143" s="101">
        <v>14</v>
      </c>
      <c r="S143" s="101">
        <v>0</v>
      </c>
      <c r="T143" s="101">
        <v>0</v>
      </c>
    </row>
    <row r="144" s="99" customFormat="1" ht="20" customHeight="1" spans="1:20">
      <c r="A144" s="101" t="s">
        <v>1366</v>
      </c>
      <c r="B144" s="101" t="s">
        <v>3003</v>
      </c>
      <c r="C144" s="101" t="s">
        <v>3004</v>
      </c>
      <c r="D144" s="101" t="s">
        <v>1146</v>
      </c>
      <c r="E144" s="101" t="s">
        <v>1147</v>
      </c>
      <c r="F144" s="101" t="s">
        <v>2412</v>
      </c>
      <c r="G144" s="101">
        <v>10298</v>
      </c>
      <c r="H144" s="101">
        <v>9503</v>
      </c>
      <c r="I144" s="101">
        <v>379</v>
      </c>
      <c r="J144" s="101">
        <v>0</v>
      </c>
      <c r="K144" s="101">
        <v>9124</v>
      </c>
      <c r="L144" s="101">
        <v>0</v>
      </c>
      <c r="M144" s="101">
        <v>0</v>
      </c>
      <c r="N144" s="101" t="s">
        <v>3144</v>
      </c>
      <c r="O144" s="101">
        <v>795</v>
      </c>
      <c r="P144" s="101">
        <v>369</v>
      </c>
      <c r="Q144" s="101">
        <v>426</v>
      </c>
      <c r="R144" s="101">
        <v>0</v>
      </c>
      <c r="S144" s="101">
        <v>0</v>
      </c>
      <c r="T144" s="101">
        <v>0</v>
      </c>
    </row>
    <row r="145" s="99" customFormat="1" ht="20" customHeight="1" spans="1:20">
      <c r="A145" s="101" t="s">
        <v>1586</v>
      </c>
      <c r="B145" s="101" t="s">
        <v>3003</v>
      </c>
      <c r="C145" s="101" t="s">
        <v>3004</v>
      </c>
      <c r="D145" s="101" t="s">
        <v>1146</v>
      </c>
      <c r="E145" s="101" t="s">
        <v>1147</v>
      </c>
      <c r="F145" s="101" t="s">
        <v>2420</v>
      </c>
      <c r="G145" s="101">
        <v>14504</v>
      </c>
      <c r="H145" s="101">
        <v>10328</v>
      </c>
      <c r="I145" s="101">
        <v>106</v>
      </c>
      <c r="J145" s="101">
        <v>0</v>
      </c>
      <c r="K145" s="101">
        <v>10222</v>
      </c>
      <c r="L145" s="101">
        <v>0</v>
      </c>
      <c r="M145" s="101">
        <v>0</v>
      </c>
      <c r="N145" s="101" t="s">
        <v>3145</v>
      </c>
      <c r="O145" s="101">
        <v>4176</v>
      </c>
      <c r="P145" s="101">
        <v>3916</v>
      </c>
      <c r="Q145" s="101">
        <v>180</v>
      </c>
      <c r="R145" s="101">
        <v>0</v>
      </c>
      <c r="S145" s="101">
        <v>80</v>
      </c>
      <c r="T145" s="101">
        <v>2114</v>
      </c>
    </row>
    <row r="146" s="99" customFormat="1" ht="20" customHeight="1" spans="1:20">
      <c r="A146" s="101" t="s">
        <v>1835</v>
      </c>
      <c r="B146" s="101" t="s">
        <v>3003</v>
      </c>
      <c r="C146" s="101" t="s">
        <v>3004</v>
      </c>
      <c r="D146" s="101" t="s">
        <v>1146</v>
      </c>
      <c r="E146" s="101" t="s">
        <v>1147</v>
      </c>
      <c r="F146" s="101" t="s">
        <v>2431</v>
      </c>
      <c r="G146" s="101">
        <v>4914</v>
      </c>
      <c r="H146" s="101">
        <v>3720</v>
      </c>
      <c r="I146" s="101">
        <v>70</v>
      </c>
      <c r="J146" s="101">
        <v>0</v>
      </c>
      <c r="K146" s="101">
        <v>3650</v>
      </c>
      <c r="L146" s="101">
        <v>0</v>
      </c>
      <c r="M146" s="101">
        <v>0</v>
      </c>
      <c r="N146" s="101" t="s">
        <v>3146</v>
      </c>
      <c r="O146" s="101">
        <v>1194</v>
      </c>
      <c r="P146" s="101">
        <v>1080</v>
      </c>
      <c r="Q146" s="101">
        <v>61</v>
      </c>
      <c r="R146" s="101">
        <v>0</v>
      </c>
      <c r="S146" s="101">
        <v>53</v>
      </c>
      <c r="T146" s="101">
        <v>2233</v>
      </c>
    </row>
    <row r="147" s="99" customFormat="1" ht="20" customHeight="1" spans="1:20">
      <c r="A147" s="101" t="s">
        <v>1281</v>
      </c>
      <c r="B147" s="101" t="s">
        <v>3003</v>
      </c>
      <c r="C147" s="101" t="s">
        <v>3004</v>
      </c>
      <c r="D147" s="101" t="s">
        <v>1146</v>
      </c>
      <c r="E147" s="101" t="s">
        <v>1147</v>
      </c>
      <c r="F147" s="101" t="s">
        <v>2439</v>
      </c>
      <c r="G147" s="101">
        <v>16643</v>
      </c>
      <c r="H147" s="101">
        <v>13896</v>
      </c>
      <c r="I147" s="101">
        <v>50</v>
      </c>
      <c r="J147" s="101">
        <v>0</v>
      </c>
      <c r="K147" s="101">
        <v>13846</v>
      </c>
      <c r="L147" s="101">
        <v>0</v>
      </c>
      <c r="M147" s="101">
        <v>0</v>
      </c>
      <c r="N147" s="101" t="s">
        <v>3147</v>
      </c>
      <c r="O147" s="101">
        <v>2747</v>
      </c>
      <c r="P147" s="101">
        <v>2473</v>
      </c>
      <c r="Q147" s="101">
        <v>224</v>
      </c>
      <c r="R147" s="101">
        <v>0</v>
      </c>
      <c r="S147" s="101">
        <v>50</v>
      </c>
      <c r="T147" s="101">
        <v>1865</v>
      </c>
    </row>
    <row r="148" s="99" customFormat="1" ht="20" customHeight="1" spans="1:20">
      <c r="A148" s="101" t="s">
        <v>1566</v>
      </c>
      <c r="B148" s="101" t="s">
        <v>3003</v>
      </c>
      <c r="C148" s="101" t="s">
        <v>3004</v>
      </c>
      <c r="D148" s="101" t="s">
        <v>1146</v>
      </c>
      <c r="E148" s="101" t="s">
        <v>1147</v>
      </c>
      <c r="F148" s="101" t="s">
        <v>2448</v>
      </c>
      <c r="G148" s="101">
        <v>11334</v>
      </c>
      <c r="H148" s="101">
        <v>10081</v>
      </c>
      <c r="I148" s="101">
        <v>52</v>
      </c>
      <c r="J148" s="101">
        <v>0</v>
      </c>
      <c r="K148" s="101">
        <v>10029</v>
      </c>
      <c r="L148" s="101">
        <v>0</v>
      </c>
      <c r="M148" s="101">
        <v>0</v>
      </c>
      <c r="N148" s="101" t="s">
        <v>3148</v>
      </c>
      <c r="O148" s="101">
        <v>1253</v>
      </c>
      <c r="P148" s="101">
        <v>1120</v>
      </c>
      <c r="Q148" s="101">
        <v>132</v>
      </c>
      <c r="R148" s="101">
        <v>0</v>
      </c>
      <c r="S148" s="101">
        <v>1</v>
      </c>
      <c r="T148" s="101">
        <v>49</v>
      </c>
    </row>
    <row r="149" s="99" customFormat="1" ht="20" customHeight="1" spans="1:20">
      <c r="A149" s="101" t="s">
        <v>2455</v>
      </c>
      <c r="B149" s="101" t="s">
        <v>3003</v>
      </c>
      <c r="C149" s="101" t="s">
        <v>3004</v>
      </c>
      <c r="D149" s="101" t="s">
        <v>1146</v>
      </c>
      <c r="E149" s="101" t="s">
        <v>1147</v>
      </c>
      <c r="F149" s="101" t="s">
        <v>2457</v>
      </c>
      <c r="G149" s="101">
        <v>2899</v>
      </c>
      <c r="H149" s="101">
        <v>117</v>
      </c>
      <c r="I149" s="101">
        <v>117</v>
      </c>
      <c r="J149" s="101">
        <v>0</v>
      </c>
      <c r="K149" s="101">
        <v>0</v>
      </c>
      <c r="L149" s="101">
        <v>0</v>
      </c>
      <c r="M149" s="101">
        <v>0</v>
      </c>
      <c r="N149" s="101" t="s">
        <v>3149</v>
      </c>
      <c r="O149" s="101">
        <v>2782</v>
      </c>
      <c r="P149" s="101">
        <v>2672</v>
      </c>
      <c r="Q149" s="101">
        <v>7</v>
      </c>
      <c r="R149" s="101">
        <v>95</v>
      </c>
      <c r="S149" s="101">
        <v>8</v>
      </c>
      <c r="T149" s="101">
        <v>8</v>
      </c>
    </row>
    <row r="150" s="99" customFormat="1" ht="20" customHeight="1" spans="1:20">
      <c r="A150" s="101" t="s">
        <v>1735</v>
      </c>
      <c r="B150" s="101" t="s">
        <v>3003</v>
      </c>
      <c r="C150" s="101" t="s">
        <v>3004</v>
      </c>
      <c r="D150" s="101" t="s">
        <v>1146</v>
      </c>
      <c r="E150" s="101" t="s">
        <v>1147</v>
      </c>
      <c r="F150" s="101" t="s">
        <v>2462</v>
      </c>
      <c r="G150" s="101">
        <v>14957</v>
      </c>
      <c r="H150" s="101">
        <v>9950</v>
      </c>
      <c r="I150" s="101">
        <v>44</v>
      </c>
      <c r="J150" s="101">
        <v>0</v>
      </c>
      <c r="K150" s="101">
        <v>9906</v>
      </c>
      <c r="L150" s="101">
        <v>0</v>
      </c>
      <c r="M150" s="101">
        <v>0</v>
      </c>
      <c r="N150" s="101" t="s">
        <v>3150</v>
      </c>
      <c r="O150" s="101">
        <v>5007</v>
      </c>
      <c r="P150" s="101">
        <v>3580</v>
      </c>
      <c r="Q150" s="101">
        <v>262</v>
      </c>
      <c r="R150" s="101">
        <v>1121</v>
      </c>
      <c r="S150" s="101">
        <v>44</v>
      </c>
      <c r="T150" s="101">
        <v>2858</v>
      </c>
    </row>
    <row r="151" s="99" customFormat="1" ht="20" customHeight="1" spans="1:20">
      <c r="A151" s="101" t="s">
        <v>2474</v>
      </c>
      <c r="B151" s="101" t="s">
        <v>3003</v>
      </c>
      <c r="C151" s="101" t="s">
        <v>3004</v>
      </c>
      <c r="D151" s="101" t="s">
        <v>1146</v>
      </c>
      <c r="E151" s="101" t="s">
        <v>1147</v>
      </c>
      <c r="F151" s="101" t="s">
        <v>2475</v>
      </c>
      <c r="G151" s="101">
        <v>13242</v>
      </c>
      <c r="H151" s="101">
        <v>11647</v>
      </c>
      <c r="I151" s="101">
        <v>131</v>
      </c>
      <c r="J151" s="101">
        <v>0</v>
      </c>
      <c r="K151" s="101">
        <v>11516</v>
      </c>
      <c r="L151" s="101">
        <v>0</v>
      </c>
      <c r="M151" s="101">
        <v>0</v>
      </c>
      <c r="N151" s="101" t="s">
        <v>3151</v>
      </c>
      <c r="O151" s="101">
        <v>1595</v>
      </c>
      <c r="P151" s="101">
        <v>1289</v>
      </c>
      <c r="Q151" s="101">
        <v>298</v>
      </c>
      <c r="R151" s="101">
        <v>0</v>
      </c>
      <c r="S151" s="101">
        <v>8</v>
      </c>
      <c r="T151" s="101">
        <v>210</v>
      </c>
    </row>
    <row r="152" s="99" customFormat="1" ht="20" customHeight="1" spans="1:20">
      <c r="A152" s="101" t="s">
        <v>1284</v>
      </c>
      <c r="B152" s="101" t="s">
        <v>3003</v>
      </c>
      <c r="C152" s="101" t="s">
        <v>3004</v>
      </c>
      <c r="D152" s="101" t="s">
        <v>1146</v>
      </c>
      <c r="E152" s="101" t="s">
        <v>1147</v>
      </c>
      <c r="F152" s="101" t="s">
        <v>2486</v>
      </c>
      <c r="G152" s="101">
        <v>1088</v>
      </c>
      <c r="H152" s="101">
        <v>356</v>
      </c>
      <c r="I152" s="101">
        <v>356</v>
      </c>
      <c r="J152" s="101">
        <v>0</v>
      </c>
      <c r="K152" s="101">
        <v>0</v>
      </c>
      <c r="L152" s="101">
        <v>0</v>
      </c>
      <c r="M152" s="101">
        <v>0</v>
      </c>
      <c r="N152" s="101" t="s">
        <v>3152</v>
      </c>
      <c r="O152" s="101">
        <v>732</v>
      </c>
      <c r="P152" s="101">
        <v>732</v>
      </c>
      <c r="Q152" s="101">
        <v>0</v>
      </c>
      <c r="R152" s="101">
        <v>0</v>
      </c>
      <c r="S152" s="101">
        <v>0</v>
      </c>
      <c r="T152" s="101">
        <v>0</v>
      </c>
    </row>
    <row r="153" s="99" customFormat="1" ht="20" customHeight="1" spans="1:20">
      <c r="A153" s="101" t="s">
        <v>2237</v>
      </c>
      <c r="B153" s="101" t="s">
        <v>3003</v>
      </c>
      <c r="C153" s="101" t="s">
        <v>3004</v>
      </c>
      <c r="D153" s="101" t="s">
        <v>1146</v>
      </c>
      <c r="E153" s="101" t="s">
        <v>1147</v>
      </c>
      <c r="F153" s="101" t="s">
        <v>2490</v>
      </c>
      <c r="G153" s="101">
        <v>968</v>
      </c>
      <c r="H153" s="101">
        <v>72</v>
      </c>
      <c r="I153" s="101">
        <v>72</v>
      </c>
      <c r="J153" s="101">
        <v>0</v>
      </c>
      <c r="K153" s="101">
        <v>0</v>
      </c>
      <c r="L153" s="101">
        <v>0</v>
      </c>
      <c r="M153" s="101">
        <v>0</v>
      </c>
      <c r="N153" s="101" t="s">
        <v>3153</v>
      </c>
      <c r="O153" s="101">
        <v>896</v>
      </c>
      <c r="P153" s="101">
        <v>896</v>
      </c>
      <c r="Q153" s="101">
        <v>0</v>
      </c>
      <c r="R153" s="101">
        <v>0</v>
      </c>
      <c r="S153" s="101">
        <v>0</v>
      </c>
      <c r="T153" s="101">
        <v>0</v>
      </c>
    </row>
    <row r="154" s="99" customFormat="1" ht="20" customHeight="1" spans="1:20">
      <c r="A154" s="101" t="s">
        <v>1587</v>
      </c>
      <c r="B154" s="101" t="s">
        <v>3003</v>
      </c>
      <c r="C154" s="101" t="s">
        <v>3004</v>
      </c>
      <c r="D154" s="101" t="s">
        <v>1146</v>
      </c>
      <c r="E154" s="101" t="s">
        <v>1147</v>
      </c>
      <c r="F154" s="101" t="s">
        <v>2495</v>
      </c>
      <c r="G154" s="101">
        <v>4101</v>
      </c>
      <c r="H154" s="101">
        <v>2511</v>
      </c>
      <c r="I154" s="101">
        <v>32</v>
      </c>
      <c r="J154" s="101">
        <v>0</v>
      </c>
      <c r="K154" s="101">
        <v>2479</v>
      </c>
      <c r="L154" s="101">
        <v>0</v>
      </c>
      <c r="M154" s="101">
        <v>0</v>
      </c>
      <c r="N154" s="101" t="s">
        <v>3154</v>
      </c>
      <c r="O154" s="101">
        <v>1590</v>
      </c>
      <c r="P154" s="101">
        <v>1509</v>
      </c>
      <c r="Q154" s="101">
        <v>55</v>
      </c>
      <c r="R154" s="101">
        <v>0</v>
      </c>
      <c r="S154" s="101">
        <v>26</v>
      </c>
      <c r="T154" s="101">
        <v>1387</v>
      </c>
    </row>
    <row r="155" s="99" customFormat="1" ht="20" customHeight="1" spans="1:20">
      <c r="A155" s="101" t="s">
        <v>2504</v>
      </c>
      <c r="B155" s="101" t="s">
        <v>3003</v>
      </c>
      <c r="C155" s="101" t="s">
        <v>3004</v>
      </c>
      <c r="D155" s="101" t="s">
        <v>1146</v>
      </c>
      <c r="E155" s="101" t="s">
        <v>1147</v>
      </c>
      <c r="F155" s="101" t="s">
        <v>2505</v>
      </c>
      <c r="G155" s="101">
        <v>10365</v>
      </c>
      <c r="H155" s="101">
        <v>7565</v>
      </c>
      <c r="I155" s="101">
        <v>17</v>
      </c>
      <c r="J155" s="101">
        <v>0</v>
      </c>
      <c r="K155" s="101">
        <v>7548</v>
      </c>
      <c r="L155" s="101">
        <v>0</v>
      </c>
      <c r="M155" s="101">
        <v>0</v>
      </c>
      <c r="N155" s="101" t="s">
        <v>3155</v>
      </c>
      <c r="O155" s="101">
        <v>2800</v>
      </c>
      <c r="P155" s="101">
        <v>2589</v>
      </c>
      <c r="Q155" s="101">
        <v>161</v>
      </c>
      <c r="R155" s="101">
        <v>0</v>
      </c>
      <c r="S155" s="101">
        <v>50</v>
      </c>
      <c r="T155" s="101">
        <v>2632</v>
      </c>
    </row>
    <row r="156" s="99" customFormat="1" ht="20" customHeight="1" spans="1:20">
      <c r="A156" s="101" t="s">
        <v>2515</v>
      </c>
      <c r="B156" s="101" t="s">
        <v>3003</v>
      </c>
      <c r="C156" s="101" t="s">
        <v>3004</v>
      </c>
      <c r="D156" s="101" t="s">
        <v>1146</v>
      </c>
      <c r="E156" s="101" t="s">
        <v>1147</v>
      </c>
      <c r="F156" s="101" t="s">
        <v>2516</v>
      </c>
      <c r="G156" s="101">
        <v>6250</v>
      </c>
      <c r="H156" s="101">
        <v>5712</v>
      </c>
      <c r="I156" s="101">
        <v>30</v>
      </c>
      <c r="J156" s="101">
        <v>0</v>
      </c>
      <c r="K156" s="101">
        <v>5682</v>
      </c>
      <c r="L156" s="101">
        <v>0</v>
      </c>
      <c r="M156" s="101">
        <v>0</v>
      </c>
      <c r="N156" s="101" t="s">
        <v>3156</v>
      </c>
      <c r="O156" s="101">
        <v>538</v>
      </c>
      <c r="P156" s="101">
        <v>276</v>
      </c>
      <c r="Q156" s="101">
        <v>260</v>
      </c>
      <c r="R156" s="101">
        <v>2</v>
      </c>
      <c r="S156" s="101">
        <v>0</v>
      </c>
      <c r="T156" s="101">
        <v>0</v>
      </c>
    </row>
    <row r="157" s="99" customFormat="1" ht="20" customHeight="1" spans="1:20">
      <c r="A157" s="101" t="s">
        <v>1492</v>
      </c>
      <c r="B157" s="101" t="s">
        <v>3003</v>
      </c>
      <c r="C157" s="101" t="s">
        <v>3004</v>
      </c>
      <c r="D157" s="101" t="s">
        <v>1146</v>
      </c>
      <c r="E157" s="101" t="s">
        <v>1147</v>
      </c>
      <c r="F157" s="101" t="s">
        <v>2522</v>
      </c>
      <c r="G157" s="101">
        <v>1731</v>
      </c>
      <c r="H157" s="101">
        <v>62</v>
      </c>
      <c r="I157" s="101">
        <v>62</v>
      </c>
      <c r="J157" s="101">
        <v>0</v>
      </c>
      <c r="K157" s="101">
        <v>0</v>
      </c>
      <c r="L157" s="101">
        <v>0</v>
      </c>
      <c r="M157" s="101">
        <v>0</v>
      </c>
      <c r="N157" s="101" t="s">
        <v>3157</v>
      </c>
      <c r="O157" s="101">
        <v>1669</v>
      </c>
      <c r="P157" s="101">
        <v>1665</v>
      </c>
      <c r="Q157" s="101">
        <v>0</v>
      </c>
      <c r="R157" s="101">
        <v>0</v>
      </c>
      <c r="S157" s="101">
        <v>4</v>
      </c>
      <c r="T157" s="101">
        <v>43</v>
      </c>
    </row>
    <row r="158" s="99" customFormat="1" ht="20" customHeight="1" spans="1:20">
      <c r="A158" s="101" t="s">
        <v>1577</v>
      </c>
      <c r="B158" s="101" t="s">
        <v>3003</v>
      </c>
      <c r="C158" s="101" t="s">
        <v>3004</v>
      </c>
      <c r="D158" s="101" t="s">
        <v>1146</v>
      </c>
      <c r="E158" s="101" t="s">
        <v>1147</v>
      </c>
      <c r="F158" s="101" t="s">
        <v>2526</v>
      </c>
      <c r="G158" s="101">
        <v>6646</v>
      </c>
      <c r="H158" s="101">
        <v>8</v>
      </c>
      <c r="I158" s="101">
        <v>7</v>
      </c>
      <c r="J158" s="101">
        <v>0</v>
      </c>
      <c r="K158" s="101">
        <v>1</v>
      </c>
      <c r="L158" s="101">
        <v>0</v>
      </c>
      <c r="M158" s="101">
        <v>0</v>
      </c>
      <c r="N158" s="101" t="s">
        <v>3158</v>
      </c>
      <c r="O158" s="101">
        <v>6638</v>
      </c>
      <c r="P158" s="101">
        <v>5590</v>
      </c>
      <c r="Q158" s="101">
        <v>26</v>
      </c>
      <c r="R158" s="101">
        <v>985</v>
      </c>
      <c r="S158" s="101">
        <v>37</v>
      </c>
      <c r="T158" s="101">
        <v>184</v>
      </c>
    </row>
    <row r="159" s="99" customFormat="1" ht="20" customHeight="1" spans="1:20">
      <c r="A159" s="101" t="s">
        <v>1582</v>
      </c>
      <c r="B159" s="101" t="s">
        <v>3003</v>
      </c>
      <c r="C159" s="101" t="s">
        <v>3004</v>
      </c>
      <c r="D159" s="101" t="s">
        <v>1146</v>
      </c>
      <c r="E159" s="101" t="s">
        <v>1147</v>
      </c>
      <c r="F159" s="101" t="s">
        <v>2531</v>
      </c>
      <c r="G159" s="101">
        <v>8646</v>
      </c>
      <c r="H159" s="101">
        <v>5022</v>
      </c>
      <c r="I159" s="101">
        <v>28</v>
      </c>
      <c r="J159" s="101">
        <v>0</v>
      </c>
      <c r="K159" s="101">
        <v>4994</v>
      </c>
      <c r="L159" s="101">
        <v>0</v>
      </c>
      <c r="M159" s="101">
        <v>0</v>
      </c>
      <c r="N159" s="101" t="s">
        <v>3159</v>
      </c>
      <c r="O159" s="101">
        <v>3624</v>
      </c>
      <c r="P159" s="101">
        <v>3357</v>
      </c>
      <c r="Q159" s="101">
        <v>267</v>
      </c>
      <c r="R159" s="101">
        <v>0</v>
      </c>
      <c r="S159" s="101">
        <v>0</v>
      </c>
      <c r="T159" s="101">
        <v>0</v>
      </c>
    </row>
    <row r="160" s="99" customFormat="1" ht="20" customHeight="1" spans="1:20">
      <c r="A160" s="101" t="s">
        <v>1490</v>
      </c>
      <c r="B160" s="101" t="s">
        <v>3003</v>
      </c>
      <c r="C160" s="101" t="s">
        <v>3004</v>
      </c>
      <c r="D160" s="101" t="s">
        <v>1146</v>
      </c>
      <c r="E160" s="101" t="s">
        <v>1147</v>
      </c>
      <c r="F160" s="101" t="s">
        <v>2537</v>
      </c>
      <c r="G160" s="101">
        <v>10755</v>
      </c>
      <c r="H160" s="101">
        <v>10034</v>
      </c>
      <c r="I160" s="101">
        <v>153</v>
      </c>
      <c r="J160" s="101">
        <v>0</v>
      </c>
      <c r="K160" s="101">
        <v>9881</v>
      </c>
      <c r="L160" s="101">
        <v>0</v>
      </c>
      <c r="M160" s="101">
        <v>0</v>
      </c>
      <c r="N160" s="101" t="s">
        <v>3160</v>
      </c>
      <c r="O160" s="101">
        <v>721</v>
      </c>
      <c r="P160" s="101">
        <v>281</v>
      </c>
      <c r="Q160" s="101">
        <v>439</v>
      </c>
      <c r="R160" s="101">
        <v>1</v>
      </c>
      <c r="S160" s="101">
        <v>0</v>
      </c>
      <c r="T160" s="101">
        <v>0</v>
      </c>
    </row>
    <row r="161" s="99" customFormat="1" ht="20" customHeight="1" spans="1:20">
      <c r="A161" s="101" t="s">
        <v>2545</v>
      </c>
      <c r="B161" s="101" t="s">
        <v>3003</v>
      </c>
      <c r="C161" s="101" t="s">
        <v>3004</v>
      </c>
      <c r="D161" s="101" t="s">
        <v>1146</v>
      </c>
      <c r="E161" s="101" t="s">
        <v>1147</v>
      </c>
      <c r="F161" s="101" t="s">
        <v>2546</v>
      </c>
      <c r="G161" s="101">
        <v>12793</v>
      </c>
      <c r="H161" s="101">
        <v>8868</v>
      </c>
      <c r="I161" s="101">
        <v>66</v>
      </c>
      <c r="J161" s="101">
        <v>0</v>
      </c>
      <c r="K161" s="101">
        <v>8802</v>
      </c>
      <c r="L161" s="101">
        <v>0</v>
      </c>
      <c r="M161" s="101">
        <v>0</v>
      </c>
      <c r="N161" s="101" t="s">
        <v>3161</v>
      </c>
      <c r="O161" s="101">
        <v>3925</v>
      </c>
      <c r="P161" s="101">
        <v>3683</v>
      </c>
      <c r="Q161" s="101">
        <v>172</v>
      </c>
      <c r="R161" s="101">
        <v>0</v>
      </c>
      <c r="S161" s="101">
        <v>70</v>
      </c>
      <c r="T161" s="101">
        <v>3284</v>
      </c>
    </row>
    <row r="162" s="99" customFormat="1" ht="20" customHeight="1" spans="1:20">
      <c r="A162" s="101" t="s">
        <v>2554</v>
      </c>
      <c r="B162" s="101" t="s">
        <v>3003</v>
      </c>
      <c r="C162" s="101" t="s">
        <v>3004</v>
      </c>
      <c r="D162" s="101" t="s">
        <v>1146</v>
      </c>
      <c r="E162" s="101" t="s">
        <v>1147</v>
      </c>
      <c r="F162" s="101" t="s">
        <v>2555</v>
      </c>
      <c r="G162" s="101">
        <v>15722</v>
      </c>
      <c r="H162" s="101">
        <v>11850</v>
      </c>
      <c r="I162" s="101">
        <v>88</v>
      </c>
      <c r="J162" s="101">
        <v>0</v>
      </c>
      <c r="K162" s="101">
        <v>11762</v>
      </c>
      <c r="L162" s="101">
        <v>0</v>
      </c>
      <c r="M162" s="101">
        <v>0</v>
      </c>
      <c r="N162" s="101" t="s">
        <v>3162</v>
      </c>
      <c r="O162" s="101">
        <v>3872</v>
      </c>
      <c r="P162" s="101">
        <v>3551</v>
      </c>
      <c r="Q162" s="101">
        <v>224</v>
      </c>
      <c r="R162" s="101">
        <v>0</v>
      </c>
      <c r="S162" s="101">
        <v>97</v>
      </c>
      <c r="T162" s="101">
        <v>1684</v>
      </c>
    </row>
    <row r="163" s="99" customFormat="1" ht="20" customHeight="1" spans="1:20">
      <c r="A163" s="101" t="s">
        <v>2221</v>
      </c>
      <c r="B163" s="101" t="s">
        <v>3003</v>
      </c>
      <c r="C163" s="101" t="s">
        <v>3004</v>
      </c>
      <c r="D163" s="101" t="s">
        <v>1146</v>
      </c>
      <c r="E163" s="101" t="s">
        <v>1147</v>
      </c>
      <c r="F163" s="101" t="s">
        <v>2566</v>
      </c>
      <c r="G163" s="101">
        <v>8341</v>
      </c>
      <c r="H163" s="101">
        <v>6215</v>
      </c>
      <c r="I163" s="101">
        <v>47</v>
      </c>
      <c r="J163" s="101">
        <v>0</v>
      </c>
      <c r="K163" s="101">
        <v>6168</v>
      </c>
      <c r="L163" s="101">
        <v>0</v>
      </c>
      <c r="M163" s="101">
        <v>0</v>
      </c>
      <c r="N163" s="101" t="s">
        <v>3163</v>
      </c>
      <c r="O163" s="101">
        <v>2126</v>
      </c>
      <c r="P163" s="101">
        <v>1871</v>
      </c>
      <c r="Q163" s="101">
        <v>253</v>
      </c>
      <c r="R163" s="101">
        <v>0</v>
      </c>
      <c r="S163" s="101">
        <v>2</v>
      </c>
      <c r="T163" s="101">
        <v>70</v>
      </c>
    </row>
    <row r="164" s="99" customFormat="1" ht="20" customHeight="1" spans="1:20">
      <c r="A164" s="101" t="s">
        <v>1626</v>
      </c>
      <c r="B164" s="101" t="s">
        <v>3003</v>
      </c>
      <c r="C164" s="101" t="s">
        <v>3004</v>
      </c>
      <c r="D164" s="101" t="s">
        <v>1146</v>
      </c>
      <c r="E164" s="101" t="s">
        <v>1147</v>
      </c>
      <c r="F164" s="101" t="s">
        <v>2572</v>
      </c>
      <c r="G164" s="101">
        <v>6687</v>
      </c>
      <c r="H164" s="101">
        <v>2109</v>
      </c>
      <c r="I164" s="101">
        <v>63</v>
      </c>
      <c r="J164" s="101">
        <v>0</v>
      </c>
      <c r="K164" s="101">
        <v>2046</v>
      </c>
      <c r="L164" s="101">
        <v>0</v>
      </c>
      <c r="M164" s="101">
        <v>0</v>
      </c>
      <c r="N164" s="101" t="s">
        <v>3164</v>
      </c>
      <c r="O164" s="101">
        <v>4578</v>
      </c>
      <c r="P164" s="101">
        <v>4505</v>
      </c>
      <c r="Q164" s="101">
        <v>73</v>
      </c>
      <c r="R164" s="101">
        <v>0</v>
      </c>
      <c r="S164" s="101">
        <v>0</v>
      </c>
      <c r="T164" s="101">
        <v>0</v>
      </c>
    </row>
    <row r="165" s="99" customFormat="1" ht="20" customHeight="1" spans="1:20">
      <c r="A165" s="101" t="s">
        <v>2328</v>
      </c>
      <c r="B165" s="101" t="s">
        <v>3003</v>
      </c>
      <c r="C165" s="101" t="s">
        <v>3004</v>
      </c>
      <c r="D165" s="101" t="s">
        <v>1146</v>
      </c>
      <c r="E165" s="101" t="s">
        <v>1147</v>
      </c>
      <c r="F165" s="101" t="s">
        <v>2579</v>
      </c>
      <c r="G165" s="101">
        <v>19565</v>
      </c>
      <c r="H165" s="101">
        <v>13903</v>
      </c>
      <c r="I165" s="101">
        <v>17</v>
      </c>
      <c r="J165" s="101">
        <v>0</v>
      </c>
      <c r="K165" s="101">
        <v>13886</v>
      </c>
      <c r="L165" s="101">
        <v>0</v>
      </c>
      <c r="M165" s="101">
        <v>0</v>
      </c>
      <c r="N165" s="101" t="s">
        <v>3165</v>
      </c>
      <c r="O165" s="101">
        <v>5662</v>
      </c>
      <c r="P165" s="101">
        <v>5105</v>
      </c>
      <c r="Q165" s="101">
        <v>467</v>
      </c>
      <c r="R165" s="101">
        <v>90</v>
      </c>
      <c r="S165" s="101">
        <v>0</v>
      </c>
      <c r="T165" s="101">
        <v>0</v>
      </c>
    </row>
    <row r="166" s="99" customFormat="1" ht="20" customHeight="1" spans="1:20">
      <c r="A166" s="101" t="s">
        <v>1901</v>
      </c>
      <c r="B166" s="101" t="s">
        <v>3003</v>
      </c>
      <c r="C166" s="101" t="s">
        <v>3004</v>
      </c>
      <c r="D166" s="101" t="s">
        <v>1146</v>
      </c>
      <c r="E166" s="101" t="s">
        <v>1147</v>
      </c>
      <c r="F166" s="101" t="s">
        <v>2587</v>
      </c>
      <c r="G166" s="101">
        <v>23012</v>
      </c>
      <c r="H166" s="101">
        <v>15001</v>
      </c>
      <c r="I166" s="101">
        <v>125</v>
      </c>
      <c r="J166" s="101">
        <v>0</v>
      </c>
      <c r="K166" s="101">
        <v>14876</v>
      </c>
      <c r="L166" s="101">
        <v>0</v>
      </c>
      <c r="M166" s="101">
        <v>0</v>
      </c>
      <c r="N166" s="101" t="s">
        <v>3166</v>
      </c>
      <c r="O166" s="101">
        <v>8011</v>
      </c>
      <c r="P166" s="101">
        <v>5530</v>
      </c>
      <c r="Q166" s="101">
        <v>676</v>
      </c>
      <c r="R166" s="101">
        <v>1805</v>
      </c>
      <c r="S166" s="101">
        <v>0</v>
      </c>
      <c r="T166" s="101">
        <v>0</v>
      </c>
    </row>
    <row r="167" s="99" customFormat="1" ht="20" customHeight="1" spans="1:20">
      <c r="A167" s="101" t="s">
        <v>1526</v>
      </c>
      <c r="B167" s="101" t="s">
        <v>3003</v>
      </c>
      <c r="C167" s="101" t="s">
        <v>3004</v>
      </c>
      <c r="D167" s="101" t="s">
        <v>1146</v>
      </c>
      <c r="E167" s="101" t="s">
        <v>1147</v>
      </c>
      <c r="F167" s="101" t="s">
        <v>2599</v>
      </c>
      <c r="G167" s="101">
        <v>20222</v>
      </c>
      <c r="H167" s="101">
        <v>14724</v>
      </c>
      <c r="I167" s="101">
        <v>271</v>
      </c>
      <c r="J167" s="101">
        <v>0</v>
      </c>
      <c r="K167" s="101">
        <v>14453</v>
      </c>
      <c r="L167" s="101">
        <v>0</v>
      </c>
      <c r="M167" s="101">
        <v>0</v>
      </c>
      <c r="N167" s="101" t="s">
        <v>3167</v>
      </c>
      <c r="O167" s="101">
        <v>5498</v>
      </c>
      <c r="P167" s="101">
        <v>4436</v>
      </c>
      <c r="Q167" s="101">
        <v>554</v>
      </c>
      <c r="R167" s="101">
        <v>504</v>
      </c>
      <c r="S167" s="101">
        <v>4</v>
      </c>
      <c r="T167" s="101">
        <v>59</v>
      </c>
    </row>
    <row r="168" s="99" customFormat="1" ht="20" customHeight="1" spans="1:20">
      <c r="A168" s="101" t="s">
        <v>2119</v>
      </c>
      <c r="B168" s="101" t="s">
        <v>3003</v>
      </c>
      <c r="C168" s="101" t="s">
        <v>3004</v>
      </c>
      <c r="D168" s="101" t="s">
        <v>1146</v>
      </c>
      <c r="E168" s="101" t="s">
        <v>1147</v>
      </c>
      <c r="F168" s="101" t="s">
        <v>2609</v>
      </c>
      <c r="G168" s="101">
        <v>13237</v>
      </c>
      <c r="H168" s="101">
        <v>11440</v>
      </c>
      <c r="I168" s="101">
        <v>435</v>
      </c>
      <c r="J168" s="101">
        <v>0</v>
      </c>
      <c r="K168" s="101">
        <v>11005</v>
      </c>
      <c r="L168" s="101">
        <v>0</v>
      </c>
      <c r="M168" s="101">
        <v>0</v>
      </c>
      <c r="N168" s="101" t="s">
        <v>3168</v>
      </c>
      <c r="O168" s="101">
        <v>1797</v>
      </c>
      <c r="P168" s="101">
        <v>1192</v>
      </c>
      <c r="Q168" s="101">
        <v>591</v>
      </c>
      <c r="R168" s="101">
        <v>14</v>
      </c>
      <c r="S168" s="101">
        <v>0</v>
      </c>
      <c r="T168" s="101">
        <v>0</v>
      </c>
    </row>
    <row r="169" s="99" customFormat="1" ht="20" customHeight="1" spans="1:20">
      <c r="A169" s="101" t="s">
        <v>2120</v>
      </c>
      <c r="B169" s="101" t="s">
        <v>3003</v>
      </c>
      <c r="C169" s="101" t="s">
        <v>3004</v>
      </c>
      <c r="D169" s="101" t="s">
        <v>1146</v>
      </c>
      <c r="E169" s="101" t="s">
        <v>1147</v>
      </c>
      <c r="F169" s="101" t="s">
        <v>2618</v>
      </c>
      <c r="G169" s="101">
        <v>9939</v>
      </c>
      <c r="H169" s="101">
        <v>6535</v>
      </c>
      <c r="I169" s="101">
        <v>129</v>
      </c>
      <c r="J169" s="101">
        <v>0</v>
      </c>
      <c r="K169" s="101">
        <v>6406</v>
      </c>
      <c r="L169" s="101">
        <v>0</v>
      </c>
      <c r="M169" s="101">
        <v>0</v>
      </c>
      <c r="N169" s="101" t="s">
        <v>3169</v>
      </c>
      <c r="O169" s="101">
        <v>3404</v>
      </c>
      <c r="P169" s="101">
        <v>3267</v>
      </c>
      <c r="Q169" s="101">
        <v>102</v>
      </c>
      <c r="R169" s="101">
        <v>1</v>
      </c>
      <c r="S169" s="101">
        <v>34</v>
      </c>
      <c r="T169" s="101">
        <v>726</v>
      </c>
    </row>
    <row r="170" s="99" customFormat="1" ht="20" customHeight="1" spans="1:20">
      <c r="A170" s="101" t="s">
        <v>2470</v>
      </c>
      <c r="B170" s="101" t="s">
        <v>3003</v>
      </c>
      <c r="C170" s="101" t="s">
        <v>3004</v>
      </c>
      <c r="D170" s="101" t="s">
        <v>1146</v>
      </c>
      <c r="E170" s="101" t="s">
        <v>1147</v>
      </c>
      <c r="F170" s="101" t="s">
        <v>2627</v>
      </c>
      <c r="G170" s="101">
        <v>6311</v>
      </c>
      <c r="H170" s="101">
        <v>4467</v>
      </c>
      <c r="I170" s="101">
        <v>123</v>
      </c>
      <c r="J170" s="101">
        <v>0</v>
      </c>
      <c r="K170" s="101">
        <v>4344</v>
      </c>
      <c r="L170" s="101">
        <v>0</v>
      </c>
      <c r="M170" s="101">
        <v>0</v>
      </c>
      <c r="N170" s="101" t="s">
        <v>3170</v>
      </c>
      <c r="O170" s="101">
        <v>1844</v>
      </c>
      <c r="P170" s="101">
        <v>1748</v>
      </c>
      <c r="Q170" s="101">
        <v>69</v>
      </c>
      <c r="R170" s="101">
        <v>0</v>
      </c>
      <c r="S170" s="101">
        <v>27</v>
      </c>
      <c r="T170" s="101">
        <v>1190</v>
      </c>
    </row>
    <row r="171" s="99" customFormat="1" ht="20" customHeight="1" spans="1:20">
      <c r="A171" s="101" t="s">
        <v>1502</v>
      </c>
      <c r="B171" s="101" t="s">
        <v>3003</v>
      </c>
      <c r="C171" s="101" t="s">
        <v>3004</v>
      </c>
      <c r="D171" s="101" t="s">
        <v>1146</v>
      </c>
      <c r="E171" s="101" t="s">
        <v>1147</v>
      </c>
      <c r="F171" s="101" t="s">
        <v>2635</v>
      </c>
      <c r="G171" s="101">
        <v>18381</v>
      </c>
      <c r="H171" s="101">
        <v>13415</v>
      </c>
      <c r="I171" s="101">
        <v>131</v>
      </c>
      <c r="J171" s="101">
        <v>0</v>
      </c>
      <c r="K171" s="101">
        <v>13284</v>
      </c>
      <c r="L171" s="101">
        <v>0</v>
      </c>
      <c r="M171" s="101">
        <v>0</v>
      </c>
      <c r="N171" s="101" t="s">
        <v>3171</v>
      </c>
      <c r="O171" s="101">
        <v>4966</v>
      </c>
      <c r="P171" s="101">
        <v>4748</v>
      </c>
      <c r="Q171" s="101">
        <v>179</v>
      </c>
      <c r="R171" s="101">
        <v>0</v>
      </c>
      <c r="S171" s="101">
        <v>39</v>
      </c>
      <c r="T171" s="101">
        <v>1702</v>
      </c>
    </row>
    <row r="172" s="99" customFormat="1" ht="20" customHeight="1" spans="1:20">
      <c r="A172" s="101" t="s">
        <v>1399</v>
      </c>
      <c r="B172" s="101" t="s">
        <v>3003</v>
      </c>
      <c r="C172" s="101" t="s">
        <v>3004</v>
      </c>
      <c r="D172" s="101" t="s">
        <v>1146</v>
      </c>
      <c r="E172" s="101" t="s">
        <v>1147</v>
      </c>
      <c r="F172" s="101" t="s">
        <v>2644</v>
      </c>
      <c r="G172" s="101">
        <v>18749</v>
      </c>
      <c r="H172" s="101">
        <v>15302</v>
      </c>
      <c r="I172" s="101">
        <v>167</v>
      </c>
      <c r="J172" s="101">
        <v>0</v>
      </c>
      <c r="K172" s="101">
        <v>15135</v>
      </c>
      <c r="L172" s="101">
        <v>0</v>
      </c>
      <c r="M172" s="101">
        <v>0</v>
      </c>
      <c r="N172" s="101" t="s">
        <v>3172</v>
      </c>
      <c r="O172" s="101">
        <v>3447</v>
      </c>
      <c r="P172" s="101">
        <v>3122</v>
      </c>
      <c r="Q172" s="101">
        <v>318</v>
      </c>
      <c r="R172" s="101">
        <v>0</v>
      </c>
      <c r="S172" s="101">
        <v>7</v>
      </c>
      <c r="T172" s="101">
        <v>196</v>
      </c>
    </row>
    <row r="173" s="99" customFormat="1" ht="20" customHeight="1" spans="1:20">
      <c r="A173" s="101" t="s">
        <v>1900</v>
      </c>
      <c r="B173" s="101" t="s">
        <v>3003</v>
      </c>
      <c r="C173" s="101" t="s">
        <v>3004</v>
      </c>
      <c r="D173" s="101" t="s">
        <v>1146</v>
      </c>
      <c r="E173" s="101" t="s">
        <v>1147</v>
      </c>
      <c r="F173" s="101" t="s">
        <v>2653</v>
      </c>
      <c r="G173" s="101">
        <v>3371</v>
      </c>
      <c r="H173" s="101">
        <v>195</v>
      </c>
      <c r="I173" s="101">
        <v>193</v>
      </c>
      <c r="J173" s="101">
        <v>0</v>
      </c>
      <c r="K173" s="101">
        <v>2</v>
      </c>
      <c r="L173" s="101">
        <v>0</v>
      </c>
      <c r="M173" s="101">
        <v>0</v>
      </c>
      <c r="N173" s="101" t="s">
        <v>3173</v>
      </c>
      <c r="O173" s="101">
        <v>3176</v>
      </c>
      <c r="P173" s="101">
        <v>3156</v>
      </c>
      <c r="Q173" s="101">
        <v>9</v>
      </c>
      <c r="R173" s="101">
        <v>11</v>
      </c>
      <c r="S173" s="101">
        <v>0</v>
      </c>
      <c r="T173" s="101">
        <v>0</v>
      </c>
    </row>
    <row r="174" s="99" customFormat="1" ht="20" customHeight="1" spans="1:20">
      <c r="A174" s="101" t="s">
        <v>1546</v>
      </c>
      <c r="B174" s="101" t="s">
        <v>3003</v>
      </c>
      <c r="C174" s="101" t="s">
        <v>3004</v>
      </c>
      <c r="D174" s="101" t="s">
        <v>1146</v>
      </c>
      <c r="E174" s="101" t="s">
        <v>1147</v>
      </c>
      <c r="F174" s="101" t="s">
        <v>2657</v>
      </c>
      <c r="G174" s="101">
        <v>5932</v>
      </c>
      <c r="H174" s="101">
        <v>33</v>
      </c>
      <c r="I174" s="101">
        <v>30</v>
      </c>
      <c r="J174" s="101">
        <v>0</v>
      </c>
      <c r="K174" s="101">
        <v>3</v>
      </c>
      <c r="L174" s="101">
        <v>0</v>
      </c>
      <c r="M174" s="101">
        <v>0</v>
      </c>
      <c r="N174" s="101" t="s">
        <v>3174</v>
      </c>
      <c r="O174" s="101">
        <v>5899</v>
      </c>
      <c r="P174" s="101">
        <v>3289</v>
      </c>
      <c r="Q174" s="101">
        <v>168</v>
      </c>
      <c r="R174" s="101">
        <v>2425</v>
      </c>
      <c r="S174" s="101">
        <v>17</v>
      </c>
      <c r="T174" s="101">
        <v>846</v>
      </c>
    </row>
    <row r="175" s="99" customFormat="1" ht="20" customHeight="1" spans="1:20">
      <c r="A175" s="101" t="s">
        <v>1885</v>
      </c>
      <c r="B175" s="101" t="s">
        <v>3003</v>
      </c>
      <c r="C175" s="101" t="s">
        <v>3004</v>
      </c>
      <c r="D175" s="101" t="s">
        <v>1146</v>
      </c>
      <c r="E175" s="101" t="s">
        <v>1147</v>
      </c>
      <c r="F175" s="101" t="s">
        <v>2666</v>
      </c>
      <c r="G175" s="101">
        <v>11261</v>
      </c>
      <c r="H175" s="101">
        <v>7428</v>
      </c>
      <c r="I175" s="101">
        <v>40</v>
      </c>
      <c r="J175" s="101">
        <v>0</v>
      </c>
      <c r="K175" s="101">
        <v>7388</v>
      </c>
      <c r="L175" s="101">
        <v>0</v>
      </c>
      <c r="M175" s="101">
        <v>0</v>
      </c>
      <c r="N175" s="101" t="s">
        <v>3175</v>
      </c>
      <c r="O175" s="101">
        <v>3833</v>
      </c>
      <c r="P175" s="101">
        <v>3451</v>
      </c>
      <c r="Q175" s="101">
        <v>318</v>
      </c>
      <c r="R175" s="101">
        <v>25</v>
      </c>
      <c r="S175" s="101">
        <v>39</v>
      </c>
      <c r="T175" s="101">
        <v>2012</v>
      </c>
    </row>
    <row r="176" s="99" customFormat="1" ht="20" customHeight="1" spans="1:20">
      <c r="A176" s="101" t="s">
        <v>2243</v>
      </c>
      <c r="B176" s="101" t="s">
        <v>3003</v>
      </c>
      <c r="C176" s="101" t="s">
        <v>3004</v>
      </c>
      <c r="D176" s="101" t="s">
        <v>1146</v>
      </c>
      <c r="E176" s="101" t="s">
        <v>1147</v>
      </c>
      <c r="F176" s="101" t="s">
        <v>2677</v>
      </c>
      <c r="G176" s="101">
        <v>1472</v>
      </c>
      <c r="H176" s="101">
        <v>123</v>
      </c>
      <c r="I176" s="101">
        <v>123</v>
      </c>
      <c r="J176" s="101">
        <v>0</v>
      </c>
      <c r="K176" s="101">
        <v>0</v>
      </c>
      <c r="L176" s="101">
        <v>0</v>
      </c>
      <c r="M176" s="101">
        <v>0</v>
      </c>
      <c r="N176" s="101" t="s">
        <v>3176</v>
      </c>
      <c r="O176" s="101">
        <v>1349</v>
      </c>
      <c r="P176" s="101">
        <v>1349</v>
      </c>
      <c r="Q176" s="101">
        <v>0</v>
      </c>
      <c r="R176" s="101">
        <v>0</v>
      </c>
      <c r="S176" s="101">
        <v>0</v>
      </c>
      <c r="T176" s="101">
        <v>0</v>
      </c>
    </row>
    <row r="177" s="99" customFormat="1" ht="20" customHeight="1" spans="1:20">
      <c r="A177" s="101" t="s">
        <v>2479</v>
      </c>
      <c r="B177" s="101" t="s">
        <v>3003</v>
      </c>
      <c r="C177" s="101" t="s">
        <v>3004</v>
      </c>
      <c r="D177" s="101" t="s">
        <v>1146</v>
      </c>
      <c r="E177" s="101" t="s">
        <v>1147</v>
      </c>
      <c r="F177" s="101" t="s">
        <v>2680</v>
      </c>
      <c r="G177" s="101">
        <v>1975</v>
      </c>
      <c r="H177" s="101">
        <v>260</v>
      </c>
      <c r="I177" s="101">
        <v>260</v>
      </c>
      <c r="J177" s="101">
        <v>0</v>
      </c>
      <c r="K177" s="101">
        <v>0</v>
      </c>
      <c r="L177" s="101">
        <v>0</v>
      </c>
      <c r="M177" s="101">
        <v>0</v>
      </c>
      <c r="N177" s="101" t="s">
        <v>3177</v>
      </c>
      <c r="O177" s="101">
        <v>1715</v>
      </c>
      <c r="P177" s="101">
        <v>1715</v>
      </c>
      <c r="Q177" s="101">
        <v>0</v>
      </c>
      <c r="R177" s="101">
        <v>0</v>
      </c>
      <c r="S177" s="101">
        <v>0</v>
      </c>
      <c r="T177" s="101">
        <v>0</v>
      </c>
    </row>
    <row r="178" s="99" customFormat="1" ht="20" customHeight="1" spans="1:20">
      <c r="A178" s="101" t="s">
        <v>1294</v>
      </c>
      <c r="B178" s="101" t="s">
        <v>3003</v>
      </c>
      <c r="C178" s="101" t="s">
        <v>3004</v>
      </c>
      <c r="D178" s="101" t="s">
        <v>1146</v>
      </c>
      <c r="E178" s="101" t="s">
        <v>1147</v>
      </c>
      <c r="F178" s="101" t="s">
        <v>2683</v>
      </c>
      <c r="G178" s="101">
        <v>853</v>
      </c>
      <c r="H178" s="101">
        <v>14</v>
      </c>
      <c r="I178" s="101">
        <v>14</v>
      </c>
      <c r="J178" s="101">
        <v>0</v>
      </c>
      <c r="K178" s="101">
        <v>0</v>
      </c>
      <c r="L178" s="101">
        <v>0</v>
      </c>
      <c r="M178" s="101">
        <v>0</v>
      </c>
      <c r="N178" s="101" t="s">
        <v>3178</v>
      </c>
      <c r="O178" s="101">
        <v>839</v>
      </c>
      <c r="P178" s="101">
        <v>814</v>
      </c>
      <c r="Q178" s="101">
        <v>1</v>
      </c>
      <c r="R178" s="101">
        <v>1</v>
      </c>
      <c r="S178" s="101">
        <v>23</v>
      </c>
      <c r="T178" s="101">
        <v>1390</v>
      </c>
    </row>
    <row r="179" s="99" customFormat="1" ht="20" customHeight="1" spans="1:20">
      <c r="A179" s="101" t="s">
        <v>1304</v>
      </c>
      <c r="B179" s="101" t="s">
        <v>3003</v>
      </c>
      <c r="C179" s="101" t="s">
        <v>3004</v>
      </c>
      <c r="D179" s="101" t="s">
        <v>1146</v>
      </c>
      <c r="E179" s="101" t="s">
        <v>1147</v>
      </c>
      <c r="F179" s="101" t="s">
        <v>2686</v>
      </c>
      <c r="G179" s="101">
        <v>2845</v>
      </c>
      <c r="H179" s="101">
        <v>2360</v>
      </c>
      <c r="I179" s="101">
        <v>6</v>
      </c>
      <c r="J179" s="101">
        <v>0</v>
      </c>
      <c r="K179" s="101">
        <v>2354</v>
      </c>
      <c r="L179" s="101">
        <v>0</v>
      </c>
      <c r="M179" s="101">
        <v>0</v>
      </c>
      <c r="N179" s="101" t="s">
        <v>3179</v>
      </c>
      <c r="O179" s="101">
        <v>485</v>
      </c>
      <c r="P179" s="101">
        <v>424</v>
      </c>
      <c r="Q179" s="101">
        <v>59</v>
      </c>
      <c r="R179" s="101">
        <v>0</v>
      </c>
      <c r="S179" s="101">
        <v>2</v>
      </c>
      <c r="T179" s="101">
        <v>32</v>
      </c>
    </row>
    <row r="180" s="99" customFormat="1" ht="20" customHeight="1" spans="1:20">
      <c r="A180" s="101" t="s">
        <v>1272</v>
      </c>
      <c r="B180" s="101" t="s">
        <v>3003</v>
      </c>
      <c r="C180" s="101" t="s">
        <v>3004</v>
      </c>
      <c r="D180" s="101" t="s">
        <v>1146</v>
      </c>
      <c r="E180" s="101" t="s">
        <v>1147</v>
      </c>
      <c r="F180" s="101" t="s">
        <v>2691</v>
      </c>
      <c r="G180" s="101">
        <v>10506</v>
      </c>
      <c r="H180" s="101">
        <v>7524</v>
      </c>
      <c r="I180" s="101">
        <v>30</v>
      </c>
      <c r="J180" s="101">
        <v>0</v>
      </c>
      <c r="K180" s="101">
        <v>7494</v>
      </c>
      <c r="L180" s="101">
        <v>0</v>
      </c>
      <c r="M180" s="101">
        <v>0</v>
      </c>
      <c r="N180" s="101" t="s">
        <v>3180</v>
      </c>
      <c r="O180" s="101">
        <v>2982</v>
      </c>
      <c r="P180" s="101">
        <v>2759</v>
      </c>
      <c r="Q180" s="101">
        <v>163</v>
      </c>
      <c r="R180" s="101">
        <v>0</v>
      </c>
      <c r="S180" s="101">
        <v>60</v>
      </c>
      <c r="T180" s="101">
        <v>2277</v>
      </c>
    </row>
    <row r="181" s="99" customFormat="1" ht="20" customHeight="1" spans="1:20">
      <c r="A181" s="101" t="s">
        <v>3181</v>
      </c>
      <c r="B181" s="101" t="s">
        <v>3003</v>
      </c>
      <c r="C181" s="101" t="s">
        <v>3004</v>
      </c>
      <c r="D181" s="101" t="s">
        <v>1146</v>
      </c>
      <c r="E181" s="101" t="s">
        <v>1147</v>
      </c>
      <c r="F181" s="101" t="s">
        <v>2700</v>
      </c>
      <c r="G181" s="101">
        <v>8503</v>
      </c>
      <c r="H181" s="101">
        <v>6647</v>
      </c>
      <c r="I181" s="101">
        <v>89</v>
      </c>
      <c r="J181" s="101">
        <v>0</v>
      </c>
      <c r="K181" s="101">
        <v>6558</v>
      </c>
      <c r="L181" s="101">
        <v>0</v>
      </c>
      <c r="M181" s="101">
        <v>0</v>
      </c>
      <c r="N181" s="101" t="s">
        <v>3182</v>
      </c>
      <c r="O181" s="101">
        <v>1856</v>
      </c>
      <c r="P181" s="101">
        <v>1569</v>
      </c>
      <c r="Q181" s="101">
        <v>280</v>
      </c>
      <c r="R181" s="101">
        <v>2</v>
      </c>
      <c r="S181" s="101">
        <v>5</v>
      </c>
      <c r="T181" s="101">
        <v>5</v>
      </c>
    </row>
    <row r="182" s="99" customFormat="1" ht="20" customHeight="1" spans="1:20">
      <c r="A182" s="101" t="s">
        <v>2380</v>
      </c>
      <c r="B182" s="101" t="s">
        <v>3003</v>
      </c>
      <c r="C182" s="101" t="s">
        <v>3004</v>
      </c>
      <c r="D182" s="101" t="s">
        <v>1146</v>
      </c>
      <c r="E182" s="101" t="s">
        <v>1147</v>
      </c>
      <c r="F182" s="101" t="s">
        <v>2707</v>
      </c>
      <c r="G182" s="101">
        <v>8191</v>
      </c>
      <c r="H182" s="101">
        <v>26</v>
      </c>
      <c r="I182" s="101">
        <v>23</v>
      </c>
      <c r="J182" s="101">
        <v>0</v>
      </c>
      <c r="K182" s="101">
        <v>3</v>
      </c>
      <c r="L182" s="101">
        <v>0</v>
      </c>
      <c r="M182" s="101">
        <v>0</v>
      </c>
      <c r="N182" s="101" t="s">
        <v>3183</v>
      </c>
      <c r="O182" s="101">
        <v>8165</v>
      </c>
      <c r="P182" s="101">
        <v>6367</v>
      </c>
      <c r="Q182" s="101">
        <v>36</v>
      </c>
      <c r="R182" s="101">
        <v>1741</v>
      </c>
      <c r="S182" s="101">
        <v>21</v>
      </c>
      <c r="T182" s="101">
        <v>179</v>
      </c>
    </row>
    <row r="183" s="99" customFormat="1" ht="20" customHeight="1" spans="1:20">
      <c r="A183" s="101" t="s">
        <v>3184</v>
      </c>
      <c r="B183" s="101" t="s">
        <v>3003</v>
      </c>
      <c r="C183" s="101" t="s">
        <v>3004</v>
      </c>
      <c r="D183" s="101" t="s">
        <v>1146</v>
      </c>
      <c r="E183" s="101" t="s">
        <v>1147</v>
      </c>
      <c r="F183" s="101" t="s">
        <v>2714</v>
      </c>
      <c r="G183" s="101">
        <v>7344</v>
      </c>
      <c r="H183" s="101">
        <v>2578</v>
      </c>
      <c r="I183" s="101">
        <v>16</v>
      </c>
      <c r="J183" s="101">
        <v>0</v>
      </c>
      <c r="K183" s="101">
        <v>2562</v>
      </c>
      <c r="L183" s="101">
        <v>0</v>
      </c>
      <c r="M183" s="101">
        <v>0</v>
      </c>
      <c r="N183" s="101" t="s">
        <v>3185</v>
      </c>
      <c r="O183" s="101">
        <v>4766</v>
      </c>
      <c r="P183" s="101">
        <v>4651</v>
      </c>
      <c r="Q183" s="101">
        <v>114</v>
      </c>
      <c r="R183" s="101">
        <v>1</v>
      </c>
      <c r="S183" s="101">
        <v>0</v>
      </c>
      <c r="T183" s="101">
        <v>0</v>
      </c>
    </row>
    <row r="184" s="99" customFormat="1" ht="20" customHeight="1" spans="1:20">
      <c r="A184" s="101" t="s">
        <v>1425</v>
      </c>
      <c r="B184" s="101" t="s">
        <v>3003</v>
      </c>
      <c r="C184" s="101" t="s">
        <v>3004</v>
      </c>
      <c r="D184" s="101" t="s">
        <v>1146</v>
      </c>
      <c r="E184" s="101" t="s">
        <v>1147</v>
      </c>
      <c r="F184" s="101" t="s">
        <v>2721</v>
      </c>
      <c r="G184" s="101">
        <v>15294</v>
      </c>
      <c r="H184" s="101">
        <v>13014</v>
      </c>
      <c r="I184" s="101">
        <v>202</v>
      </c>
      <c r="J184" s="101">
        <v>0</v>
      </c>
      <c r="K184" s="101">
        <v>12812</v>
      </c>
      <c r="L184" s="101">
        <v>0</v>
      </c>
      <c r="M184" s="101">
        <v>0</v>
      </c>
      <c r="N184" s="101" t="s">
        <v>3186</v>
      </c>
      <c r="O184" s="101">
        <v>2280</v>
      </c>
      <c r="P184" s="101">
        <v>1628</v>
      </c>
      <c r="Q184" s="101">
        <v>652</v>
      </c>
      <c r="R184" s="101">
        <v>0</v>
      </c>
      <c r="S184" s="101">
        <v>0</v>
      </c>
      <c r="T184" s="101">
        <v>0</v>
      </c>
    </row>
    <row r="185" s="99" customFormat="1" ht="20" customHeight="1" spans="1:20">
      <c r="A185" s="101" t="s">
        <v>1646</v>
      </c>
      <c r="B185" s="101" t="s">
        <v>3003</v>
      </c>
      <c r="C185" s="101" t="s">
        <v>3004</v>
      </c>
      <c r="D185" s="101" t="s">
        <v>1146</v>
      </c>
      <c r="E185" s="101" t="s">
        <v>1147</v>
      </c>
      <c r="F185" s="101" t="s">
        <v>2729</v>
      </c>
      <c r="G185" s="101">
        <v>7865</v>
      </c>
      <c r="H185" s="101">
        <v>5363</v>
      </c>
      <c r="I185" s="101">
        <v>196</v>
      </c>
      <c r="J185" s="101">
        <v>0</v>
      </c>
      <c r="K185" s="101">
        <v>5167</v>
      </c>
      <c r="L185" s="101">
        <v>0</v>
      </c>
      <c r="M185" s="101">
        <v>0</v>
      </c>
      <c r="N185" s="101" t="s">
        <v>3187</v>
      </c>
      <c r="O185" s="101">
        <v>2502</v>
      </c>
      <c r="P185" s="101">
        <v>2345</v>
      </c>
      <c r="Q185" s="101">
        <v>115</v>
      </c>
      <c r="R185" s="101">
        <v>1</v>
      </c>
      <c r="S185" s="101">
        <v>41</v>
      </c>
      <c r="T185" s="101">
        <v>1859</v>
      </c>
    </row>
    <row r="186" s="99" customFormat="1" ht="20" customHeight="1" spans="1:20">
      <c r="A186" s="101" t="s">
        <v>2511</v>
      </c>
      <c r="B186" s="101" t="s">
        <v>3003</v>
      </c>
      <c r="C186" s="101" t="s">
        <v>3004</v>
      </c>
      <c r="D186" s="101" t="s">
        <v>1146</v>
      </c>
      <c r="E186" s="101" t="s">
        <v>1147</v>
      </c>
      <c r="F186" s="101" t="s">
        <v>2734</v>
      </c>
      <c r="G186" s="101">
        <v>13490</v>
      </c>
      <c r="H186" s="101">
        <v>9920</v>
      </c>
      <c r="I186" s="101">
        <v>68</v>
      </c>
      <c r="J186" s="101">
        <v>0</v>
      </c>
      <c r="K186" s="101">
        <v>9852</v>
      </c>
      <c r="L186" s="101">
        <v>0</v>
      </c>
      <c r="M186" s="101">
        <v>0</v>
      </c>
      <c r="N186" s="101" t="s">
        <v>3188</v>
      </c>
      <c r="O186" s="101">
        <v>3570</v>
      </c>
      <c r="P186" s="101">
        <v>3304</v>
      </c>
      <c r="Q186" s="101">
        <v>222</v>
      </c>
      <c r="R186" s="101">
        <v>0</v>
      </c>
      <c r="S186" s="101">
        <v>44</v>
      </c>
      <c r="T186" s="101">
        <v>1866</v>
      </c>
    </row>
    <row r="187" s="99" customFormat="1" ht="20" customHeight="1" spans="1:20">
      <c r="A187" s="101" t="s">
        <v>2117</v>
      </c>
      <c r="B187" s="101" t="s">
        <v>3003</v>
      </c>
      <c r="C187" s="101" t="s">
        <v>3004</v>
      </c>
      <c r="D187" s="101" t="s">
        <v>1146</v>
      </c>
      <c r="E187" s="101" t="s">
        <v>1147</v>
      </c>
      <c r="F187" s="101" t="s">
        <v>2743</v>
      </c>
      <c r="G187" s="101">
        <v>6472</v>
      </c>
      <c r="H187" s="101">
        <v>4875</v>
      </c>
      <c r="I187" s="101">
        <v>15</v>
      </c>
      <c r="J187" s="101">
        <v>0</v>
      </c>
      <c r="K187" s="101">
        <v>4860</v>
      </c>
      <c r="L187" s="101">
        <v>0</v>
      </c>
      <c r="M187" s="101">
        <v>0</v>
      </c>
      <c r="N187" s="101" t="s">
        <v>3189</v>
      </c>
      <c r="O187" s="101">
        <v>1597</v>
      </c>
      <c r="P187" s="101">
        <v>1408</v>
      </c>
      <c r="Q187" s="101">
        <v>189</v>
      </c>
      <c r="R187" s="101">
        <v>0</v>
      </c>
      <c r="S187" s="101">
        <v>0</v>
      </c>
      <c r="T187" s="101">
        <v>0</v>
      </c>
    </row>
    <row r="188" s="99" customFormat="1" ht="20" customHeight="1" spans="1:20">
      <c r="A188" s="101" t="s">
        <v>2697</v>
      </c>
      <c r="B188" s="101" t="s">
        <v>3003</v>
      </c>
      <c r="C188" s="101" t="s">
        <v>3004</v>
      </c>
      <c r="D188" s="101" t="s">
        <v>1146</v>
      </c>
      <c r="E188" s="101" t="s">
        <v>1147</v>
      </c>
      <c r="F188" s="101" t="s">
        <v>2749</v>
      </c>
      <c r="G188" s="101">
        <v>6369</v>
      </c>
      <c r="H188" s="101">
        <v>1947</v>
      </c>
      <c r="I188" s="101">
        <v>56</v>
      </c>
      <c r="J188" s="101">
        <v>0</v>
      </c>
      <c r="K188" s="101">
        <v>1891</v>
      </c>
      <c r="L188" s="101">
        <v>0</v>
      </c>
      <c r="M188" s="101">
        <v>0</v>
      </c>
      <c r="N188" s="101" t="s">
        <v>3190</v>
      </c>
      <c r="O188" s="101">
        <v>4422</v>
      </c>
      <c r="P188" s="101">
        <v>4349</v>
      </c>
      <c r="Q188" s="101">
        <v>72</v>
      </c>
      <c r="R188" s="101">
        <v>1</v>
      </c>
      <c r="S188" s="101">
        <v>0</v>
      </c>
      <c r="T188" s="101">
        <v>0</v>
      </c>
    </row>
    <row r="189" s="99" customFormat="1" ht="20" customHeight="1" spans="1:20">
      <c r="A189" s="101" t="s">
        <v>1853</v>
      </c>
      <c r="B189" s="101" t="s">
        <v>3003</v>
      </c>
      <c r="C189" s="101" t="s">
        <v>3004</v>
      </c>
      <c r="D189" s="101" t="s">
        <v>1146</v>
      </c>
      <c r="E189" s="101" t="s">
        <v>1147</v>
      </c>
      <c r="F189" s="101" t="s">
        <v>2756</v>
      </c>
      <c r="G189" s="101">
        <v>19785</v>
      </c>
      <c r="H189" s="101">
        <v>14924</v>
      </c>
      <c r="I189" s="101">
        <v>98</v>
      </c>
      <c r="J189" s="101">
        <v>0</v>
      </c>
      <c r="K189" s="101">
        <v>14826</v>
      </c>
      <c r="L189" s="101">
        <v>0</v>
      </c>
      <c r="M189" s="101">
        <v>0</v>
      </c>
      <c r="N189" s="101" t="s">
        <v>3191</v>
      </c>
      <c r="O189" s="101">
        <v>4861</v>
      </c>
      <c r="P189" s="101">
        <v>4037</v>
      </c>
      <c r="Q189" s="101">
        <v>501</v>
      </c>
      <c r="R189" s="101">
        <v>323</v>
      </c>
      <c r="S189" s="101">
        <v>0</v>
      </c>
      <c r="T189" s="101">
        <v>0</v>
      </c>
    </row>
    <row r="190" s="99" customFormat="1" ht="20" customHeight="1" spans="1:20">
      <c r="A190" s="101" t="s">
        <v>1712</v>
      </c>
      <c r="B190" s="101" t="s">
        <v>3003</v>
      </c>
      <c r="C190" s="101" t="s">
        <v>3004</v>
      </c>
      <c r="D190" s="101" t="s">
        <v>1146</v>
      </c>
      <c r="E190" s="101" t="s">
        <v>1147</v>
      </c>
      <c r="F190" s="101" t="s">
        <v>2766</v>
      </c>
      <c r="G190" s="101">
        <v>21493</v>
      </c>
      <c r="H190" s="101">
        <v>14048</v>
      </c>
      <c r="I190" s="101">
        <v>176</v>
      </c>
      <c r="J190" s="101">
        <v>0</v>
      </c>
      <c r="K190" s="101">
        <v>13872</v>
      </c>
      <c r="L190" s="101">
        <v>0</v>
      </c>
      <c r="M190" s="101">
        <v>0</v>
      </c>
      <c r="N190" s="101" t="s">
        <v>3192</v>
      </c>
      <c r="O190" s="101">
        <v>7445</v>
      </c>
      <c r="P190" s="101">
        <v>5232</v>
      </c>
      <c r="Q190" s="101">
        <v>693</v>
      </c>
      <c r="R190" s="101">
        <v>1520</v>
      </c>
      <c r="S190" s="101">
        <v>0</v>
      </c>
      <c r="T190" s="101">
        <v>0</v>
      </c>
    </row>
    <row r="191" s="99" customFormat="1" ht="20" customHeight="1" spans="1:20">
      <c r="A191" s="101" t="s">
        <v>1710</v>
      </c>
      <c r="B191" s="101" t="s">
        <v>3003</v>
      </c>
      <c r="C191" s="101" t="s">
        <v>3004</v>
      </c>
      <c r="D191" s="101" t="s">
        <v>1146</v>
      </c>
      <c r="E191" s="101" t="s">
        <v>1147</v>
      </c>
      <c r="F191" s="101" t="s">
        <v>2776</v>
      </c>
      <c r="G191" s="101">
        <v>18134</v>
      </c>
      <c r="H191" s="101">
        <v>12855</v>
      </c>
      <c r="I191" s="101">
        <v>105</v>
      </c>
      <c r="J191" s="101">
        <v>0</v>
      </c>
      <c r="K191" s="101">
        <v>12750</v>
      </c>
      <c r="L191" s="101">
        <v>0</v>
      </c>
      <c r="M191" s="101">
        <v>0</v>
      </c>
      <c r="N191" s="101" t="s">
        <v>3193</v>
      </c>
      <c r="O191" s="101">
        <v>5279</v>
      </c>
      <c r="P191" s="101">
        <v>4097</v>
      </c>
      <c r="Q191" s="101">
        <v>527</v>
      </c>
      <c r="R191" s="101">
        <v>651</v>
      </c>
      <c r="S191" s="101">
        <v>4</v>
      </c>
      <c r="T191" s="101">
        <v>47</v>
      </c>
    </row>
    <row r="192" s="99" customFormat="1" ht="20" customHeight="1" spans="1:20">
      <c r="A192" s="101" t="s">
        <v>1266</v>
      </c>
      <c r="B192" s="101" t="s">
        <v>3003</v>
      </c>
      <c r="C192" s="101" t="s">
        <v>3004</v>
      </c>
      <c r="D192" s="101" t="s">
        <v>1146</v>
      </c>
      <c r="E192" s="101" t="s">
        <v>1147</v>
      </c>
      <c r="F192" s="101" t="s">
        <v>2785</v>
      </c>
      <c r="G192" s="101">
        <v>15462</v>
      </c>
      <c r="H192" s="101">
        <v>11728</v>
      </c>
      <c r="I192" s="101">
        <v>114</v>
      </c>
      <c r="J192" s="101">
        <v>0</v>
      </c>
      <c r="K192" s="101">
        <v>11614</v>
      </c>
      <c r="L192" s="101">
        <v>0</v>
      </c>
      <c r="M192" s="101">
        <v>0</v>
      </c>
      <c r="N192" s="101" t="s">
        <v>3194</v>
      </c>
      <c r="O192" s="101">
        <v>3734</v>
      </c>
      <c r="P192" s="101">
        <v>3078</v>
      </c>
      <c r="Q192" s="101">
        <v>653</v>
      </c>
      <c r="R192" s="101">
        <v>3</v>
      </c>
      <c r="S192" s="101">
        <v>0</v>
      </c>
      <c r="T192" s="101">
        <v>0</v>
      </c>
    </row>
    <row r="193" s="99" customFormat="1" ht="20" customHeight="1" spans="1:20">
      <c r="A193" s="101" t="s">
        <v>1504</v>
      </c>
      <c r="B193" s="101" t="s">
        <v>3003</v>
      </c>
      <c r="C193" s="101" t="s">
        <v>3004</v>
      </c>
      <c r="D193" s="101" t="s">
        <v>1146</v>
      </c>
      <c r="E193" s="101" t="s">
        <v>1147</v>
      </c>
      <c r="F193" s="101" t="s">
        <v>2793</v>
      </c>
      <c r="G193" s="101">
        <v>2446</v>
      </c>
      <c r="H193" s="101">
        <v>550</v>
      </c>
      <c r="I193" s="101">
        <v>174</v>
      </c>
      <c r="J193" s="101">
        <v>0</v>
      </c>
      <c r="K193" s="101">
        <v>376</v>
      </c>
      <c r="L193" s="101">
        <v>0</v>
      </c>
      <c r="M193" s="101">
        <v>0</v>
      </c>
      <c r="N193" s="101" t="s">
        <v>3195</v>
      </c>
      <c r="O193" s="101">
        <v>1896</v>
      </c>
      <c r="P193" s="101">
        <v>1855</v>
      </c>
      <c r="Q193" s="101">
        <v>10</v>
      </c>
      <c r="R193" s="101">
        <v>1</v>
      </c>
      <c r="S193" s="101">
        <v>30</v>
      </c>
      <c r="T193" s="101">
        <v>456</v>
      </c>
    </row>
    <row r="194" s="99" customFormat="1" ht="20" customHeight="1" spans="1:20">
      <c r="A194" s="101" t="s">
        <v>2094</v>
      </c>
      <c r="B194" s="101" t="s">
        <v>3003</v>
      </c>
      <c r="C194" s="101" t="s">
        <v>3004</v>
      </c>
      <c r="D194" s="101" t="s">
        <v>1146</v>
      </c>
      <c r="E194" s="101" t="s">
        <v>1147</v>
      </c>
      <c r="F194" s="101" t="s">
        <v>2799</v>
      </c>
      <c r="G194" s="101">
        <v>11590</v>
      </c>
      <c r="H194" s="101">
        <v>10077</v>
      </c>
      <c r="I194" s="101">
        <v>82</v>
      </c>
      <c r="J194" s="101">
        <v>0</v>
      </c>
      <c r="K194" s="101">
        <v>9995</v>
      </c>
      <c r="L194" s="101">
        <v>0</v>
      </c>
      <c r="M194" s="101">
        <v>0</v>
      </c>
      <c r="N194" s="101" t="s">
        <v>3196</v>
      </c>
      <c r="O194" s="101">
        <v>1513</v>
      </c>
      <c r="P194" s="101">
        <v>1329</v>
      </c>
      <c r="Q194" s="101">
        <v>166</v>
      </c>
      <c r="R194" s="101">
        <v>0</v>
      </c>
      <c r="S194" s="101">
        <v>18</v>
      </c>
      <c r="T194" s="101">
        <v>600</v>
      </c>
    </row>
    <row r="195" s="99" customFormat="1" ht="20" customHeight="1" spans="1:20">
      <c r="A195" s="101" t="s">
        <v>1641</v>
      </c>
      <c r="B195" s="101" t="s">
        <v>3003</v>
      </c>
      <c r="C195" s="101" t="s">
        <v>3004</v>
      </c>
      <c r="D195" s="101" t="s">
        <v>1146</v>
      </c>
      <c r="E195" s="101" t="s">
        <v>1147</v>
      </c>
      <c r="F195" s="101" t="s">
        <v>2808</v>
      </c>
      <c r="G195" s="101">
        <v>16159</v>
      </c>
      <c r="H195" s="101">
        <v>12387</v>
      </c>
      <c r="I195" s="101">
        <v>69</v>
      </c>
      <c r="J195" s="101">
        <v>0</v>
      </c>
      <c r="K195" s="101">
        <v>12318</v>
      </c>
      <c r="L195" s="101">
        <v>0</v>
      </c>
      <c r="M195" s="101">
        <v>0</v>
      </c>
      <c r="N195" s="101" t="s">
        <v>3197</v>
      </c>
      <c r="O195" s="101">
        <v>3772</v>
      </c>
      <c r="P195" s="101">
        <v>3526</v>
      </c>
      <c r="Q195" s="101">
        <v>202</v>
      </c>
      <c r="R195" s="101">
        <v>1</v>
      </c>
      <c r="S195" s="101">
        <v>43</v>
      </c>
      <c r="T195" s="101">
        <v>469</v>
      </c>
    </row>
    <row r="196" s="99" customFormat="1" ht="20" customHeight="1" spans="1:20">
      <c r="A196" s="101" t="s">
        <v>1277</v>
      </c>
      <c r="B196" s="101" t="s">
        <v>3003</v>
      </c>
      <c r="C196" s="101" t="s">
        <v>3004</v>
      </c>
      <c r="D196" s="101" t="s">
        <v>1146</v>
      </c>
      <c r="E196" s="101" t="s">
        <v>1147</v>
      </c>
      <c r="F196" s="101" t="s">
        <v>2817</v>
      </c>
      <c r="G196" s="101">
        <v>18384</v>
      </c>
      <c r="H196" s="101">
        <v>14609</v>
      </c>
      <c r="I196" s="101">
        <v>51</v>
      </c>
      <c r="J196" s="101">
        <v>0</v>
      </c>
      <c r="K196" s="101">
        <v>14558</v>
      </c>
      <c r="L196" s="101">
        <v>0</v>
      </c>
      <c r="M196" s="101">
        <v>0</v>
      </c>
      <c r="N196" s="101" t="s">
        <v>3198</v>
      </c>
      <c r="O196" s="101">
        <v>3775</v>
      </c>
      <c r="P196" s="101">
        <v>3489</v>
      </c>
      <c r="Q196" s="101">
        <v>209</v>
      </c>
      <c r="R196" s="101">
        <v>0</v>
      </c>
      <c r="S196" s="101">
        <v>77</v>
      </c>
      <c r="T196" s="101">
        <v>3085</v>
      </c>
    </row>
    <row r="197" s="99" customFormat="1" ht="20" customHeight="1" spans="1:20">
      <c r="A197" s="101" t="s">
        <v>1384</v>
      </c>
      <c r="B197" s="101" t="s">
        <v>3003</v>
      </c>
      <c r="C197" s="101" t="s">
        <v>3004</v>
      </c>
      <c r="D197" s="101" t="s">
        <v>1146</v>
      </c>
      <c r="E197" s="101" t="s">
        <v>1147</v>
      </c>
      <c r="F197" s="101" t="s">
        <v>2827</v>
      </c>
      <c r="G197" s="101">
        <v>12355</v>
      </c>
      <c r="H197" s="101">
        <v>8116</v>
      </c>
      <c r="I197" s="101">
        <v>101</v>
      </c>
      <c r="J197" s="101">
        <v>0</v>
      </c>
      <c r="K197" s="101">
        <v>8015</v>
      </c>
      <c r="L197" s="101">
        <v>0</v>
      </c>
      <c r="M197" s="101">
        <v>0</v>
      </c>
      <c r="N197" s="101" t="s">
        <v>3199</v>
      </c>
      <c r="O197" s="101">
        <v>4239</v>
      </c>
      <c r="P197" s="101">
        <v>4067</v>
      </c>
      <c r="Q197" s="101">
        <v>155</v>
      </c>
      <c r="R197" s="101">
        <v>12</v>
      </c>
      <c r="S197" s="101">
        <v>5</v>
      </c>
      <c r="T197" s="101">
        <v>153</v>
      </c>
    </row>
    <row r="198" s="99" customFormat="1" ht="20" customHeight="1" spans="1:20">
      <c r="A198" s="101" t="s">
        <v>2508</v>
      </c>
      <c r="B198" s="101" t="s">
        <v>3003</v>
      </c>
      <c r="C198" s="101" t="s">
        <v>3004</v>
      </c>
      <c r="D198" s="101" t="s">
        <v>1146</v>
      </c>
      <c r="E198" s="101" t="s">
        <v>1147</v>
      </c>
      <c r="F198" s="101" t="s">
        <v>2834</v>
      </c>
      <c r="G198" s="101">
        <v>7789</v>
      </c>
      <c r="H198" s="101">
        <v>1427</v>
      </c>
      <c r="I198" s="101">
        <v>163</v>
      </c>
      <c r="J198" s="101">
        <v>0</v>
      </c>
      <c r="K198" s="101">
        <v>1264</v>
      </c>
      <c r="L198" s="101">
        <v>0</v>
      </c>
      <c r="M198" s="101">
        <v>0</v>
      </c>
      <c r="N198" s="101" t="s">
        <v>3200</v>
      </c>
      <c r="O198" s="101">
        <v>6362</v>
      </c>
      <c r="P198" s="101">
        <v>4564</v>
      </c>
      <c r="Q198" s="101">
        <v>112</v>
      </c>
      <c r="R198" s="101">
        <v>1651</v>
      </c>
      <c r="S198" s="101">
        <v>35</v>
      </c>
      <c r="T198" s="101">
        <v>882</v>
      </c>
    </row>
    <row r="199" s="99" customFormat="1" ht="20" customHeight="1" spans="1:20">
      <c r="A199" s="101" t="s">
        <v>2640</v>
      </c>
      <c r="B199" s="101" t="s">
        <v>3003</v>
      </c>
      <c r="C199" s="101" t="s">
        <v>3004</v>
      </c>
      <c r="D199" s="101" t="s">
        <v>1146</v>
      </c>
      <c r="E199" s="101" t="s">
        <v>1147</v>
      </c>
      <c r="F199" s="101" t="s">
        <v>2842</v>
      </c>
      <c r="G199" s="101">
        <v>15828</v>
      </c>
      <c r="H199" s="101">
        <v>12372</v>
      </c>
      <c r="I199" s="101">
        <v>61</v>
      </c>
      <c r="J199" s="101">
        <v>0</v>
      </c>
      <c r="K199" s="101">
        <v>12311</v>
      </c>
      <c r="L199" s="101">
        <v>0</v>
      </c>
      <c r="M199" s="101">
        <v>0</v>
      </c>
      <c r="N199" s="101" t="s">
        <v>3182</v>
      </c>
      <c r="O199" s="101">
        <v>3456</v>
      </c>
      <c r="P199" s="101">
        <v>2745</v>
      </c>
      <c r="Q199" s="101">
        <v>430</v>
      </c>
      <c r="R199" s="101">
        <v>268</v>
      </c>
      <c r="S199" s="101">
        <v>13</v>
      </c>
      <c r="T199" s="101">
        <v>744</v>
      </c>
    </row>
    <row r="200" s="99" customFormat="1" ht="20" customHeight="1" spans="1:20">
      <c r="A200" s="101" t="s">
        <v>2427</v>
      </c>
      <c r="B200" s="101" t="s">
        <v>3003</v>
      </c>
      <c r="C200" s="101" t="s">
        <v>3004</v>
      </c>
      <c r="D200" s="101" t="s">
        <v>1146</v>
      </c>
      <c r="E200" s="101" t="s">
        <v>1147</v>
      </c>
      <c r="F200" s="101" t="s">
        <v>2852</v>
      </c>
      <c r="G200" s="101">
        <v>1640</v>
      </c>
      <c r="H200" s="101">
        <v>219</v>
      </c>
      <c r="I200" s="101">
        <v>219</v>
      </c>
      <c r="J200" s="101">
        <v>0</v>
      </c>
      <c r="K200" s="101">
        <v>0</v>
      </c>
      <c r="L200" s="101">
        <v>0</v>
      </c>
      <c r="M200" s="101">
        <v>0</v>
      </c>
      <c r="N200" s="101" t="s">
        <v>3201</v>
      </c>
      <c r="O200" s="101">
        <v>1421</v>
      </c>
      <c r="P200" s="101">
        <v>1421</v>
      </c>
      <c r="Q200" s="101">
        <v>0</v>
      </c>
      <c r="R200" s="101">
        <v>0</v>
      </c>
      <c r="S200" s="101">
        <v>0</v>
      </c>
      <c r="T200" s="101">
        <v>0</v>
      </c>
    </row>
    <row r="201" s="99" customFormat="1" ht="20" customHeight="1" spans="1:20">
      <c r="A201" s="101" t="s">
        <v>3202</v>
      </c>
      <c r="B201" s="101" t="s">
        <v>3003</v>
      </c>
      <c r="C201" s="101" t="s">
        <v>3004</v>
      </c>
      <c r="D201" s="101" t="s">
        <v>1146</v>
      </c>
      <c r="E201" s="101" t="s">
        <v>1147</v>
      </c>
      <c r="F201" s="101" t="s">
        <v>2857</v>
      </c>
      <c r="G201" s="101">
        <v>1896</v>
      </c>
      <c r="H201" s="101">
        <v>141</v>
      </c>
      <c r="I201" s="101">
        <v>141</v>
      </c>
      <c r="J201" s="101">
        <v>0</v>
      </c>
      <c r="K201" s="101">
        <v>0</v>
      </c>
      <c r="L201" s="101">
        <v>0</v>
      </c>
      <c r="M201" s="101">
        <v>0</v>
      </c>
      <c r="N201" s="101" t="s">
        <v>3153</v>
      </c>
      <c r="O201" s="101">
        <v>1755</v>
      </c>
      <c r="P201" s="101">
        <v>1740</v>
      </c>
      <c r="Q201" s="101">
        <v>0</v>
      </c>
      <c r="R201" s="101">
        <v>0</v>
      </c>
      <c r="S201" s="101">
        <v>15</v>
      </c>
      <c r="T201" s="101">
        <v>967</v>
      </c>
    </row>
    <row r="202" s="99" customFormat="1" ht="20" customHeight="1" spans="1:20">
      <c r="A202" s="101" t="s">
        <v>2415</v>
      </c>
      <c r="B202" s="101" t="s">
        <v>3003</v>
      </c>
      <c r="C202" s="101" t="s">
        <v>3004</v>
      </c>
      <c r="D202" s="101" t="s">
        <v>1146</v>
      </c>
      <c r="E202" s="101" t="s">
        <v>1147</v>
      </c>
      <c r="F202" s="101" t="s">
        <v>2864</v>
      </c>
      <c r="G202" s="101">
        <v>8150</v>
      </c>
      <c r="H202" s="101">
        <v>6198</v>
      </c>
      <c r="I202" s="101">
        <v>14</v>
      </c>
      <c r="J202" s="101">
        <v>0</v>
      </c>
      <c r="K202" s="101">
        <v>6184</v>
      </c>
      <c r="L202" s="101">
        <v>0</v>
      </c>
      <c r="M202" s="101">
        <v>0</v>
      </c>
      <c r="N202" s="101" t="s">
        <v>3203</v>
      </c>
      <c r="O202" s="101">
        <v>1952</v>
      </c>
      <c r="P202" s="101">
        <v>1781</v>
      </c>
      <c r="Q202" s="101">
        <v>141</v>
      </c>
      <c r="R202" s="101">
        <v>0</v>
      </c>
      <c r="S202" s="101">
        <v>30</v>
      </c>
      <c r="T202" s="101">
        <v>1902</v>
      </c>
    </row>
    <row r="203" s="99" customFormat="1" ht="20" customHeight="1" spans="1:20">
      <c r="A203" s="101" t="s">
        <v>3204</v>
      </c>
      <c r="B203" s="101" t="s">
        <v>3003</v>
      </c>
      <c r="C203" s="101" t="s">
        <v>3004</v>
      </c>
      <c r="D203" s="101" t="s">
        <v>1146</v>
      </c>
      <c r="E203" s="101" t="s">
        <v>1147</v>
      </c>
      <c r="F203" s="101" t="s">
        <v>2869</v>
      </c>
      <c r="G203" s="101">
        <v>12839</v>
      </c>
      <c r="H203" s="101">
        <v>11180</v>
      </c>
      <c r="I203" s="101">
        <v>14</v>
      </c>
      <c r="J203" s="101">
        <v>0</v>
      </c>
      <c r="K203" s="101">
        <v>11166</v>
      </c>
      <c r="L203" s="101">
        <v>0</v>
      </c>
      <c r="M203" s="101">
        <v>0</v>
      </c>
      <c r="N203" s="101" t="s">
        <v>3205</v>
      </c>
      <c r="O203" s="101">
        <v>1659</v>
      </c>
      <c r="P203" s="101">
        <v>1258</v>
      </c>
      <c r="Q203" s="101">
        <v>364</v>
      </c>
      <c r="R203" s="101">
        <v>1</v>
      </c>
      <c r="S203" s="101">
        <v>36</v>
      </c>
      <c r="T203" s="101">
        <v>2052</v>
      </c>
    </row>
    <row r="204" s="99" customFormat="1" ht="20" customHeight="1" spans="1:20">
      <c r="A204" s="101" t="s">
        <v>1460</v>
      </c>
      <c r="B204" s="101" t="s">
        <v>3003</v>
      </c>
      <c r="C204" s="101" t="s">
        <v>3004</v>
      </c>
      <c r="D204" s="101" t="s">
        <v>1146</v>
      </c>
      <c r="E204" s="101" t="s">
        <v>1147</v>
      </c>
      <c r="F204" s="101" t="s">
        <v>2877</v>
      </c>
      <c r="G204" s="101">
        <v>684</v>
      </c>
      <c r="H204" s="101">
        <v>123</v>
      </c>
      <c r="I204" s="101">
        <v>123</v>
      </c>
      <c r="J204" s="101">
        <v>0</v>
      </c>
      <c r="K204" s="101">
        <v>0</v>
      </c>
      <c r="L204" s="101">
        <v>0</v>
      </c>
      <c r="M204" s="101">
        <v>0</v>
      </c>
      <c r="N204" s="101" t="s">
        <v>3206</v>
      </c>
      <c r="O204" s="101">
        <v>561</v>
      </c>
      <c r="P204" s="101">
        <v>561</v>
      </c>
      <c r="Q204" s="101">
        <v>0</v>
      </c>
      <c r="R204" s="101">
        <v>0</v>
      </c>
      <c r="S204" s="101">
        <v>0</v>
      </c>
      <c r="T204" s="101">
        <v>0</v>
      </c>
    </row>
    <row r="205" s="99" customFormat="1" ht="20" customHeight="1" spans="1:20">
      <c r="A205" s="101" t="s">
        <v>1849</v>
      </c>
      <c r="B205" s="101" t="s">
        <v>3003</v>
      </c>
      <c r="C205" s="101" t="s">
        <v>3004</v>
      </c>
      <c r="D205" s="101" t="s">
        <v>1146</v>
      </c>
      <c r="E205" s="101" t="s">
        <v>1147</v>
      </c>
      <c r="F205" s="101" t="s">
        <v>2883</v>
      </c>
      <c r="G205" s="101">
        <v>3501</v>
      </c>
      <c r="H205" s="101">
        <v>124</v>
      </c>
      <c r="I205" s="101">
        <v>124</v>
      </c>
      <c r="J205" s="101">
        <v>0</v>
      </c>
      <c r="K205" s="101">
        <v>0</v>
      </c>
      <c r="L205" s="101">
        <v>0</v>
      </c>
      <c r="M205" s="101">
        <v>0</v>
      </c>
      <c r="N205" s="101" t="s">
        <v>3207</v>
      </c>
      <c r="O205" s="101">
        <v>3377</v>
      </c>
      <c r="P205" s="101">
        <v>3371</v>
      </c>
      <c r="Q205" s="101">
        <v>0</v>
      </c>
      <c r="R205" s="101">
        <v>0</v>
      </c>
      <c r="S205" s="101">
        <v>6</v>
      </c>
      <c r="T205" s="101">
        <v>28</v>
      </c>
    </row>
    <row r="206" s="99" customFormat="1" ht="20" customHeight="1" spans="1:20">
      <c r="A206" s="101" t="s">
        <v>2922</v>
      </c>
      <c r="B206" s="101" t="s">
        <v>3003</v>
      </c>
      <c r="C206" s="101" t="s">
        <v>3004</v>
      </c>
      <c r="D206" s="101" t="s">
        <v>1146</v>
      </c>
      <c r="E206" s="101" t="s">
        <v>1147</v>
      </c>
      <c r="F206" s="101" t="s">
        <v>2887</v>
      </c>
      <c r="G206" s="101">
        <v>5006</v>
      </c>
      <c r="H206" s="101">
        <v>52</v>
      </c>
      <c r="I206" s="101">
        <v>52</v>
      </c>
      <c r="J206" s="101">
        <v>0</v>
      </c>
      <c r="K206" s="101">
        <v>0</v>
      </c>
      <c r="L206" s="101">
        <v>0</v>
      </c>
      <c r="M206" s="101">
        <v>0</v>
      </c>
      <c r="N206" s="101" t="s">
        <v>3208</v>
      </c>
      <c r="O206" s="101">
        <v>4954</v>
      </c>
      <c r="P206" s="101">
        <v>4640</v>
      </c>
      <c r="Q206" s="101">
        <v>21</v>
      </c>
      <c r="R206" s="101">
        <v>264</v>
      </c>
      <c r="S206" s="101">
        <v>29</v>
      </c>
      <c r="T206" s="101">
        <v>160</v>
      </c>
    </row>
    <row r="207" s="99" customFormat="1" ht="20" customHeight="1" spans="1:20">
      <c r="A207" s="101" t="s">
        <v>1570</v>
      </c>
      <c r="B207" s="101" t="s">
        <v>3003</v>
      </c>
      <c r="C207" s="101" t="s">
        <v>3004</v>
      </c>
      <c r="D207" s="101" t="s">
        <v>1146</v>
      </c>
      <c r="E207" s="101" t="s">
        <v>1147</v>
      </c>
      <c r="F207" s="101" t="s">
        <v>2893</v>
      </c>
      <c r="G207" s="101">
        <v>9028</v>
      </c>
      <c r="H207" s="101">
        <v>2306</v>
      </c>
      <c r="I207" s="101">
        <v>5</v>
      </c>
      <c r="J207" s="101">
        <v>0</v>
      </c>
      <c r="K207" s="101">
        <v>2301</v>
      </c>
      <c r="L207" s="101">
        <v>0</v>
      </c>
      <c r="M207" s="101">
        <v>0</v>
      </c>
      <c r="N207" s="101" t="s">
        <v>3209</v>
      </c>
      <c r="O207" s="101">
        <v>6722</v>
      </c>
      <c r="P207" s="101">
        <v>4328</v>
      </c>
      <c r="Q207" s="101">
        <v>142</v>
      </c>
      <c r="R207" s="101">
        <v>2252</v>
      </c>
      <c r="S207" s="101">
        <v>0</v>
      </c>
      <c r="T207" s="101">
        <v>0</v>
      </c>
    </row>
    <row r="208" s="99" customFormat="1" ht="20" customHeight="1" spans="1:20">
      <c r="A208" s="101" t="s">
        <v>1622</v>
      </c>
      <c r="B208" s="101" t="s">
        <v>3003</v>
      </c>
      <c r="C208" s="101" t="s">
        <v>3004</v>
      </c>
      <c r="D208" s="101" t="s">
        <v>1146</v>
      </c>
      <c r="E208" s="101" t="s">
        <v>1147</v>
      </c>
      <c r="F208" s="101" t="s">
        <v>2901</v>
      </c>
      <c r="G208" s="101">
        <v>14452</v>
      </c>
      <c r="H208" s="101">
        <v>11833</v>
      </c>
      <c r="I208" s="101">
        <v>50</v>
      </c>
      <c r="J208" s="101">
        <v>0</v>
      </c>
      <c r="K208" s="101">
        <v>11783</v>
      </c>
      <c r="L208" s="101">
        <v>0</v>
      </c>
      <c r="M208" s="101">
        <v>0</v>
      </c>
      <c r="N208" s="101" t="s">
        <v>3210</v>
      </c>
      <c r="O208" s="101">
        <v>2619</v>
      </c>
      <c r="P208" s="101">
        <v>2082</v>
      </c>
      <c r="Q208" s="101">
        <v>537</v>
      </c>
      <c r="R208" s="101">
        <v>0</v>
      </c>
      <c r="S208" s="101">
        <v>0</v>
      </c>
      <c r="T208" s="101">
        <v>0</v>
      </c>
    </row>
    <row r="209" s="99" customFormat="1" ht="20" customHeight="1" spans="1:20">
      <c r="A209" s="101" t="s">
        <v>2292</v>
      </c>
      <c r="B209" s="101" t="s">
        <v>3003</v>
      </c>
      <c r="C209" s="101" t="s">
        <v>3004</v>
      </c>
      <c r="D209" s="101" t="s">
        <v>1146</v>
      </c>
      <c r="E209" s="101" t="s">
        <v>1147</v>
      </c>
      <c r="F209" s="101" t="s">
        <v>2909</v>
      </c>
      <c r="G209" s="101">
        <v>5456</v>
      </c>
      <c r="H209" s="101">
        <v>2973</v>
      </c>
      <c r="I209" s="101">
        <v>137</v>
      </c>
      <c r="J209" s="101">
        <v>0</v>
      </c>
      <c r="K209" s="101">
        <v>2836</v>
      </c>
      <c r="L209" s="101">
        <v>0</v>
      </c>
      <c r="M209" s="101">
        <v>0</v>
      </c>
      <c r="N209" s="101" t="s">
        <v>3211</v>
      </c>
      <c r="O209" s="101">
        <v>2483</v>
      </c>
      <c r="P209" s="101">
        <v>2392</v>
      </c>
      <c r="Q209" s="101">
        <v>66</v>
      </c>
      <c r="R209" s="101">
        <v>0</v>
      </c>
      <c r="S209" s="101">
        <v>25</v>
      </c>
      <c r="T209" s="101">
        <v>926</v>
      </c>
    </row>
    <row r="210" s="99" customFormat="1" ht="20" customHeight="1" spans="1:20">
      <c r="A210" s="101" t="s">
        <v>2323</v>
      </c>
      <c r="B210" s="101" t="s">
        <v>3003</v>
      </c>
      <c r="C210" s="101" t="s">
        <v>3004</v>
      </c>
      <c r="D210" s="101" t="s">
        <v>1146</v>
      </c>
      <c r="E210" s="101" t="s">
        <v>1147</v>
      </c>
      <c r="F210" s="101" t="s">
        <v>2916</v>
      </c>
      <c r="G210" s="101">
        <v>12834</v>
      </c>
      <c r="H210" s="101">
        <v>9390</v>
      </c>
      <c r="I210" s="101">
        <v>94</v>
      </c>
      <c r="J210" s="101">
        <v>0</v>
      </c>
      <c r="K210" s="101">
        <v>9296</v>
      </c>
      <c r="L210" s="101">
        <v>0</v>
      </c>
      <c r="M210" s="101">
        <v>0</v>
      </c>
      <c r="N210" s="101" t="s">
        <v>3212</v>
      </c>
      <c r="O210" s="101">
        <v>3444</v>
      </c>
      <c r="P210" s="101">
        <v>3199</v>
      </c>
      <c r="Q210" s="101">
        <v>181</v>
      </c>
      <c r="R210" s="101">
        <v>2</v>
      </c>
      <c r="S210" s="101">
        <v>62</v>
      </c>
      <c r="T210" s="101">
        <v>2368</v>
      </c>
    </row>
    <row r="211" s="99" customFormat="1" ht="20" customHeight="1" spans="1:20">
      <c r="A211" s="101" t="s">
        <v>1820</v>
      </c>
      <c r="B211" s="101" t="s">
        <v>3003</v>
      </c>
      <c r="C211" s="101" t="s">
        <v>3004</v>
      </c>
      <c r="D211" s="101" t="s">
        <v>1146</v>
      </c>
      <c r="E211" s="101" t="s">
        <v>1147</v>
      </c>
      <c r="F211" s="101" t="s">
        <v>2925</v>
      </c>
      <c r="G211" s="101">
        <v>9551</v>
      </c>
      <c r="H211" s="101">
        <v>7197</v>
      </c>
      <c r="I211" s="101">
        <v>16</v>
      </c>
      <c r="J211" s="101">
        <v>0</v>
      </c>
      <c r="K211" s="101">
        <v>7181</v>
      </c>
      <c r="L211" s="101">
        <v>0</v>
      </c>
      <c r="M211" s="101">
        <v>0</v>
      </c>
      <c r="N211" s="101" t="s">
        <v>3213</v>
      </c>
      <c r="O211" s="101">
        <v>2354</v>
      </c>
      <c r="P211" s="101">
        <v>2084</v>
      </c>
      <c r="Q211" s="101">
        <v>270</v>
      </c>
      <c r="R211" s="101">
        <v>0</v>
      </c>
      <c r="S211" s="101">
        <v>0</v>
      </c>
      <c r="T211" s="101">
        <v>0</v>
      </c>
    </row>
    <row r="212" s="99" customFormat="1" ht="20" customHeight="1" spans="1:20">
      <c r="A212" s="101" t="s">
        <v>1631</v>
      </c>
      <c r="B212" s="101" t="s">
        <v>3003</v>
      </c>
      <c r="C212" s="101" t="s">
        <v>3004</v>
      </c>
      <c r="D212" s="101" t="s">
        <v>1146</v>
      </c>
      <c r="E212" s="101" t="s">
        <v>1147</v>
      </c>
      <c r="F212" s="101" t="s">
        <v>2933</v>
      </c>
      <c r="G212" s="101">
        <v>5990</v>
      </c>
      <c r="H212" s="101">
        <v>2905</v>
      </c>
      <c r="I212" s="101">
        <v>64</v>
      </c>
      <c r="J212" s="101">
        <v>0</v>
      </c>
      <c r="K212" s="101">
        <v>2841</v>
      </c>
      <c r="L212" s="101">
        <v>0</v>
      </c>
      <c r="M212" s="101">
        <v>0</v>
      </c>
      <c r="N212" s="101" t="s">
        <v>3214</v>
      </c>
      <c r="O212" s="101">
        <v>3085</v>
      </c>
      <c r="P212" s="101">
        <v>2962</v>
      </c>
      <c r="Q212" s="101">
        <v>113</v>
      </c>
      <c r="R212" s="101">
        <v>9</v>
      </c>
      <c r="S212" s="101">
        <v>1</v>
      </c>
      <c r="T212" s="101">
        <v>1</v>
      </c>
    </row>
    <row r="213" s="99" customFormat="1" ht="20" customHeight="1" spans="1:20">
      <c r="A213" s="101" t="s">
        <v>1706</v>
      </c>
      <c r="B213" s="101" t="s">
        <v>3003</v>
      </c>
      <c r="C213" s="101" t="s">
        <v>3004</v>
      </c>
      <c r="D213" s="101" t="s">
        <v>1146</v>
      </c>
      <c r="E213" s="101" t="s">
        <v>1147</v>
      </c>
      <c r="F213" s="101" t="s">
        <v>2940</v>
      </c>
      <c r="G213" s="101">
        <v>19459</v>
      </c>
      <c r="H213" s="101">
        <v>13621</v>
      </c>
      <c r="I213" s="101">
        <v>69</v>
      </c>
      <c r="J213" s="101">
        <v>0</v>
      </c>
      <c r="K213" s="101">
        <v>13552</v>
      </c>
      <c r="L213" s="101">
        <v>0</v>
      </c>
      <c r="M213" s="101">
        <v>0</v>
      </c>
      <c r="N213" s="101" t="s">
        <v>3215</v>
      </c>
      <c r="O213" s="101">
        <v>5838</v>
      </c>
      <c r="P213" s="101">
        <v>5147</v>
      </c>
      <c r="Q213" s="101">
        <v>475</v>
      </c>
      <c r="R213" s="101">
        <v>216</v>
      </c>
      <c r="S213" s="101">
        <v>0</v>
      </c>
      <c r="T213" s="101">
        <v>0</v>
      </c>
    </row>
    <row r="214" s="99" customFormat="1" ht="20" customHeight="1" spans="1:20">
      <c r="A214" s="101" t="s">
        <v>3216</v>
      </c>
      <c r="B214" s="101" t="s">
        <v>3003</v>
      </c>
      <c r="C214" s="101" t="s">
        <v>3004</v>
      </c>
      <c r="D214" s="101" t="s">
        <v>1146</v>
      </c>
      <c r="E214" s="101" t="s">
        <v>1147</v>
      </c>
      <c r="F214" s="101" t="s">
        <v>2948</v>
      </c>
      <c r="G214" s="101">
        <v>21058</v>
      </c>
      <c r="H214" s="101">
        <v>12758</v>
      </c>
      <c r="I214" s="101">
        <v>255</v>
      </c>
      <c r="J214" s="101">
        <v>0</v>
      </c>
      <c r="K214" s="101">
        <v>12503</v>
      </c>
      <c r="L214" s="101">
        <v>0</v>
      </c>
      <c r="M214" s="101">
        <v>0</v>
      </c>
      <c r="N214" s="101" t="s">
        <v>3217</v>
      </c>
      <c r="O214" s="101">
        <v>8300</v>
      </c>
      <c r="P214" s="101">
        <v>6434</v>
      </c>
      <c r="Q214" s="101">
        <v>585</v>
      </c>
      <c r="R214" s="101">
        <v>1281</v>
      </c>
      <c r="S214" s="101">
        <v>0</v>
      </c>
      <c r="T214" s="101">
        <v>0</v>
      </c>
    </row>
    <row r="215" s="99" customFormat="1" ht="20" customHeight="1" spans="1:20">
      <c r="A215" s="101" t="s">
        <v>1533</v>
      </c>
      <c r="B215" s="101" t="s">
        <v>3003</v>
      </c>
      <c r="C215" s="101" t="s">
        <v>3004</v>
      </c>
      <c r="D215" s="101" t="s">
        <v>1146</v>
      </c>
      <c r="E215" s="101" t="s">
        <v>1147</v>
      </c>
      <c r="F215" s="101" t="s">
        <v>2957</v>
      </c>
      <c r="G215" s="101">
        <v>18768</v>
      </c>
      <c r="H215" s="101">
        <v>12988</v>
      </c>
      <c r="I215" s="101">
        <v>146</v>
      </c>
      <c r="J215" s="101">
        <v>0</v>
      </c>
      <c r="K215" s="101">
        <v>12842</v>
      </c>
      <c r="L215" s="101">
        <v>0</v>
      </c>
      <c r="M215" s="101">
        <v>0</v>
      </c>
      <c r="N215" s="101" t="s">
        <v>3218</v>
      </c>
      <c r="O215" s="101">
        <v>5780</v>
      </c>
      <c r="P215" s="101">
        <v>4655</v>
      </c>
      <c r="Q215" s="101">
        <v>575</v>
      </c>
      <c r="R215" s="101">
        <v>546</v>
      </c>
      <c r="S215" s="101">
        <v>4</v>
      </c>
      <c r="T215" s="101">
        <v>92</v>
      </c>
    </row>
    <row r="216" s="99" customFormat="1" ht="20" customHeight="1" spans="1:20">
      <c r="A216" s="101" t="s">
        <v>3219</v>
      </c>
      <c r="B216" s="101" t="s">
        <v>3003</v>
      </c>
      <c r="C216" s="101" t="s">
        <v>3004</v>
      </c>
      <c r="D216" s="101" t="s">
        <v>1146</v>
      </c>
      <c r="E216" s="101" t="s">
        <v>1147</v>
      </c>
      <c r="F216" s="101" t="s">
        <v>2966</v>
      </c>
      <c r="G216" s="101">
        <v>10003</v>
      </c>
      <c r="H216" s="101">
        <v>7041</v>
      </c>
      <c r="I216" s="101">
        <v>323</v>
      </c>
      <c r="J216" s="101">
        <v>0</v>
      </c>
      <c r="K216" s="101">
        <v>6718</v>
      </c>
      <c r="L216" s="101">
        <v>0</v>
      </c>
      <c r="M216" s="101">
        <v>0</v>
      </c>
      <c r="N216" s="101" t="s">
        <v>3220</v>
      </c>
      <c r="O216" s="101">
        <v>2962</v>
      </c>
      <c r="P216" s="101">
        <v>2533</v>
      </c>
      <c r="Q216" s="101">
        <v>422</v>
      </c>
      <c r="R216" s="101">
        <v>7</v>
      </c>
      <c r="S216" s="101">
        <v>0</v>
      </c>
      <c r="T216" s="101">
        <v>0</v>
      </c>
    </row>
    <row r="217" s="99" customFormat="1" ht="20" customHeight="1" spans="1:20">
      <c r="A217" s="101" t="s">
        <v>2737</v>
      </c>
      <c r="B217" s="101" t="s">
        <v>3003</v>
      </c>
      <c r="C217" s="101" t="s">
        <v>3004</v>
      </c>
      <c r="D217" s="101" t="s">
        <v>1146</v>
      </c>
      <c r="E217" s="101" t="s">
        <v>1147</v>
      </c>
      <c r="F217" s="101" t="s">
        <v>2977</v>
      </c>
      <c r="G217" s="101">
        <v>6990</v>
      </c>
      <c r="H217" s="101">
        <v>3283</v>
      </c>
      <c r="I217" s="101">
        <v>107</v>
      </c>
      <c r="J217" s="101">
        <v>0</v>
      </c>
      <c r="K217" s="101">
        <v>3176</v>
      </c>
      <c r="L217" s="101">
        <v>0</v>
      </c>
      <c r="M217" s="101">
        <v>0</v>
      </c>
      <c r="N217" s="101" t="s">
        <v>3221</v>
      </c>
      <c r="O217" s="101">
        <v>3707</v>
      </c>
      <c r="P217" s="101">
        <v>3532</v>
      </c>
      <c r="Q217" s="101">
        <v>68</v>
      </c>
      <c r="R217" s="101">
        <v>1</v>
      </c>
      <c r="S217" s="101">
        <v>106</v>
      </c>
      <c r="T217" s="101">
        <v>3290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J31"/>
  <sheetViews>
    <sheetView workbookViewId="0">
      <pane xSplit="2" ySplit="2" topLeftCell="AX25" activePane="bottomRight" state="frozen"/>
      <selection/>
      <selection pane="topRight"/>
      <selection pane="bottomLeft"/>
      <selection pane="bottomRight" activeCell="Z14" sqref="Z14"/>
    </sheetView>
  </sheetViews>
  <sheetFormatPr defaultColWidth="9.55555555555556" defaultRowHeight="40.2" customHeight="1"/>
  <cols>
    <col min="1" max="1" width="9.55555555555556" style="30"/>
    <col min="2" max="2" width="22.1111111111111" style="30" customWidth="1"/>
    <col min="3" max="7" width="9.55555555555556" style="30" customWidth="1"/>
    <col min="8" max="59" width="9" style="30" customWidth="1"/>
    <col min="60" max="60" width="9" style="31" customWidth="1"/>
    <col min="61" max="61" width="11.6666666666667" style="30" customWidth="1"/>
    <col min="62" max="16384" width="9.55555555555556" style="30"/>
  </cols>
  <sheetData>
    <row r="1" s="25" customFormat="1" customHeight="1" spans="1:62">
      <c r="A1" s="32" t="s">
        <v>3222</v>
      </c>
      <c r="B1" s="32" t="s">
        <v>3223</v>
      </c>
      <c r="C1" s="33" t="s">
        <v>3224</v>
      </c>
      <c r="D1" s="33" t="s">
        <v>3225</v>
      </c>
      <c r="E1" s="33" t="s">
        <v>3226</v>
      </c>
      <c r="F1" s="32" t="s">
        <v>3227</v>
      </c>
      <c r="G1" s="32" t="s">
        <v>3228</v>
      </c>
      <c r="H1" s="32" t="s">
        <v>3229</v>
      </c>
      <c r="I1" s="34" t="s">
        <v>3230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6"/>
      <c r="U1" s="32" t="s">
        <v>3231</v>
      </c>
      <c r="V1" s="32"/>
      <c r="W1" s="32"/>
      <c r="X1" s="32"/>
      <c r="Y1" s="32"/>
      <c r="Z1" s="32"/>
      <c r="AA1" s="32"/>
      <c r="AB1" s="32"/>
      <c r="AC1" s="32"/>
      <c r="AD1" s="32"/>
      <c r="AE1" s="35"/>
      <c r="AF1" s="35" t="s">
        <v>3232</v>
      </c>
      <c r="AG1" s="35"/>
      <c r="AH1" s="35"/>
      <c r="AI1" s="35"/>
      <c r="AJ1" s="35"/>
      <c r="AK1" s="35"/>
      <c r="AL1" s="35"/>
      <c r="AM1" s="35"/>
      <c r="AN1" s="35"/>
      <c r="AO1" s="36"/>
      <c r="AP1" s="34" t="s">
        <v>3233</v>
      </c>
      <c r="AQ1" s="35"/>
      <c r="AR1" s="35"/>
      <c r="AS1" s="35"/>
      <c r="AT1" s="35"/>
      <c r="AU1" s="35"/>
      <c r="AV1" s="35"/>
      <c r="AW1" s="35"/>
      <c r="AX1" s="35"/>
      <c r="AY1" s="35"/>
      <c r="AZ1" s="36"/>
      <c r="BA1" s="32" t="s">
        <v>3234</v>
      </c>
      <c r="BB1" s="34" t="s">
        <v>3235</v>
      </c>
      <c r="BC1" s="35"/>
      <c r="BD1" s="35"/>
      <c r="BE1" s="35"/>
      <c r="BF1" s="35"/>
      <c r="BG1" s="36"/>
      <c r="BH1" s="37" t="s">
        <v>1121</v>
      </c>
      <c r="BI1" s="38" t="s">
        <v>3236</v>
      </c>
      <c r="BJ1" s="39"/>
    </row>
    <row r="2" s="25" customFormat="1" ht="63" customHeight="1" spans="1:62">
      <c r="A2" s="32"/>
      <c r="B2" s="32"/>
      <c r="C2" s="40"/>
      <c r="D2" s="40"/>
      <c r="E2" s="40"/>
      <c r="F2" s="41"/>
      <c r="G2" s="41"/>
      <c r="H2" s="32"/>
      <c r="I2" s="42" t="s">
        <v>3237</v>
      </c>
      <c r="J2" s="42" t="s">
        <v>3238</v>
      </c>
      <c r="K2" s="32" t="s">
        <v>1143</v>
      </c>
      <c r="L2" s="32" t="s">
        <v>3239</v>
      </c>
      <c r="M2" s="32" t="s">
        <v>3240</v>
      </c>
      <c r="N2" s="32" t="s">
        <v>3241</v>
      </c>
      <c r="O2" s="32" t="s">
        <v>3242</v>
      </c>
      <c r="P2" s="32" t="s">
        <v>3243</v>
      </c>
      <c r="Q2" s="32" t="s">
        <v>3244</v>
      </c>
      <c r="R2" s="32" t="s">
        <v>3245</v>
      </c>
      <c r="S2" s="32" t="s">
        <v>3246</v>
      </c>
      <c r="T2" s="43" t="s">
        <v>3247</v>
      </c>
      <c r="U2" s="42" t="s">
        <v>3237</v>
      </c>
      <c r="V2" s="42" t="s">
        <v>3238</v>
      </c>
      <c r="W2" s="32" t="s">
        <v>1143</v>
      </c>
      <c r="X2" s="32" t="s">
        <v>3239</v>
      </c>
      <c r="Y2" s="32" t="s">
        <v>3248</v>
      </c>
      <c r="Z2" s="32" t="s">
        <v>3249</v>
      </c>
      <c r="AA2" s="32" t="s">
        <v>3250</v>
      </c>
      <c r="AB2" s="32" t="s">
        <v>3251</v>
      </c>
      <c r="AC2" s="32" t="s">
        <v>3252</v>
      </c>
      <c r="AD2" s="43" t="s">
        <v>3247</v>
      </c>
      <c r="AE2" s="42" t="s">
        <v>3237</v>
      </c>
      <c r="AF2" s="42" t="s">
        <v>3238</v>
      </c>
      <c r="AG2" s="32" t="s">
        <v>1143</v>
      </c>
      <c r="AH2" s="32" t="s">
        <v>3239</v>
      </c>
      <c r="AI2" s="32" t="s">
        <v>3253</v>
      </c>
      <c r="AJ2" s="32" t="s">
        <v>3254</v>
      </c>
      <c r="AK2" s="32" t="s">
        <v>3255</v>
      </c>
      <c r="AL2" s="32" t="s">
        <v>3256</v>
      </c>
      <c r="AM2" s="32" t="s">
        <v>3257</v>
      </c>
      <c r="AN2" s="32" t="s">
        <v>3258</v>
      </c>
      <c r="AO2" s="43" t="s">
        <v>3247</v>
      </c>
      <c r="AP2" s="42" t="s">
        <v>3237</v>
      </c>
      <c r="AQ2" s="42" t="s">
        <v>3238</v>
      </c>
      <c r="AR2" s="32" t="s">
        <v>1143</v>
      </c>
      <c r="AS2" s="32" t="s">
        <v>3239</v>
      </c>
      <c r="AT2" s="32" t="s">
        <v>3253</v>
      </c>
      <c r="AU2" s="32" t="s">
        <v>3254</v>
      </c>
      <c r="AV2" s="32" t="s">
        <v>3255</v>
      </c>
      <c r="AW2" s="32" t="s">
        <v>3256</v>
      </c>
      <c r="AX2" s="32" t="s">
        <v>3257</v>
      </c>
      <c r="AY2" s="32" t="s">
        <v>3258</v>
      </c>
      <c r="AZ2" s="43" t="s">
        <v>3247</v>
      </c>
      <c r="BA2" s="32"/>
      <c r="BB2" s="32" t="s">
        <v>3259</v>
      </c>
      <c r="BC2" s="32" t="s">
        <v>1143</v>
      </c>
      <c r="BD2" s="32" t="s">
        <v>3260</v>
      </c>
      <c r="BE2" s="32" t="s">
        <v>3261</v>
      </c>
      <c r="BF2" s="32" t="s">
        <v>3262</v>
      </c>
      <c r="BG2" s="32" t="s">
        <v>3263</v>
      </c>
      <c r="BH2" s="37"/>
      <c r="BI2" s="38"/>
      <c r="BJ2" s="39"/>
    </row>
    <row r="3" s="26" customFormat="1" customHeight="1" spans="1:62">
      <c r="A3" s="44">
        <v>46113</v>
      </c>
      <c r="B3" s="45" t="s">
        <v>3264</v>
      </c>
      <c r="C3" s="45" t="s">
        <v>3265</v>
      </c>
      <c r="D3" s="46" t="s">
        <v>22</v>
      </c>
      <c r="E3" s="47">
        <f>SUMIFS(卸车数据!$J$6:$J$1048576,卸车数据!$R$6:$R$1048576,"&gt;="&amp;A3+TIME(0,0,0),卸车数据!$R$6:$R$1048576,"&lt;"&amp;A3+TIME(1,0,0))</f>
        <v>16991</v>
      </c>
      <c r="F3" s="47">
        <v>1608</v>
      </c>
      <c r="G3" s="48">
        <v>6568</v>
      </c>
      <c r="H3" s="49">
        <v>1</v>
      </c>
      <c r="I3" s="49" t="s">
        <v>3266</v>
      </c>
      <c r="J3" s="49"/>
      <c r="K3" s="50">
        <f t="shared" ref="K3:K10" si="0">SUM(L3:T3)</f>
        <v>17</v>
      </c>
      <c r="L3" s="50">
        <v>1</v>
      </c>
      <c r="M3" s="49">
        <v>5</v>
      </c>
      <c r="N3" s="49">
        <v>2</v>
      </c>
      <c r="O3" s="49">
        <v>2</v>
      </c>
      <c r="P3" s="49">
        <v>4</v>
      </c>
      <c r="Q3" s="49">
        <v>1</v>
      </c>
      <c r="R3" s="49">
        <v>2</v>
      </c>
      <c r="S3" s="49"/>
      <c r="T3" s="49"/>
      <c r="U3" s="49"/>
      <c r="V3" s="49"/>
      <c r="W3" s="50">
        <f t="shared" ref="W3:W10" si="1">SUM(X3:AD3)</f>
        <v>25</v>
      </c>
      <c r="X3" s="50">
        <v>1</v>
      </c>
      <c r="Y3" s="49">
        <v>12</v>
      </c>
      <c r="Z3" s="49">
        <v>9</v>
      </c>
      <c r="AA3" s="49">
        <v>1</v>
      </c>
      <c r="AB3" s="49"/>
      <c r="AC3" s="49">
        <v>2</v>
      </c>
      <c r="AD3" s="49"/>
      <c r="AE3" s="49" t="s">
        <v>3267</v>
      </c>
      <c r="AF3" s="49"/>
      <c r="AG3" s="50">
        <f t="shared" ref="AG3:AG10" si="2">SUM(AH3:AO3)</f>
        <v>26</v>
      </c>
      <c r="AH3" s="50">
        <v>1</v>
      </c>
      <c r="AI3" s="50">
        <v>6</v>
      </c>
      <c r="AJ3" s="50">
        <v>6</v>
      </c>
      <c r="AK3" s="49">
        <v>11</v>
      </c>
      <c r="AL3" s="49"/>
      <c r="AM3" s="49">
        <v>1</v>
      </c>
      <c r="AN3" s="49">
        <v>1</v>
      </c>
      <c r="AO3" s="49"/>
      <c r="AP3" s="49"/>
      <c r="AQ3" s="49"/>
      <c r="AR3" s="50">
        <f t="shared" ref="AR3:AR10" si="3">SUM(AS3:AZ3)</f>
        <v>19</v>
      </c>
      <c r="AS3" s="50">
        <v>1</v>
      </c>
      <c r="AT3" s="50"/>
      <c r="AU3" s="49">
        <v>11</v>
      </c>
      <c r="AV3" s="49">
        <v>5</v>
      </c>
      <c r="AW3" s="50"/>
      <c r="AX3" s="50">
        <v>1</v>
      </c>
      <c r="AY3" s="49">
        <v>1</v>
      </c>
      <c r="AZ3" s="49"/>
      <c r="BA3" s="52">
        <v>4</v>
      </c>
      <c r="BB3" s="50"/>
      <c r="BC3" s="50">
        <f t="shared" ref="BC3:BC10" si="4">BD3+BE3</f>
        <v>3</v>
      </c>
      <c r="BD3" s="50">
        <v>3</v>
      </c>
      <c r="BE3" s="49"/>
      <c r="BF3" s="49">
        <v>1</v>
      </c>
      <c r="BG3" s="53"/>
      <c r="BH3" s="53">
        <f t="shared" ref="BH3:BH9" si="5">BC3+BA3+AR3+AG3+W3+K3+H3</f>
        <v>95</v>
      </c>
      <c r="BI3" s="54"/>
      <c r="BJ3" s="54"/>
    </row>
    <row r="4" s="26" customFormat="1" customHeight="1" spans="1:62">
      <c r="A4" s="44">
        <v>46113</v>
      </c>
      <c r="B4" s="45" t="s">
        <v>3268</v>
      </c>
      <c r="C4" s="45" t="s">
        <v>3265</v>
      </c>
      <c r="D4" s="46" t="s">
        <v>22</v>
      </c>
      <c r="E4" s="47">
        <f>SUMIFS(卸车数据!$J$6:$J$1048576,卸车数据!$R$6:$R$1048576,"&gt;="&amp;A4+TIME(1,0,0),卸车数据!$R$6:$R$1048576,"&lt;"&amp;A4+TIME(2,0,0))</f>
        <v>3241</v>
      </c>
      <c r="F4" s="47">
        <v>4607</v>
      </c>
      <c r="G4" s="48">
        <v>12491</v>
      </c>
      <c r="H4" s="49">
        <v>1</v>
      </c>
      <c r="I4" s="49"/>
      <c r="J4" s="49"/>
      <c r="K4" s="50">
        <f t="shared" si="0"/>
        <v>17</v>
      </c>
      <c r="L4" s="50">
        <v>1</v>
      </c>
      <c r="M4" s="49">
        <v>5</v>
      </c>
      <c r="N4" s="49">
        <v>2</v>
      </c>
      <c r="O4" s="49">
        <v>2</v>
      </c>
      <c r="P4" s="49">
        <v>4</v>
      </c>
      <c r="Q4" s="49">
        <v>1</v>
      </c>
      <c r="R4" s="49">
        <v>2</v>
      </c>
      <c r="S4" s="49"/>
      <c r="T4" s="50"/>
      <c r="U4" s="49"/>
      <c r="V4" s="49"/>
      <c r="W4" s="50">
        <f t="shared" si="1"/>
        <v>25</v>
      </c>
      <c r="X4" s="50">
        <v>1</v>
      </c>
      <c r="Y4" s="49">
        <v>12</v>
      </c>
      <c r="Z4" s="49">
        <v>9</v>
      </c>
      <c r="AA4" s="49">
        <v>1</v>
      </c>
      <c r="AB4" s="49"/>
      <c r="AC4" s="49">
        <v>2</v>
      </c>
      <c r="AD4" s="49"/>
      <c r="AE4" s="49" t="s">
        <v>3269</v>
      </c>
      <c r="AF4" s="49"/>
      <c r="AG4" s="50">
        <f t="shared" si="2"/>
        <v>26</v>
      </c>
      <c r="AH4" s="50">
        <v>1</v>
      </c>
      <c r="AI4" s="50">
        <v>6</v>
      </c>
      <c r="AJ4" s="50">
        <v>6</v>
      </c>
      <c r="AK4" s="49">
        <v>11</v>
      </c>
      <c r="AL4" s="49"/>
      <c r="AM4" s="49">
        <v>1</v>
      </c>
      <c r="AN4" s="49">
        <v>1</v>
      </c>
      <c r="AO4" s="50"/>
      <c r="AP4" s="49"/>
      <c r="AQ4" s="49"/>
      <c r="AR4" s="50">
        <f t="shared" si="3"/>
        <v>19</v>
      </c>
      <c r="AS4" s="50">
        <v>1</v>
      </c>
      <c r="AT4" s="50"/>
      <c r="AU4" s="49">
        <v>11</v>
      </c>
      <c r="AV4" s="49">
        <v>5</v>
      </c>
      <c r="AW4" s="50"/>
      <c r="AX4" s="50">
        <v>1</v>
      </c>
      <c r="AY4" s="49">
        <v>1</v>
      </c>
      <c r="AZ4" s="50"/>
      <c r="BA4" s="52">
        <v>4</v>
      </c>
      <c r="BB4" s="50"/>
      <c r="BC4" s="50">
        <f t="shared" si="4"/>
        <v>3</v>
      </c>
      <c r="BD4" s="50">
        <v>3</v>
      </c>
      <c r="BE4" s="49"/>
      <c r="BF4" s="49">
        <v>1</v>
      </c>
      <c r="BG4" s="53"/>
      <c r="BH4" s="53">
        <f t="shared" si="5"/>
        <v>95</v>
      </c>
      <c r="BI4" s="54"/>
      <c r="BJ4" s="54"/>
    </row>
    <row r="5" s="26" customFormat="1" customHeight="1" spans="1:62">
      <c r="A5" s="44">
        <v>46113</v>
      </c>
      <c r="B5" s="45" t="s">
        <v>3270</v>
      </c>
      <c r="C5" s="45" t="s">
        <v>3265</v>
      </c>
      <c r="D5" s="46" t="s">
        <v>22</v>
      </c>
      <c r="E5" s="47">
        <f>SUMIFS(卸车数据!$J$6:$J$1048576,卸车数据!$R$6:$R$1048576,"&gt;="&amp;A5+TIME(2,0,0),卸车数据!$R$6:$R$1048576,"&lt;"&amp;A5+TIME(3,0,0))</f>
        <v>0</v>
      </c>
      <c r="F5" s="47">
        <v>3701</v>
      </c>
      <c r="G5" s="48">
        <v>14519</v>
      </c>
      <c r="H5" s="49">
        <v>1</v>
      </c>
      <c r="I5" s="49" t="s">
        <v>3271</v>
      </c>
      <c r="J5" s="49"/>
      <c r="K5" s="50">
        <f t="shared" si="0"/>
        <v>17</v>
      </c>
      <c r="L5" s="50">
        <v>1</v>
      </c>
      <c r="M5" s="49">
        <v>5</v>
      </c>
      <c r="N5" s="49">
        <v>2</v>
      </c>
      <c r="O5" s="49">
        <v>2</v>
      </c>
      <c r="P5" s="49">
        <v>4</v>
      </c>
      <c r="Q5" s="49">
        <v>1</v>
      </c>
      <c r="R5" s="49">
        <v>2</v>
      </c>
      <c r="S5" s="49"/>
      <c r="T5" s="50"/>
      <c r="U5" s="49" t="s">
        <v>3272</v>
      </c>
      <c r="V5" s="49"/>
      <c r="W5" s="50">
        <f t="shared" si="1"/>
        <v>25</v>
      </c>
      <c r="X5" s="50">
        <v>1</v>
      </c>
      <c r="Y5" s="49">
        <v>12</v>
      </c>
      <c r="Z5" s="49">
        <v>9</v>
      </c>
      <c r="AA5" s="49">
        <v>1</v>
      </c>
      <c r="AB5" s="49"/>
      <c r="AC5" s="49">
        <v>2</v>
      </c>
      <c r="AD5" s="49"/>
      <c r="AE5" s="49"/>
      <c r="AF5" s="49"/>
      <c r="AG5" s="50">
        <f t="shared" si="2"/>
        <v>26</v>
      </c>
      <c r="AH5" s="50">
        <v>1</v>
      </c>
      <c r="AI5" s="50">
        <v>6</v>
      </c>
      <c r="AJ5" s="50">
        <v>6</v>
      </c>
      <c r="AK5" s="49">
        <v>11</v>
      </c>
      <c r="AL5" s="49"/>
      <c r="AM5" s="49">
        <v>1</v>
      </c>
      <c r="AN5" s="49">
        <v>1</v>
      </c>
      <c r="AO5" s="50"/>
      <c r="AP5" s="49"/>
      <c r="AQ5" s="49"/>
      <c r="AR5" s="50">
        <f t="shared" si="3"/>
        <v>19</v>
      </c>
      <c r="AS5" s="50">
        <v>1</v>
      </c>
      <c r="AT5" s="50"/>
      <c r="AU5" s="49">
        <v>11</v>
      </c>
      <c r="AV5" s="49">
        <v>5</v>
      </c>
      <c r="AW5" s="50"/>
      <c r="AX5" s="50">
        <v>1</v>
      </c>
      <c r="AY5" s="49">
        <v>1</v>
      </c>
      <c r="AZ5" s="50"/>
      <c r="BA5" s="52">
        <v>4</v>
      </c>
      <c r="BB5" s="50"/>
      <c r="BC5" s="50">
        <f t="shared" si="4"/>
        <v>3</v>
      </c>
      <c r="BD5" s="50">
        <v>3</v>
      </c>
      <c r="BE5" s="49"/>
      <c r="BF5" s="49">
        <v>1</v>
      </c>
      <c r="BG5" s="49"/>
      <c r="BH5" s="53">
        <f t="shared" si="5"/>
        <v>95</v>
      </c>
      <c r="BI5" s="54"/>
      <c r="BJ5" s="54"/>
    </row>
    <row r="6" s="27" customFormat="1" customHeight="1" spans="1:62">
      <c r="A6" s="44">
        <v>46113</v>
      </c>
      <c r="B6" s="55" t="s">
        <v>3273</v>
      </c>
      <c r="C6" s="55" t="s">
        <v>3265</v>
      </c>
      <c r="D6" s="46" t="s">
        <v>22</v>
      </c>
      <c r="E6" s="47">
        <f>SUMIFS(卸车数据!$J$6:$J$1048576,卸车数据!$R$6:$R$1048576,"&gt;="&amp;A6+TIME(3,0,0),卸车数据!$R$6:$R$1048576,"&lt;"&amp;A6+TIME(4,0,0))</f>
        <v>8615</v>
      </c>
      <c r="F6" s="56">
        <v>4838</v>
      </c>
      <c r="G6" s="57">
        <v>12593</v>
      </c>
      <c r="H6" s="51">
        <v>1</v>
      </c>
      <c r="I6" s="51" t="s">
        <v>3274</v>
      </c>
      <c r="J6" s="51"/>
      <c r="K6" s="58">
        <f t="shared" si="0"/>
        <v>17</v>
      </c>
      <c r="L6" s="58">
        <v>1</v>
      </c>
      <c r="M6" s="51">
        <v>5</v>
      </c>
      <c r="N6" s="51">
        <v>2</v>
      </c>
      <c r="O6" s="51">
        <v>2</v>
      </c>
      <c r="P6" s="51">
        <v>4</v>
      </c>
      <c r="Q6" s="51">
        <v>1</v>
      </c>
      <c r="R6" s="51">
        <v>2</v>
      </c>
      <c r="S6" s="51"/>
      <c r="T6" s="58"/>
      <c r="U6" s="51" t="s">
        <v>3275</v>
      </c>
      <c r="V6" s="51" t="s">
        <v>3276</v>
      </c>
      <c r="W6" s="58">
        <f t="shared" si="1"/>
        <v>18</v>
      </c>
      <c r="X6" s="58">
        <v>1</v>
      </c>
      <c r="Y6" s="51">
        <v>5</v>
      </c>
      <c r="Z6" s="51">
        <v>9</v>
      </c>
      <c r="AA6" s="51">
        <v>1</v>
      </c>
      <c r="AB6" s="49"/>
      <c r="AC6" s="51">
        <v>2</v>
      </c>
      <c r="AD6" s="51"/>
      <c r="AE6" s="51"/>
      <c r="AF6" s="51"/>
      <c r="AG6" s="58">
        <f t="shared" si="2"/>
        <v>30</v>
      </c>
      <c r="AH6" s="58">
        <v>1</v>
      </c>
      <c r="AI6" s="58">
        <v>6</v>
      </c>
      <c r="AJ6" s="58">
        <v>6</v>
      </c>
      <c r="AK6" s="51">
        <v>11</v>
      </c>
      <c r="AL6" s="51"/>
      <c r="AM6" s="51">
        <v>1</v>
      </c>
      <c r="AN6" s="51">
        <v>1</v>
      </c>
      <c r="AO6" s="59">
        <v>4</v>
      </c>
      <c r="AP6" s="51" t="s">
        <v>3277</v>
      </c>
      <c r="AQ6" s="51" t="s">
        <v>3278</v>
      </c>
      <c r="AR6" s="58">
        <f t="shared" si="3"/>
        <v>22</v>
      </c>
      <c r="AS6" s="58">
        <v>1</v>
      </c>
      <c r="AT6" s="58"/>
      <c r="AU6" s="51">
        <v>11</v>
      </c>
      <c r="AV6" s="51">
        <v>5</v>
      </c>
      <c r="AW6" s="58"/>
      <c r="AX6" s="58">
        <v>1</v>
      </c>
      <c r="AY6" s="51">
        <v>1</v>
      </c>
      <c r="AZ6" s="59">
        <v>3</v>
      </c>
      <c r="BA6" s="52">
        <v>4</v>
      </c>
      <c r="BB6" s="58"/>
      <c r="BC6" s="50">
        <f t="shared" si="4"/>
        <v>3</v>
      </c>
      <c r="BD6" s="58">
        <v>3</v>
      </c>
      <c r="BE6" s="51"/>
      <c r="BF6" s="49">
        <v>1</v>
      </c>
      <c r="BG6" s="51"/>
      <c r="BH6" s="53">
        <f t="shared" si="5"/>
        <v>95</v>
      </c>
      <c r="BI6" s="60" t="s">
        <v>3279</v>
      </c>
      <c r="BJ6" s="61"/>
    </row>
    <row r="7" s="26" customFormat="1" customHeight="1" spans="1:62">
      <c r="A7" s="44">
        <v>46113</v>
      </c>
      <c r="B7" s="45" t="s">
        <v>3280</v>
      </c>
      <c r="C7" s="45" t="s">
        <v>3265</v>
      </c>
      <c r="D7" s="46" t="s">
        <v>22</v>
      </c>
      <c r="E7" s="47">
        <f>SUMIFS(卸车数据!$J$6:$J$1048576,卸车数据!$R$6:$R$1048576,"&gt;="&amp;A7+TIME(4,0,0),卸车数据!$R$6:$R$1048576,"&lt;"&amp;A7+TIME(5,0,0))</f>
        <v>26</v>
      </c>
      <c r="F7" s="47">
        <v>5326</v>
      </c>
      <c r="G7" s="48">
        <v>13297</v>
      </c>
      <c r="H7" s="49">
        <v>1</v>
      </c>
      <c r="I7" s="49" t="s">
        <v>3281</v>
      </c>
      <c r="J7" s="49"/>
      <c r="K7" s="50">
        <f t="shared" si="0"/>
        <v>17</v>
      </c>
      <c r="L7" s="50">
        <v>1</v>
      </c>
      <c r="M7" s="49">
        <v>5</v>
      </c>
      <c r="N7" s="49">
        <v>2</v>
      </c>
      <c r="O7" s="49">
        <v>2</v>
      </c>
      <c r="P7" s="49">
        <v>4</v>
      </c>
      <c r="Q7" s="49">
        <v>1</v>
      </c>
      <c r="R7" s="49">
        <v>2</v>
      </c>
      <c r="S7" s="49"/>
      <c r="T7" s="50"/>
      <c r="U7" s="49"/>
      <c r="V7" s="49"/>
      <c r="W7" s="50">
        <f t="shared" si="1"/>
        <v>25</v>
      </c>
      <c r="X7" s="50">
        <v>1</v>
      </c>
      <c r="Y7" s="49">
        <v>12</v>
      </c>
      <c r="Z7" s="49">
        <v>9</v>
      </c>
      <c r="AA7" s="49">
        <v>1</v>
      </c>
      <c r="AB7" s="49"/>
      <c r="AC7" s="49">
        <v>2</v>
      </c>
      <c r="AD7" s="49"/>
      <c r="AE7" s="49" t="s">
        <v>3282</v>
      </c>
      <c r="AF7" s="49"/>
      <c r="AG7" s="50">
        <f t="shared" si="2"/>
        <v>26</v>
      </c>
      <c r="AH7" s="50">
        <v>1</v>
      </c>
      <c r="AI7" s="50">
        <v>6</v>
      </c>
      <c r="AJ7" s="50">
        <v>6</v>
      </c>
      <c r="AK7" s="49">
        <v>11</v>
      </c>
      <c r="AL7" s="49"/>
      <c r="AM7" s="49">
        <v>1</v>
      </c>
      <c r="AN7" s="49">
        <v>1</v>
      </c>
      <c r="AO7" s="50"/>
      <c r="AP7" s="49"/>
      <c r="AQ7" s="49"/>
      <c r="AR7" s="50">
        <f t="shared" si="3"/>
        <v>19</v>
      </c>
      <c r="AS7" s="50">
        <v>1</v>
      </c>
      <c r="AT7" s="50"/>
      <c r="AU7" s="49">
        <v>11</v>
      </c>
      <c r="AV7" s="49">
        <v>5</v>
      </c>
      <c r="AW7" s="50"/>
      <c r="AX7" s="50">
        <v>1</v>
      </c>
      <c r="AY7" s="49">
        <v>1</v>
      </c>
      <c r="AZ7" s="50"/>
      <c r="BA7" s="52">
        <v>4</v>
      </c>
      <c r="BB7" s="50"/>
      <c r="BC7" s="50">
        <f t="shared" si="4"/>
        <v>3</v>
      </c>
      <c r="BD7" s="50">
        <v>3</v>
      </c>
      <c r="BE7" s="49"/>
      <c r="BF7" s="49">
        <v>1</v>
      </c>
      <c r="BG7" s="49"/>
      <c r="BH7" s="53">
        <f t="shared" si="5"/>
        <v>95</v>
      </c>
      <c r="BI7" s="54"/>
      <c r="BJ7" s="54"/>
    </row>
    <row r="8" s="26" customFormat="1" customHeight="1" spans="1:62">
      <c r="A8" s="44">
        <v>46113</v>
      </c>
      <c r="B8" s="45" t="s">
        <v>3283</v>
      </c>
      <c r="C8" s="45" t="s">
        <v>3265</v>
      </c>
      <c r="D8" s="46" t="s">
        <v>22</v>
      </c>
      <c r="E8" s="47">
        <f>SUMIFS(卸车数据!$J$6:$J$1048576,卸车数据!$R$6:$R$1048576,"&gt;="&amp;A8+TIME(5,0,0),卸车数据!$R$6:$R$1048576,"&lt;"&amp;A8+TIME(6,0,0))</f>
        <v>225</v>
      </c>
      <c r="F8" s="47">
        <v>3064</v>
      </c>
      <c r="G8" s="48">
        <v>8794</v>
      </c>
      <c r="H8" s="49">
        <v>1</v>
      </c>
      <c r="I8" s="49" t="s">
        <v>3284</v>
      </c>
      <c r="J8" s="49"/>
      <c r="K8" s="50">
        <f t="shared" si="0"/>
        <v>17</v>
      </c>
      <c r="L8" s="50">
        <v>1</v>
      </c>
      <c r="M8" s="49">
        <v>5</v>
      </c>
      <c r="N8" s="49">
        <v>2</v>
      </c>
      <c r="O8" s="49">
        <v>2</v>
      </c>
      <c r="P8" s="49">
        <v>4</v>
      </c>
      <c r="Q8" s="49">
        <v>1</v>
      </c>
      <c r="R8" s="49">
        <v>2</v>
      </c>
      <c r="S8" s="50"/>
      <c r="T8" s="50"/>
      <c r="U8" s="49"/>
      <c r="V8" s="49"/>
      <c r="W8" s="50">
        <f t="shared" si="1"/>
        <v>25</v>
      </c>
      <c r="X8" s="50">
        <v>1</v>
      </c>
      <c r="Y8" s="49">
        <v>12</v>
      </c>
      <c r="Z8" s="49">
        <v>9</v>
      </c>
      <c r="AA8" s="49">
        <v>1</v>
      </c>
      <c r="AB8" s="49"/>
      <c r="AC8" s="49">
        <v>2</v>
      </c>
      <c r="AD8" s="50"/>
      <c r="AE8" s="49" t="s">
        <v>3285</v>
      </c>
      <c r="AF8" s="49"/>
      <c r="AG8" s="50">
        <f t="shared" si="2"/>
        <v>26</v>
      </c>
      <c r="AH8" s="50">
        <v>1</v>
      </c>
      <c r="AI8" s="50">
        <v>6</v>
      </c>
      <c r="AJ8" s="50">
        <v>6</v>
      </c>
      <c r="AK8" s="49">
        <v>11</v>
      </c>
      <c r="AL8" s="49"/>
      <c r="AM8" s="49">
        <v>1</v>
      </c>
      <c r="AN8" s="49">
        <v>1</v>
      </c>
      <c r="AO8" s="50"/>
      <c r="AP8" s="49"/>
      <c r="AQ8" s="49"/>
      <c r="AR8" s="50">
        <f t="shared" si="3"/>
        <v>19</v>
      </c>
      <c r="AS8" s="50">
        <v>1</v>
      </c>
      <c r="AT8" s="50"/>
      <c r="AU8" s="49">
        <v>11</v>
      </c>
      <c r="AV8" s="49">
        <v>5</v>
      </c>
      <c r="AW8" s="50"/>
      <c r="AX8" s="50">
        <v>1</v>
      </c>
      <c r="AY8" s="49">
        <v>1</v>
      </c>
      <c r="AZ8" s="50"/>
      <c r="BA8" s="52">
        <v>4</v>
      </c>
      <c r="BB8" s="50"/>
      <c r="BC8" s="50">
        <f t="shared" si="4"/>
        <v>3</v>
      </c>
      <c r="BD8" s="50">
        <v>3</v>
      </c>
      <c r="BE8" s="49"/>
      <c r="BF8" s="49">
        <v>1</v>
      </c>
      <c r="BG8" s="49"/>
      <c r="BH8" s="53">
        <f t="shared" si="5"/>
        <v>95</v>
      </c>
      <c r="BI8" s="54"/>
      <c r="BJ8" s="54"/>
    </row>
    <row r="9" s="26" customFormat="1" customHeight="1" spans="1:62">
      <c r="A9" s="44">
        <v>46113</v>
      </c>
      <c r="B9" s="45" t="s">
        <v>3286</v>
      </c>
      <c r="C9" s="45" t="s">
        <v>3265</v>
      </c>
      <c r="D9" s="46" t="s">
        <v>22</v>
      </c>
      <c r="E9" s="47">
        <f>SUMIFS(卸车数据!$J$6:$J$1048576,卸车数据!$R$6:$R$1048576,"&gt;="&amp;A9+TIME(6,0,0),卸车数据!$R$6:$R$1048576,"&lt;"&amp;A9+TIME(7,0,0))</f>
        <v>794</v>
      </c>
      <c r="F9" s="47">
        <v>1229</v>
      </c>
      <c r="G9" s="48">
        <v>113</v>
      </c>
      <c r="H9" s="49">
        <v>1</v>
      </c>
      <c r="I9" s="49" t="s">
        <v>3287</v>
      </c>
      <c r="J9" s="49"/>
      <c r="K9" s="50">
        <f t="shared" si="0"/>
        <v>17</v>
      </c>
      <c r="L9" s="50">
        <v>1</v>
      </c>
      <c r="M9" s="49">
        <v>5</v>
      </c>
      <c r="N9" s="49">
        <v>2</v>
      </c>
      <c r="O9" s="49">
        <v>2</v>
      </c>
      <c r="P9" s="49">
        <v>4</v>
      </c>
      <c r="Q9" s="49">
        <v>1</v>
      </c>
      <c r="R9" s="49">
        <v>2</v>
      </c>
      <c r="S9" s="50"/>
      <c r="T9" s="50"/>
      <c r="U9" s="49"/>
      <c r="V9" s="49"/>
      <c r="W9" s="50">
        <f t="shared" si="1"/>
        <v>25</v>
      </c>
      <c r="X9" s="50">
        <v>1</v>
      </c>
      <c r="Y9" s="49">
        <v>12</v>
      </c>
      <c r="Z9" s="49">
        <v>9</v>
      </c>
      <c r="AA9" s="49">
        <v>1</v>
      </c>
      <c r="AB9" s="49"/>
      <c r="AC9" s="49">
        <v>2</v>
      </c>
      <c r="AD9" s="50"/>
      <c r="AE9" s="49"/>
      <c r="AF9" s="49"/>
      <c r="AG9" s="50">
        <f t="shared" si="2"/>
        <v>26</v>
      </c>
      <c r="AH9" s="50">
        <v>1</v>
      </c>
      <c r="AI9" s="50">
        <v>6</v>
      </c>
      <c r="AJ9" s="50">
        <v>6</v>
      </c>
      <c r="AK9" s="49">
        <v>11</v>
      </c>
      <c r="AL9" s="49"/>
      <c r="AM9" s="49">
        <v>1</v>
      </c>
      <c r="AN9" s="49">
        <v>1</v>
      </c>
      <c r="AO9" s="50"/>
      <c r="AP9" s="49"/>
      <c r="AQ9" s="49"/>
      <c r="AR9" s="50">
        <f t="shared" si="3"/>
        <v>19</v>
      </c>
      <c r="AS9" s="50">
        <v>1</v>
      </c>
      <c r="AT9" s="50"/>
      <c r="AU9" s="49">
        <v>11</v>
      </c>
      <c r="AV9" s="49">
        <v>5</v>
      </c>
      <c r="AW9" s="50"/>
      <c r="AX9" s="50">
        <v>1</v>
      </c>
      <c r="AY9" s="49">
        <v>1</v>
      </c>
      <c r="AZ9" s="50"/>
      <c r="BA9" s="52">
        <v>4</v>
      </c>
      <c r="BB9" s="50"/>
      <c r="BC9" s="50">
        <f t="shared" si="4"/>
        <v>3</v>
      </c>
      <c r="BD9" s="50">
        <v>3</v>
      </c>
      <c r="BE9" s="49"/>
      <c r="BF9" s="49">
        <v>1</v>
      </c>
      <c r="BG9" s="49"/>
      <c r="BH9" s="53">
        <f t="shared" si="5"/>
        <v>95</v>
      </c>
      <c r="BI9" s="54"/>
      <c r="BJ9" s="54"/>
    </row>
    <row r="10" s="26" customFormat="1" customHeight="1" spans="1:62">
      <c r="A10" s="44">
        <v>46113</v>
      </c>
      <c r="B10" s="45" t="s">
        <v>3288</v>
      </c>
      <c r="C10" s="45" t="s">
        <v>3289</v>
      </c>
      <c r="D10" s="46" t="s">
        <v>22</v>
      </c>
      <c r="E10" s="47">
        <f>SUMIFS(卸车数据!$J$6:$J$1048576,卸车数据!$R$6:$R$1048576,"&gt;="&amp;A10+TIME(7,0,0),卸车数据!$R$6:$R$1048576,"&lt;"&amp;A10+TIME(8,0,0))</f>
        <v>1064</v>
      </c>
      <c r="F10" s="62">
        <v>1528</v>
      </c>
      <c r="G10" s="63">
        <v>246</v>
      </c>
      <c r="H10" s="49">
        <v>1</v>
      </c>
      <c r="I10" s="49" t="s">
        <v>3290</v>
      </c>
      <c r="J10" s="49" t="s">
        <v>3291</v>
      </c>
      <c r="K10" s="50">
        <f t="shared" si="0"/>
        <v>8</v>
      </c>
      <c r="L10" s="50">
        <v>1</v>
      </c>
      <c r="M10" s="50">
        <v>2</v>
      </c>
      <c r="N10" s="50">
        <v>0</v>
      </c>
      <c r="O10" s="50">
        <v>1</v>
      </c>
      <c r="P10" s="50">
        <v>2</v>
      </c>
      <c r="Q10" s="50"/>
      <c r="R10" s="50">
        <v>1</v>
      </c>
      <c r="S10" s="50">
        <v>1</v>
      </c>
      <c r="T10" s="49"/>
      <c r="U10" s="49" t="s">
        <v>3292</v>
      </c>
      <c r="V10" s="49"/>
      <c r="W10" s="50">
        <f t="shared" si="1"/>
        <v>21</v>
      </c>
      <c r="X10" s="50">
        <v>1</v>
      </c>
      <c r="Y10" s="50">
        <v>12</v>
      </c>
      <c r="Z10" s="50">
        <v>7</v>
      </c>
      <c r="AA10" s="50"/>
      <c r="AB10" s="50"/>
      <c r="AC10" s="50">
        <v>1</v>
      </c>
      <c r="AD10" s="50"/>
      <c r="AE10" s="64" t="s">
        <v>3293</v>
      </c>
      <c r="AF10" s="49" t="s">
        <v>3294</v>
      </c>
      <c r="AG10" s="50">
        <f t="shared" si="2"/>
        <v>17</v>
      </c>
      <c r="AH10" s="50">
        <v>1</v>
      </c>
      <c r="AI10" s="50">
        <v>1</v>
      </c>
      <c r="AJ10" s="50">
        <v>7</v>
      </c>
      <c r="AK10" s="50">
        <v>3</v>
      </c>
      <c r="AL10" s="50"/>
      <c r="AM10" s="50">
        <v>1</v>
      </c>
      <c r="AN10" s="50">
        <v>1</v>
      </c>
      <c r="AO10" s="50">
        <v>3</v>
      </c>
      <c r="AP10" s="49" t="s">
        <v>3295</v>
      </c>
      <c r="AQ10" s="49"/>
      <c r="AR10" s="50">
        <f t="shared" si="3"/>
        <v>16</v>
      </c>
      <c r="AS10" s="50">
        <v>1</v>
      </c>
      <c r="AT10" s="50">
        <v>1</v>
      </c>
      <c r="AU10" s="50">
        <v>7</v>
      </c>
      <c r="AV10" s="50">
        <v>3</v>
      </c>
      <c r="AW10" s="50">
        <v>1</v>
      </c>
      <c r="AX10" s="50">
        <v>1</v>
      </c>
      <c r="AY10" s="50"/>
      <c r="AZ10" s="59">
        <v>2</v>
      </c>
      <c r="BA10" s="50"/>
      <c r="BB10" s="50"/>
      <c r="BC10" s="50">
        <f t="shared" si="4"/>
        <v>4</v>
      </c>
      <c r="BD10" s="50">
        <v>2</v>
      </c>
      <c r="BE10" s="49">
        <v>2</v>
      </c>
      <c r="BF10" s="49">
        <v>1</v>
      </c>
      <c r="BG10" s="49"/>
      <c r="BH10" s="53">
        <f t="shared" ref="BH10:BH26" si="6">BC10+BA10+AR10+AG10+W10+K10+H10</f>
        <v>67</v>
      </c>
      <c r="BI10" s="61" t="s">
        <v>3296</v>
      </c>
      <c r="BJ10" s="61">
        <v>65</v>
      </c>
    </row>
    <row r="11" s="28" customFormat="1" customHeight="1" spans="1:62">
      <c r="A11" s="44">
        <v>46113</v>
      </c>
      <c r="B11" s="45" t="s">
        <v>3297</v>
      </c>
      <c r="C11" s="45" t="s">
        <v>3289</v>
      </c>
      <c r="D11" s="46" t="s">
        <v>22</v>
      </c>
      <c r="E11" s="47">
        <f>SUMIFS(卸车数据!$J$6:$J$1048576,卸车数据!$R$6:$R$1048576,"&gt;="&amp;A11+TIME(8,0,0),卸车数据!$R$6:$R$1048576,"&lt;"&amp;A11+TIME(9,0,0))</f>
        <v>5592</v>
      </c>
      <c r="F11" s="62">
        <v>3243</v>
      </c>
      <c r="G11" s="65">
        <v>4179</v>
      </c>
      <c r="H11" s="49">
        <v>1</v>
      </c>
      <c r="I11" s="49" t="s">
        <v>3290</v>
      </c>
      <c r="J11" s="49" t="s">
        <v>3291</v>
      </c>
      <c r="K11" s="50">
        <f t="shared" ref="K10:K26" si="7">SUM(L11:T11)</f>
        <v>8</v>
      </c>
      <c r="L11" s="50">
        <v>1</v>
      </c>
      <c r="M11" s="50">
        <v>2</v>
      </c>
      <c r="N11" s="50">
        <v>0</v>
      </c>
      <c r="O11" s="50">
        <v>1</v>
      </c>
      <c r="P11" s="50">
        <v>2</v>
      </c>
      <c r="Q11" s="50"/>
      <c r="R11" s="50">
        <v>1</v>
      </c>
      <c r="S11" s="49">
        <v>1</v>
      </c>
      <c r="T11" s="49"/>
      <c r="U11" s="49" t="s">
        <v>3298</v>
      </c>
      <c r="V11" s="49"/>
      <c r="W11" s="50">
        <f t="shared" ref="W10:W26" si="8">SUM(X11:AD11)</f>
        <v>21</v>
      </c>
      <c r="X11" s="50">
        <v>1</v>
      </c>
      <c r="Y11" s="50">
        <v>12</v>
      </c>
      <c r="Z11" s="50">
        <v>7</v>
      </c>
      <c r="AA11" s="50"/>
      <c r="AB11" s="50"/>
      <c r="AC11" s="50">
        <v>1</v>
      </c>
      <c r="AD11" s="50"/>
      <c r="AE11" s="64" t="s">
        <v>3299</v>
      </c>
      <c r="AF11" s="49"/>
      <c r="AG11" s="50">
        <f t="shared" ref="AG10:AG26" si="9">SUM(AH11:AO11)</f>
        <v>17</v>
      </c>
      <c r="AH11" s="50">
        <v>1</v>
      </c>
      <c r="AI11" s="50">
        <v>1</v>
      </c>
      <c r="AJ11" s="50">
        <v>7</v>
      </c>
      <c r="AK11" s="50">
        <v>3</v>
      </c>
      <c r="AL11" s="50"/>
      <c r="AM11" s="50">
        <v>1</v>
      </c>
      <c r="AN11" s="50">
        <v>1</v>
      </c>
      <c r="AO11" s="50">
        <v>3</v>
      </c>
      <c r="AP11" s="49" t="s">
        <v>3300</v>
      </c>
      <c r="AQ11" s="49" t="s">
        <v>3301</v>
      </c>
      <c r="AR11" s="50">
        <f t="shared" ref="AR10:AR26" si="10">SUM(AS11:AZ11)</f>
        <v>16</v>
      </c>
      <c r="AS11" s="50">
        <v>1</v>
      </c>
      <c r="AT11" s="50">
        <v>1</v>
      </c>
      <c r="AU11" s="50">
        <v>7</v>
      </c>
      <c r="AV11" s="50">
        <v>3</v>
      </c>
      <c r="AW11" s="50">
        <v>1</v>
      </c>
      <c r="AX11" s="50">
        <v>1</v>
      </c>
      <c r="AY11" s="49"/>
      <c r="AZ11" s="66">
        <v>2</v>
      </c>
      <c r="BA11" s="49"/>
      <c r="BB11" s="49"/>
      <c r="BC11" s="50">
        <f t="shared" ref="BC11:BC26" si="11">BD11+BE11</f>
        <v>4</v>
      </c>
      <c r="BD11" s="50">
        <v>2</v>
      </c>
      <c r="BE11" s="49">
        <v>2</v>
      </c>
      <c r="BF11" s="49">
        <v>1</v>
      </c>
      <c r="BG11" s="53"/>
      <c r="BH11" s="53">
        <f t="shared" si="6"/>
        <v>67</v>
      </c>
      <c r="BI11" s="54"/>
      <c r="BJ11" s="54"/>
    </row>
    <row r="12" s="28" customFormat="1" customHeight="1" spans="1:62">
      <c r="A12" s="44">
        <v>46113</v>
      </c>
      <c r="B12" s="45" t="s">
        <v>3302</v>
      </c>
      <c r="C12" s="45" t="s">
        <v>3289</v>
      </c>
      <c r="D12" s="46" t="s">
        <v>22</v>
      </c>
      <c r="E12" s="47">
        <f>SUMIFS(卸车数据!$J$6:$J$1048576,卸车数据!$R$6:$R$1048576,"&gt;="&amp;A12+TIME(9,0,0),卸车数据!$R$6:$R$1048576,"&lt;"&amp;A12+TIME(10,0,0))</f>
        <v>1711</v>
      </c>
      <c r="F12" s="47">
        <v>3163</v>
      </c>
      <c r="G12" s="65">
        <v>14973</v>
      </c>
      <c r="H12" s="49">
        <v>1</v>
      </c>
      <c r="I12" s="49" t="s">
        <v>3303</v>
      </c>
      <c r="J12" s="49"/>
      <c r="K12" s="50">
        <f t="shared" si="7"/>
        <v>13</v>
      </c>
      <c r="L12" s="50">
        <v>1</v>
      </c>
      <c r="M12" s="50">
        <v>4</v>
      </c>
      <c r="N12" s="50">
        <v>2</v>
      </c>
      <c r="O12" s="50">
        <v>1</v>
      </c>
      <c r="P12" s="50">
        <v>3</v>
      </c>
      <c r="Q12" s="50">
        <v>1</v>
      </c>
      <c r="R12" s="50">
        <v>1</v>
      </c>
      <c r="S12" s="49"/>
      <c r="T12" s="49"/>
      <c r="U12" s="49" t="s">
        <v>3304</v>
      </c>
      <c r="V12" s="49"/>
      <c r="W12" s="50">
        <f t="shared" si="8"/>
        <v>21</v>
      </c>
      <c r="X12" s="50">
        <v>1</v>
      </c>
      <c r="Y12" s="50">
        <v>12</v>
      </c>
      <c r="Z12" s="50">
        <v>7</v>
      </c>
      <c r="AA12" s="50"/>
      <c r="AB12" s="50"/>
      <c r="AC12" s="50">
        <v>1</v>
      </c>
      <c r="AD12" s="50"/>
      <c r="AE12" s="64" t="s">
        <v>3305</v>
      </c>
      <c r="AF12" s="49"/>
      <c r="AG12" s="50">
        <f t="shared" si="9"/>
        <v>14</v>
      </c>
      <c r="AH12" s="50">
        <v>1</v>
      </c>
      <c r="AI12" s="50">
        <v>1</v>
      </c>
      <c r="AJ12" s="50">
        <v>7</v>
      </c>
      <c r="AK12" s="50">
        <v>3</v>
      </c>
      <c r="AL12" s="50"/>
      <c r="AM12" s="50">
        <v>1</v>
      </c>
      <c r="AN12" s="50">
        <v>1</v>
      </c>
      <c r="AO12" s="50"/>
      <c r="AP12" s="49" t="s">
        <v>3300</v>
      </c>
      <c r="AQ12" s="49" t="s">
        <v>3301</v>
      </c>
      <c r="AR12" s="50">
        <f t="shared" si="10"/>
        <v>14</v>
      </c>
      <c r="AS12" s="50">
        <v>1</v>
      </c>
      <c r="AT12" s="50">
        <v>1</v>
      </c>
      <c r="AU12" s="50">
        <v>7</v>
      </c>
      <c r="AV12" s="50">
        <v>3</v>
      </c>
      <c r="AW12" s="50">
        <v>1</v>
      </c>
      <c r="AX12" s="50">
        <v>1</v>
      </c>
      <c r="AY12" s="49"/>
      <c r="AZ12" s="49"/>
      <c r="BA12" s="49"/>
      <c r="BB12" s="49"/>
      <c r="BC12" s="50">
        <f t="shared" si="11"/>
        <v>4</v>
      </c>
      <c r="BD12" s="50">
        <v>2</v>
      </c>
      <c r="BE12" s="49">
        <v>2</v>
      </c>
      <c r="BF12" s="49">
        <v>1</v>
      </c>
      <c r="BG12" s="53"/>
      <c r="BH12" s="53">
        <f t="shared" si="6"/>
        <v>67</v>
      </c>
      <c r="BI12" s="54"/>
      <c r="BJ12" s="54"/>
    </row>
    <row r="13" s="28" customFormat="1" customHeight="1" spans="1:62">
      <c r="A13" s="44">
        <v>46113</v>
      </c>
      <c r="B13" s="45" t="s">
        <v>3306</v>
      </c>
      <c r="C13" s="45" t="s">
        <v>3289</v>
      </c>
      <c r="D13" s="46" t="s">
        <v>22</v>
      </c>
      <c r="E13" s="47">
        <f>SUMIFS(卸车数据!$J$6:$J$1048576,卸车数据!$R$6:$R$1048576,"&gt;="&amp;A13+TIME(10,0,0),卸车数据!$R$6:$R$1048576,"&lt;"&amp;A13+TIME(11,0,0))</f>
        <v>493</v>
      </c>
      <c r="F13" s="47">
        <v>763</v>
      </c>
      <c r="G13" s="65">
        <v>325</v>
      </c>
      <c r="H13" s="49">
        <v>1</v>
      </c>
      <c r="I13" s="64" t="s">
        <v>3307</v>
      </c>
      <c r="J13" s="49"/>
      <c r="K13" s="50">
        <f t="shared" si="7"/>
        <v>13</v>
      </c>
      <c r="L13" s="50">
        <v>1</v>
      </c>
      <c r="M13" s="50">
        <v>4</v>
      </c>
      <c r="N13" s="50">
        <v>2</v>
      </c>
      <c r="O13" s="50">
        <v>1</v>
      </c>
      <c r="P13" s="50">
        <v>3</v>
      </c>
      <c r="Q13" s="50">
        <v>1</v>
      </c>
      <c r="R13" s="50">
        <v>1</v>
      </c>
      <c r="S13" s="49"/>
      <c r="T13" s="49"/>
      <c r="U13" s="49" t="s">
        <v>3308</v>
      </c>
      <c r="V13" s="49"/>
      <c r="W13" s="50">
        <f t="shared" si="8"/>
        <v>21</v>
      </c>
      <c r="X13" s="50">
        <v>1</v>
      </c>
      <c r="Y13" s="50">
        <v>12</v>
      </c>
      <c r="Z13" s="50">
        <v>7</v>
      </c>
      <c r="AA13" s="50"/>
      <c r="AB13" s="50"/>
      <c r="AC13" s="50">
        <v>1</v>
      </c>
      <c r="AD13" s="50"/>
      <c r="AE13" s="64" t="s">
        <v>3309</v>
      </c>
      <c r="AF13" s="49"/>
      <c r="AG13" s="50">
        <f t="shared" si="9"/>
        <v>14</v>
      </c>
      <c r="AH13" s="50">
        <v>1</v>
      </c>
      <c r="AI13" s="50">
        <v>1</v>
      </c>
      <c r="AJ13" s="50">
        <v>7</v>
      </c>
      <c r="AK13" s="50">
        <v>3</v>
      </c>
      <c r="AL13" s="50"/>
      <c r="AM13" s="50">
        <v>1</v>
      </c>
      <c r="AN13" s="50">
        <v>1</v>
      </c>
      <c r="AO13" s="50"/>
      <c r="AP13" s="49" t="s">
        <v>3300</v>
      </c>
      <c r="AQ13" s="49" t="s">
        <v>3301</v>
      </c>
      <c r="AR13" s="50">
        <f t="shared" si="10"/>
        <v>14</v>
      </c>
      <c r="AS13" s="50">
        <v>1</v>
      </c>
      <c r="AT13" s="50">
        <v>1</v>
      </c>
      <c r="AU13" s="50">
        <v>7</v>
      </c>
      <c r="AV13" s="50">
        <v>3</v>
      </c>
      <c r="AW13" s="50">
        <v>1</v>
      </c>
      <c r="AX13" s="50">
        <v>1</v>
      </c>
      <c r="AY13" s="49"/>
      <c r="AZ13" s="49"/>
      <c r="BA13" s="49"/>
      <c r="BB13" s="49"/>
      <c r="BC13" s="50">
        <f t="shared" si="11"/>
        <v>4</v>
      </c>
      <c r="BD13" s="50">
        <v>2</v>
      </c>
      <c r="BE13" s="49">
        <v>2</v>
      </c>
      <c r="BF13" s="49">
        <v>1</v>
      </c>
      <c r="BG13" s="53"/>
      <c r="BH13" s="53">
        <f t="shared" si="6"/>
        <v>67</v>
      </c>
      <c r="BI13" s="54"/>
      <c r="BJ13" s="54"/>
    </row>
    <row r="14" s="29" customFormat="1" customHeight="1" spans="1:62">
      <c r="A14" s="44">
        <v>46113</v>
      </c>
      <c r="B14" s="55" t="s">
        <v>3310</v>
      </c>
      <c r="C14" s="55" t="s">
        <v>3289</v>
      </c>
      <c r="D14" s="55" t="s">
        <v>3311</v>
      </c>
      <c r="E14" s="47">
        <f>SUMIFS(卸车数据!$J$6:$J$1048576,卸车数据!$R$6:$R$1048576,"&gt;="&amp;A14+TIME(11,0,0),卸车数据!$R$6:$R$1048576,"&lt;"&amp;A14+TIME(12,0,0))</f>
        <v>2033</v>
      </c>
      <c r="F14" s="47">
        <v>520</v>
      </c>
      <c r="G14" s="67">
        <v>48</v>
      </c>
      <c r="H14" s="51">
        <v>1</v>
      </c>
      <c r="I14" s="68" t="s">
        <v>3312</v>
      </c>
      <c r="J14" s="51"/>
      <c r="K14" s="58">
        <f t="shared" si="7"/>
        <v>15</v>
      </c>
      <c r="L14" s="58">
        <v>1</v>
      </c>
      <c r="M14" s="51">
        <v>5</v>
      </c>
      <c r="N14" s="51">
        <v>5</v>
      </c>
      <c r="O14" s="51"/>
      <c r="P14" s="51">
        <v>4</v>
      </c>
      <c r="Q14" s="51"/>
      <c r="R14" s="51"/>
      <c r="S14" s="51"/>
      <c r="T14" s="51"/>
      <c r="U14" s="51" t="s">
        <v>3313</v>
      </c>
      <c r="V14" s="51"/>
      <c r="W14" s="58">
        <f t="shared" si="8"/>
        <v>21</v>
      </c>
      <c r="X14" s="58">
        <v>1</v>
      </c>
      <c r="Y14" s="58">
        <v>12</v>
      </c>
      <c r="Z14" s="58">
        <v>6</v>
      </c>
      <c r="AA14" s="58"/>
      <c r="AB14" s="58"/>
      <c r="AC14" s="58">
        <v>2</v>
      </c>
      <c r="AD14" s="58"/>
      <c r="AE14" s="68" t="s">
        <v>3314</v>
      </c>
      <c r="AF14" s="51"/>
      <c r="AG14" s="58">
        <f t="shared" si="9"/>
        <v>19</v>
      </c>
      <c r="AH14" s="58">
        <v>1</v>
      </c>
      <c r="AI14" s="58">
        <v>1</v>
      </c>
      <c r="AJ14" s="58">
        <v>5</v>
      </c>
      <c r="AK14" s="58">
        <v>10</v>
      </c>
      <c r="AL14" s="58"/>
      <c r="AM14" s="58">
        <v>1</v>
      </c>
      <c r="AN14" s="58">
        <v>1</v>
      </c>
      <c r="AO14" s="58"/>
      <c r="AP14" s="51" t="s">
        <v>3315</v>
      </c>
      <c r="AQ14" s="51" t="s">
        <v>3316</v>
      </c>
      <c r="AR14" s="58">
        <f t="shared" si="10"/>
        <v>14</v>
      </c>
      <c r="AS14" s="58">
        <v>1</v>
      </c>
      <c r="AT14" s="58">
        <v>1</v>
      </c>
      <c r="AU14" s="58">
        <v>7</v>
      </c>
      <c r="AV14" s="58">
        <v>3</v>
      </c>
      <c r="AW14" s="58">
        <v>1</v>
      </c>
      <c r="AX14" s="58">
        <v>1</v>
      </c>
      <c r="AY14" s="51"/>
      <c r="AZ14" s="51"/>
      <c r="BA14" s="51"/>
      <c r="BB14" s="51"/>
      <c r="BC14" s="50">
        <f t="shared" si="11"/>
        <v>4</v>
      </c>
      <c r="BD14" s="58">
        <v>2</v>
      </c>
      <c r="BE14" s="49">
        <v>2</v>
      </c>
      <c r="BF14" s="49">
        <v>1</v>
      </c>
      <c r="BG14" s="69"/>
      <c r="BH14" s="53">
        <f t="shared" si="6"/>
        <v>74</v>
      </c>
      <c r="BI14" s="61" t="s">
        <v>3317</v>
      </c>
      <c r="BJ14" s="61">
        <v>6</v>
      </c>
    </row>
    <row r="15" s="28" customFormat="1" customHeight="1" spans="1:62">
      <c r="A15" s="44">
        <v>46113</v>
      </c>
      <c r="B15" s="45" t="s">
        <v>3318</v>
      </c>
      <c r="C15" s="45" t="s">
        <v>3289</v>
      </c>
      <c r="D15" s="70" t="s">
        <v>3319</v>
      </c>
      <c r="E15" s="47">
        <f>SUMIFS(卸车数据!$J$6:$J$1048576,卸车数据!$R$6:$R$1048576,"&gt;="&amp;A15+TIME(12,0,0),卸车数据!$R$6:$R$1048576,"&lt;"&amp;A15+TIME(13,0,0))</f>
        <v>18883</v>
      </c>
      <c r="F15" s="49">
        <v>7662</v>
      </c>
      <c r="G15" s="65">
        <v>15</v>
      </c>
      <c r="H15" s="49">
        <v>1</v>
      </c>
      <c r="I15" s="49" t="s">
        <v>3320</v>
      </c>
      <c r="J15" s="49" t="s">
        <v>3321</v>
      </c>
      <c r="K15" s="50">
        <f t="shared" si="7"/>
        <v>20</v>
      </c>
      <c r="L15" s="50">
        <v>1</v>
      </c>
      <c r="M15" s="49">
        <v>5</v>
      </c>
      <c r="N15" s="49">
        <v>5</v>
      </c>
      <c r="O15" s="49"/>
      <c r="P15" s="49">
        <v>4</v>
      </c>
      <c r="Q15" s="49"/>
      <c r="R15" s="49"/>
      <c r="S15" s="49"/>
      <c r="T15" s="66">
        <v>5</v>
      </c>
      <c r="U15" s="49" t="s">
        <v>3322</v>
      </c>
      <c r="V15" s="49" t="s">
        <v>3323</v>
      </c>
      <c r="W15" s="50">
        <f t="shared" si="8"/>
        <v>4</v>
      </c>
      <c r="X15" s="50">
        <v>1</v>
      </c>
      <c r="Y15" s="49"/>
      <c r="Z15" s="49"/>
      <c r="AA15" s="49">
        <v>1</v>
      </c>
      <c r="AB15" s="49"/>
      <c r="AC15" s="58">
        <v>2</v>
      </c>
      <c r="AD15" s="49"/>
      <c r="AE15" s="64" t="s">
        <v>3324</v>
      </c>
      <c r="AF15" s="49"/>
      <c r="AG15" s="50">
        <f t="shared" si="9"/>
        <v>29</v>
      </c>
      <c r="AH15" s="50">
        <v>1</v>
      </c>
      <c r="AI15" s="50">
        <v>3</v>
      </c>
      <c r="AJ15" s="49">
        <v>5</v>
      </c>
      <c r="AK15" s="50">
        <v>10</v>
      </c>
      <c r="AL15" s="49"/>
      <c r="AM15" s="49"/>
      <c r="AN15" s="49"/>
      <c r="AO15" s="66">
        <v>10</v>
      </c>
      <c r="AP15" s="49" t="s">
        <v>3325</v>
      </c>
      <c r="AQ15" s="49" t="s">
        <v>3326</v>
      </c>
      <c r="AR15" s="50">
        <f t="shared" si="10"/>
        <v>16</v>
      </c>
      <c r="AS15" s="50">
        <v>1</v>
      </c>
      <c r="AT15" s="50">
        <v>1</v>
      </c>
      <c r="AU15" s="50">
        <v>7</v>
      </c>
      <c r="AV15" s="50">
        <v>3</v>
      </c>
      <c r="AW15" s="50">
        <v>1</v>
      </c>
      <c r="AX15" s="50"/>
      <c r="AY15" s="49"/>
      <c r="AZ15" s="66">
        <v>3</v>
      </c>
      <c r="BA15" s="49"/>
      <c r="BB15" s="49"/>
      <c r="BC15" s="50">
        <f t="shared" si="11"/>
        <v>4</v>
      </c>
      <c r="BD15" s="50">
        <v>2</v>
      </c>
      <c r="BE15" s="49">
        <v>2</v>
      </c>
      <c r="BF15" s="49">
        <v>1</v>
      </c>
      <c r="BG15" s="53"/>
      <c r="BH15" s="53">
        <f t="shared" si="6"/>
        <v>74</v>
      </c>
      <c r="BI15" s="54"/>
      <c r="BJ15" s="54"/>
    </row>
    <row r="16" s="28" customFormat="1" customHeight="1" spans="1:62">
      <c r="A16" s="44">
        <v>46113</v>
      </c>
      <c r="B16" s="45" t="s">
        <v>3327</v>
      </c>
      <c r="C16" s="45" t="s">
        <v>3289</v>
      </c>
      <c r="D16" s="70" t="s">
        <v>3319</v>
      </c>
      <c r="E16" s="47">
        <f>SUMIFS(卸车数据!$J$6:$J$1048576,卸车数据!$R$6:$R$1048576,"&gt;="&amp;A16+TIME(13,0,0),卸车数据!$R$6:$R$1048576,"&lt;"&amp;A16+TIME(14,0,0))</f>
        <v>9384</v>
      </c>
      <c r="F16" s="49">
        <v>4201</v>
      </c>
      <c r="G16" s="65">
        <v>4314</v>
      </c>
      <c r="H16" s="49">
        <v>1</v>
      </c>
      <c r="I16" s="49" t="s">
        <v>3320</v>
      </c>
      <c r="J16" s="49" t="s">
        <v>3328</v>
      </c>
      <c r="K16" s="50">
        <f t="shared" si="7"/>
        <v>13</v>
      </c>
      <c r="L16" s="50">
        <v>1</v>
      </c>
      <c r="M16" s="49">
        <v>3</v>
      </c>
      <c r="N16" s="49">
        <v>5</v>
      </c>
      <c r="O16" s="49"/>
      <c r="P16" s="49">
        <v>4</v>
      </c>
      <c r="Q16" s="49"/>
      <c r="R16" s="49"/>
      <c r="S16" s="49"/>
      <c r="T16" s="49"/>
      <c r="U16" s="49" t="s">
        <v>3329</v>
      </c>
      <c r="V16" s="49"/>
      <c r="W16" s="50">
        <f t="shared" si="8"/>
        <v>27</v>
      </c>
      <c r="X16" s="50">
        <v>1</v>
      </c>
      <c r="Y16" s="49">
        <v>12</v>
      </c>
      <c r="Z16" s="49">
        <v>12</v>
      </c>
      <c r="AA16" s="49"/>
      <c r="AB16" s="49"/>
      <c r="AC16" s="58">
        <v>2</v>
      </c>
      <c r="AD16" s="49"/>
      <c r="AE16" s="49" t="s">
        <v>3330</v>
      </c>
      <c r="AF16" s="49"/>
      <c r="AG16" s="50">
        <f t="shared" si="9"/>
        <v>16</v>
      </c>
      <c r="AH16" s="50">
        <v>1</v>
      </c>
      <c r="AI16" s="50">
        <v>1</v>
      </c>
      <c r="AJ16" s="50">
        <v>5</v>
      </c>
      <c r="AK16" s="50">
        <v>5</v>
      </c>
      <c r="AL16" s="50"/>
      <c r="AM16" s="50">
        <v>1</v>
      </c>
      <c r="AN16" s="50">
        <v>1</v>
      </c>
      <c r="AO16" s="66">
        <v>2</v>
      </c>
      <c r="AP16" s="49" t="s">
        <v>3325</v>
      </c>
      <c r="AQ16" s="49" t="s">
        <v>3326</v>
      </c>
      <c r="AR16" s="50">
        <f t="shared" si="10"/>
        <v>13</v>
      </c>
      <c r="AS16" s="50">
        <v>1</v>
      </c>
      <c r="AT16" s="50">
        <v>1</v>
      </c>
      <c r="AU16" s="50">
        <v>7</v>
      </c>
      <c r="AV16" s="50">
        <v>3</v>
      </c>
      <c r="AW16" s="50">
        <v>1</v>
      </c>
      <c r="AX16" s="50"/>
      <c r="AY16" s="49"/>
      <c r="AZ16" s="49"/>
      <c r="BA16" s="49"/>
      <c r="BB16" s="49"/>
      <c r="BC16" s="50">
        <f t="shared" si="11"/>
        <v>4</v>
      </c>
      <c r="BD16" s="50">
        <v>2</v>
      </c>
      <c r="BE16" s="49">
        <v>2</v>
      </c>
      <c r="BF16" s="49">
        <v>1</v>
      </c>
      <c r="BG16" s="53"/>
      <c r="BH16" s="53">
        <f t="shared" si="6"/>
        <v>74</v>
      </c>
      <c r="BI16" s="54"/>
      <c r="BJ16" s="54"/>
    </row>
    <row r="17" s="28" customFormat="1" customHeight="1" spans="1:62">
      <c r="A17" s="44">
        <v>46113</v>
      </c>
      <c r="B17" s="45" t="s">
        <v>3331</v>
      </c>
      <c r="C17" s="45" t="s">
        <v>3289</v>
      </c>
      <c r="D17" s="70" t="s">
        <v>3319</v>
      </c>
      <c r="E17" s="47">
        <f>SUMIFS(卸车数据!$J$6:$J$1048576,卸车数据!$R$6:$R$1048576,"&gt;="&amp;A17+TIME(14,0,0),卸车数据!$R$6:$R$1048576,"&lt;"&amp;A17+TIME(15,0,0))</f>
        <v>6307</v>
      </c>
      <c r="F17" s="49">
        <v>1069</v>
      </c>
      <c r="G17" s="65">
        <v>10046</v>
      </c>
      <c r="H17" s="49">
        <v>1</v>
      </c>
      <c r="I17" s="49" t="s">
        <v>3332</v>
      </c>
      <c r="J17" s="49" t="s">
        <v>3333</v>
      </c>
      <c r="K17" s="50">
        <f t="shared" si="7"/>
        <v>13</v>
      </c>
      <c r="L17" s="50">
        <v>1</v>
      </c>
      <c r="M17" s="49">
        <v>3</v>
      </c>
      <c r="N17" s="49">
        <v>5</v>
      </c>
      <c r="O17" s="49"/>
      <c r="P17" s="49">
        <v>4</v>
      </c>
      <c r="Q17" s="49"/>
      <c r="R17" s="49"/>
      <c r="S17" s="49"/>
      <c r="T17" s="49"/>
      <c r="U17" s="49" t="s">
        <v>3329</v>
      </c>
      <c r="V17" s="49"/>
      <c r="W17" s="50">
        <f t="shared" si="8"/>
        <v>27</v>
      </c>
      <c r="X17" s="50">
        <v>1</v>
      </c>
      <c r="Y17" s="49">
        <v>12</v>
      </c>
      <c r="Z17" s="49">
        <v>12</v>
      </c>
      <c r="AA17" s="49"/>
      <c r="AB17" s="49"/>
      <c r="AC17" s="58">
        <v>2</v>
      </c>
      <c r="AD17" s="49"/>
      <c r="AE17" s="49"/>
      <c r="AF17" s="49"/>
      <c r="AG17" s="50">
        <f t="shared" si="9"/>
        <v>16</v>
      </c>
      <c r="AH17" s="50">
        <v>1</v>
      </c>
      <c r="AI17" s="50">
        <v>1</v>
      </c>
      <c r="AJ17" s="50">
        <v>5</v>
      </c>
      <c r="AK17" s="50">
        <v>5</v>
      </c>
      <c r="AL17" s="50"/>
      <c r="AM17" s="50">
        <v>1</v>
      </c>
      <c r="AN17" s="50">
        <v>1</v>
      </c>
      <c r="AO17" s="66">
        <v>2</v>
      </c>
      <c r="AP17" s="49" t="s">
        <v>3325</v>
      </c>
      <c r="AQ17" s="49" t="s">
        <v>3326</v>
      </c>
      <c r="AR17" s="50">
        <f t="shared" si="10"/>
        <v>13</v>
      </c>
      <c r="AS17" s="50">
        <v>1</v>
      </c>
      <c r="AT17" s="50">
        <v>1</v>
      </c>
      <c r="AU17" s="50">
        <v>7</v>
      </c>
      <c r="AV17" s="50">
        <v>3</v>
      </c>
      <c r="AW17" s="50">
        <v>1</v>
      </c>
      <c r="AX17" s="50"/>
      <c r="AY17" s="49"/>
      <c r="AZ17" s="49"/>
      <c r="BA17" s="49"/>
      <c r="BB17" s="49"/>
      <c r="BC17" s="50">
        <f t="shared" si="11"/>
        <v>4</v>
      </c>
      <c r="BD17" s="50">
        <v>2</v>
      </c>
      <c r="BE17" s="49">
        <v>2</v>
      </c>
      <c r="BF17" s="49">
        <v>1</v>
      </c>
      <c r="BG17" s="53"/>
      <c r="BH17" s="53">
        <f t="shared" si="6"/>
        <v>74</v>
      </c>
      <c r="BI17" s="54"/>
      <c r="BJ17" s="54"/>
    </row>
    <row r="18" s="28" customFormat="1" customHeight="1" spans="1:62">
      <c r="A18" s="44">
        <v>46113</v>
      </c>
      <c r="B18" s="45" t="s">
        <v>3334</v>
      </c>
      <c r="C18" s="45" t="s">
        <v>3289</v>
      </c>
      <c r="D18" s="46" t="s">
        <v>22</v>
      </c>
      <c r="E18" s="47">
        <f>SUMIFS(卸车数据!$J$6:$J$1048576,卸车数据!$R$6:$R$1048576,"&gt;="&amp;A18+TIME(15,0,0),卸车数据!$R$6:$R$1048576,"&lt;"&amp;A18+TIME(16,0,0))</f>
        <v>0</v>
      </c>
      <c r="F18" s="49">
        <v>3796</v>
      </c>
      <c r="G18" s="65">
        <v>9093</v>
      </c>
      <c r="H18" s="49">
        <v>1</v>
      </c>
      <c r="I18" s="49" t="s">
        <v>3335</v>
      </c>
      <c r="J18" s="49" t="s">
        <v>3336</v>
      </c>
      <c r="K18" s="50">
        <f t="shared" si="7"/>
        <v>17</v>
      </c>
      <c r="L18" s="50">
        <v>1</v>
      </c>
      <c r="M18" s="49">
        <v>6</v>
      </c>
      <c r="N18" s="49">
        <v>2</v>
      </c>
      <c r="O18" s="49"/>
      <c r="P18" s="49">
        <v>5</v>
      </c>
      <c r="Q18" s="49"/>
      <c r="R18" s="49">
        <v>3</v>
      </c>
      <c r="S18" s="49"/>
      <c r="T18" s="49"/>
      <c r="U18" s="49" t="s">
        <v>3337</v>
      </c>
      <c r="V18" s="49"/>
      <c r="W18" s="50">
        <f t="shared" si="8"/>
        <v>23</v>
      </c>
      <c r="X18" s="50">
        <v>1</v>
      </c>
      <c r="Y18" s="49">
        <v>12</v>
      </c>
      <c r="Z18" s="49">
        <v>8</v>
      </c>
      <c r="AA18" s="49"/>
      <c r="AB18" s="49"/>
      <c r="AC18" s="58">
        <v>2</v>
      </c>
      <c r="AD18" s="49"/>
      <c r="AE18" s="49" t="s">
        <v>3338</v>
      </c>
      <c r="AF18" s="49"/>
      <c r="AG18" s="50">
        <f t="shared" si="9"/>
        <v>16</v>
      </c>
      <c r="AH18" s="50">
        <v>1</v>
      </c>
      <c r="AI18" s="50">
        <v>1</v>
      </c>
      <c r="AJ18" s="50">
        <v>5</v>
      </c>
      <c r="AK18" s="50">
        <v>5</v>
      </c>
      <c r="AL18" s="50"/>
      <c r="AM18" s="50">
        <v>1</v>
      </c>
      <c r="AN18" s="50">
        <v>1</v>
      </c>
      <c r="AO18" s="66">
        <v>2</v>
      </c>
      <c r="AP18" s="49" t="s">
        <v>3325</v>
      </c>
      <c r="AQ18" s="49" t="s">
        <v>3326</v>
      </c>
      <c r="AR18" s="50">
        <f t="shared" si="10"/>
        <v>13</v>
      </c>
      <c r="AS18" s="50">
        <v>1</v>
      </c>
      <c r="AT18" s="50">
        <v>1</v>
      </c>
      <c r="AU18" s="50">
        <v>7</v>
      </c>
      <c r="AV18" s="50">
        <v>3</v>
      </c>
      <c r="AW18" s="50">
        <v>1</v>
      </c>
      <c r="AX18" s="50"/>
      <c r="AY18" s="49"/>
      <c r="AZ18" s="49"/>
      <c r="BA18" s="49"/>
      <c r="BB18" s="49"/>
      <c r="BC18" s="50">
        <f t="shared" si="11"/>
        <v>4</v>
      </c>
      <c r="BD18" s="50">
        <v>2</v>
      </c>
      <c r="BE18" s="49">
        <v>2</v>
      </c>
      <c r="BF18" s="49">
        <v>1</v>
      </c>
      <c r="BG18" s="53"/>
      <c r="BH18" s="53">
        <f t="shared" si="6"/>
        <v>74</v>
      </c>
      <c r="BI18" s="54"/>
      <c r="BJ18" s="54"/>
    </row>
    <row r="19" s="28" customFormat="1" customHeight="1" spans="1:62">
      <c r="A19" s="44">
        <v>46113</v>
      </c>
      <c r="B19" s="45" t="s">
        <v>3339</v>
      </c>
      <c r="C19" s="45" t="s">
        <v>3289</v>
      </c>
      <c r="D19" s="46" t="s">
        <v>22</v>
      </c>
      <c r="E19" s="47">
        <f>SUMIFS(卸车数据!$J$6:$J$1048576,卸车数据!$R$6:$R$1048576,"&gt;="&amp;A19+TIME(16,0,0),卸车数据!$R$6:$R$1048576,"&lt;"&amp;A19+TIME(17,0,0))</f>
        <v>786</v>
      </c>
      <c r="F19" s="49">
        <v>3310</v>
      </c>
      <c r="G19" s="65">
        <v>14333</v>
      </c>
      <c r="H19" s="49">
        <v>1</v>
      </c>
      <c r="I19" s="49" t="s">
        <v>3335</v>
      </c>
      <c r="J19" s="49" t="s">
        <v>3336</v>
      </c>
      <c r="K19" s="50">
        <f t="shared" si="7"/>
        <v>17</v>
      </c>
      <c r="L19" s="50">
        <v>1</v>
      </c>
      <c r="M19" s="49">
        <v>6</v>
      </c>
      <c r="N19" s="49">
        <v>2</v>
      </c>
      <c r="O19" s="49"/>
      <c r="P19" s="49">
        <v>5</v>
      </c>
      <c r="Q19" s="49"/>
      <c r="R19" s="49">
        <v>3</v>
      </c>
      <c r="S19" s="49"/>
      <c r="T19" s="49"/>
      <c r="U19" s="49" t="s">
        <v>3340</v>
      </c>
      <c r="V19" s="49"/>
      <c r="W19" s="50">
        <f t="shared" si="8"/>
        <v>23</v>
      </c>
      <c r="X19" s="50">
        <v>1</v>
      </c>
      <c r="Y19" s="49">
        <v>12</v>
      </c>
      <c r="Z19" s="49">
        <v>8</v>
      </c>
      <c r="AA19" s="49"/>
      <c r="AB19" s="49"/>
      <c r="AC19" s="58">
        <v>2</v>
      </c>
      <c r="AD19" s="49"/>
      <c r="AE19" s="49" t="s">
        <v>3341</v>
      </c>
      <c r="AF19" s="49"/>
      <c r="AG19" s="50">
        <f t="shared" si="9"/>
        <v>16</v>
      </c>
      <c r="AH19" s="50">
        <v>1</v>
      </c>
      <c r="AI19" s="50">
        <v>1</v>
      </c>
      <c r="AJ19" s="50">
        <v>5</v>
      </c>
      <c r="AK19" s="50">
        <v>5</v>
      </c>
      <c r="AL19" s="50"/>
      <c r="AM19" s="50">
        <v>1</v>
      </c>
      <c r="AN19" s="50">
        <v>1</v>
      </c>
      <c r="AO19" s="66">
        <v>2</v>
      </c>
      <c r="AP19" s="49" t="s">
        <v>3342</v>
      </c>
      <c r="AQ19" s="49" t="s">
        <v>3343</v>
      </c>
      <c r="AR19" s="50">
        <f t="shared" si="10"/>
        <v>13</v>
      </c>
      <c r="AS19" s="50">
        <v>1</v>
      </c>
      <c r="AT19" s="50">
        <v>1</v>
      </c>
      <c r="AU19" s="50">
        <v>7</v>
      </c>
      <c r="AV19" s="50">
        <v>3</v>
      </c>
      <c r="AW19" s="50">
        <v>1</v>
      </c>
      <c r="AX19" s="50"/>
      <c r="AY19" s="49"/>
      <c r="AZ19" s="49"/>
      <c r="BA19" s="49"/>
      <c r="BB19" s="49"/>
      <c r="BC19" s="50">
        <f t="shared" si="11"/>
        <v>4</v>
      </c>
      <c r="BD19" s="50">
        <v>2</v>
      </c>
      <c r="BE19" s="49">
        <v>2</v>
      </c>
      <c r="BF19" s="49">
        <v>1</v>
      </c>
      <c r="BG19" s="53"/>
      <c r="BH19" s="53">
        <f t="shared" si="6"/>
        <v>74</v>
      </c>
      <c r="BI19" s="54"/>
      <c r="BJ19" s="54"/>
    </row>
    <row r="20" s="28" customFormat="1" customHeight="1" spans="1:62">
      <c r="A20" s="44">
        <v>46113</v>
      </c>
      <c r="B20" s="45" t="s">
        <v>3344</v>
      </c>
      <c r="C20" s="45" t="s">
        <v>3289</v>
      </c>
      <c r="D20" s="70" t="s">
        <v>3319</v>
      </c>
      <c r="E20" s="47">
        <f>SUMIFS(卸车数据!$J$6:$J$1048576,卸车数据!$R$6:$R$1048576,"&gt;="&amp;A20+TIME(17,0,0),卸车数据!$R$6:$R$1048576,"&lt;"&amp;A20+TIME(18,0,0))</f>
        <v>8467</v>
      </c>
      <c r="F20" s="49">
        <v>4220</v>
      </c>
      <c r="G20" s="65">
        <v>31</v>
      </c>
      <c r="H20" s="49">
        <v>1</v>
      </c>
      <c r="I20" s="49" t="s">
        <v>3335</v>
      </c>
      <c r="J20" s="49" t="s">
        <v>3336</v>
      </c>
      <c r="K20" s="50">
        <f t="shared" si="7"/>
        <v>17</v>
      </c>
      <c r="L20" s="50">
        <v>1</v>
      </c>
      <c r="M20" s="49">
        <v>6</v>
      </c>
      <c r="N20" s="49">
        <v>2</v>
      </c>
      <c r="O20" s="49"/>
      <c r="P20" s="49">
        <v>5</v>
      </c>
      <c r="Q20" s="49"/>
      <c r="R20" s="49">
        <v>3</v>
      </c>
      <c r="S20" s="49"/>
      <c r="T20" s="49"/>
      <c r="U20" s="49" t="s">
        <v>3345</v>
      </c>
      <c r="V20" s="49"/>
      <c r="W20" s="50">
        <f t="shared" si="8"/>
        <v>23</v>
      </c>
      <c r="X20" s="50">
        <v>1</v>
      </c>
      <c r="Y20" s="49">
        <v>12</v>
      </c>
      <c r="Z20" s="49">
        <v>8</v>
      </c>
      <c r="AA20" s="49"/>
      <c r="AB20" s="49"/>
      <c r="AC20" s="58">
        <v>2</v>
      </c>
      <c r="AD20" s="49"/>
      <c r="AE20" s="49" t="s">
        <v>3346</v>
      </c>
      <c r="AF20" s="49"/>
      <c r="AG20" s="50">
        <f t="shared" si="9"/>
        <v>16</v>
      </c>
      <c r="AH20" s="50">
        <v>1</v>
      </c>
      <c r="AI20" s="50">
        <v>1</v>
      </c>
      <c r="AJ20" s="50">
        <v>5</v>
      </c>
      <c r="AK20" s="50">
        <v>5</v>
      </c>
      <c r="AL20" s="50"/>
      <c r="AM20" s="50">
        <v>1</v>
      </c>
      <c r="AN20" s="50">
        <v>1</v>
      </c>
      <c r="AO20" s="66">
        <v>2</v>
      </c>
      <c r="AP20" s="49" t="s">
        <v>3342</v>
      </c>
      <c r="AQ20" s="49" t="s">
        <v>3343</v>
      </c>
      <c r="AR20" s="50">
        <f t="shared" si="10"/>
        <v>13</v>
      </c>
      <c r="AS20" s="50">
        <v>1</v>
      </c>
      <c r="AT20" s="50">
        <v>1</v>
      </c>
      <c r="AU20" s="50">
        <v>7</v>
      </c>
      <c r="AV20" s="50">
        <v>3</v>
      </c>
      <c r="AW20" s="50">
        <v>1</v>
      </c>
      <c r="AX20" s="50"/>
      <c r="AY20" s="49"/>
      <c r="AZ20" s="49"/>
      <c r="BA20" s="49"/>
      <c r="BB20" s="49"/>
      <c r="BC20" s="50">
        <f t="shared" si="11"/>
        <v>4</v>
      </c>
      <c r="BD20" s="50">
        <v>2</v>
      </c>
      <c r="BE20" s="49">
        <v>2</v>
      </c>
      <c r="BF20" s="49">
        <v>1</v>
      </c>
      <c r="BG20" s="53"/>
      <c r="BH20" s="53">
        <f t="shared" si="6"/>
        <v>74</v>
      </c>
      <c r="BI20" s="54"/>
      <c r="BJ20" s="54"/>
    </row>
    <row r="21" s="29" customFormat="1" customHeight="1" spans="1:62">
      <c r="A21" s="44">
        <v>46113</v>
      </c>
      <c r="B21" s="55" t="s">
        <v>3347</v>
      </c>
      <c r="C21" s="55" t="s">
        <v>3265</v>
      </c>
      <c r="D21" s="70" t="s">
        <v>3319</v>
      </c>
      <c r="E21" s="47">
        <f>SUMIFS(卸车数据!$J$6:$J$1048576,卸车数据!$R$6:$R$1048576,"&gt;="&amp;A21+TIME(18,0,0),卸车数据!$R$6:$R$1048576,"&lt;"&amp;A21+TIME(19,0,0))</f>
        <v>16740</v>
      </c>
      <c r="F21" s="71">
        <v>5114</v>
      </c>
      <c r="G21" s="67">
        <v>4803</v>
      </c>
      <c r="H21" s="49">
        <v>1</v>
      </c>
      <c r="I21" s="51" t="s">
        <v>3348</v>
      </c>
      <c r="J21" s="51"/>
      <c r="K21" s="58">
        <f t="shared" si="7"/>
        <v>21</v>
      </c>
      <c r="L21" s="58">
        <v>1</v>
      </c>
      <c r="M21" s="51">
        <v>8</v>
      </c>
      <c r="N21" s="51"/>
      <c r="O21" s="51"/>
      <c r="P21" s="51">
        <v>6</v>
      </c>
      <c r="Q21" s="51">
        <v>4</v>
      </c>
      <c r="R21" s="51"/>
      <c r="S21" s="51"/>
      <c r="T21" s="66">
        <v>2</v>
      </c>
      <c r="U21" s="51" t="s">
        <v>3349</v>
      </c>
      <c r="V21" s="51"/>
      <c r="W21" s="58">
        <f t="shared" si="8"/>
        <v>15</v>
      </c>
      <c r="X21" s="58">
        <v>1</v>
      </c>
      <c r="Y21" s="51">
        <v>6</v>
      </c>
      <c r="Z21" s="51">
        <v>5</v>
      </c>
      <c r="AA21" s="51">
        <v>1</v>
      </c>
      <c r="AB21" s="51"/>
      <c r="AC21" s="51">
        <v>2</v>
      </c>
      <c r="AD21" s="51"/>
      <c r="AE21" s="51"/>
      <c r="AF21" s="51"/>
      <c r="AG21" s="58">
        <f t="shared" si="9"/>
        <v>39</v>
      </c>
      <c r="AH21" s="58">
        <v>1</v>
      </c>
      <c r="AI21" s="58">
        <v>6</v>
      </c>
      <c r="AJ21" s="51">
        <v>6</v>
      </c>
      <c r="AK21" s="51">
        <v>11</v>
      </c>
      <c r="AL21" s="51"/>
      <c r="AM21" s="51">
        <v>1</v>
      </c>
      <c r="AN21" s="51">
        <v>1</v>
      </c>
      <c r="AO21" s="66">
        <v>13</v>
      </c>
      <c r="AP21" s="51"/>
      <c r="AQ21" s="51" t="s">
        <v>3350</v>
      </c>
      <c r="AR21" s="58">
        <f t="shared" si="10"/>
        <v>18</v>
      </c>
      <c r="AS21" s="58">
        <v>1</v>
      </c>
      <c r="AT21" s="58"/>
      <c r="AU21" s="51">
        <v>9</v>
      </c>
      <c r="AV21" s="51">
        <v>7</v>
      </c>
      <c r="AW21" s="58"/>
      <c r="AX21" s="58">
        <v>1</v>
      </c>
      <c r="AY21" s="51"/>
      <c r="AZ21" s="51"/>
      <c r="BA21" s="52">
        <v>4</v>
      </c>
      <c r="BB21" s="51"/>
      <c r="BC21" s="50">
        <f t="shared" si="11"/>
        <v>3</v>
      </c>
      <c r="BD21" s="58">
        <v>3</v>
      </c>
      <c r="BE21" s="51"/>
      <c r="BF21" s="49">
        <v>1</v>
      </c>
      <c r="BG21" s="69"/>
      <c r="BH21" s="53">
        <f t="shared" si="6"/>
        <v>101</v>
      </c>
      <c r="BI21" s="61" t="s">
        <v>3265</v>
      </c>
      <c r="BJ21" s="61">
        <v>96</v>
      </c>
    </row>
    <row r="22" s="28" customFormat="1" customHeight="1" spans="1:62">
      <c r="A22" s="44">
        <v>46113</v>
      </c>
      <c r="B22" s="45" t="s">
        <v>3351</v>
      </c>
      <c r="C22" s="45" t="s">
        <v>3265</v>
      </c>
      <c r="D22" s="70" t="s">
        <v>3319</v>
      </c>
      <c r="E22" s="47">
        <f>SUMIFS(卸车数据!$J$6:$J$1048576,卸车数据!$R$6:$R$1048576,"&gt;="&amp;A22+TIME(19,0,0),卸车数据!$R$6:$R$1048576,"&lt;"&amp;A22+TIME(20,0,0))</f>
        <v>30064</v>
      </c>
      <c r="F22" s="71">
        <v>5639</v>
      </c>
      <c r="G22" s="65">
        <v>14123</v>
      </c>
      <c r="H22" s="49">
        <v>1</v>
      </c>
      <c r="I22" s="49"/>
      <c r="J22" s="49"/>
      <c r="K22" s="50">
        <f t="shared" si="7"/>
        <v>19</v>
      </c>
      <c r="L22" s="50">
        <v>1</v>
      </c>
      <c r="M22" s="49">
        <v>8</v>
      </c>
      <c r="N22" s="49"/>
      <c r="O22" s="49"/>
      <c r="P22" s="49">
        <v>6</v>
      </c>
      <c r="Q22" s="49">
        <v>4</v>
      </c>
      <c r="R22" s="49"/>
      <c r="S22" s="49"/>
      <c r="T22" s="49"/>
      <c r="U22" s="49"/>
      <c r="V22" s="49"/>
      <c r="W22" s="50">
        <f t="shared" si="8"/>
        <v>30</v>
      </c>
      <c r="X22" s="50">
        <v>1</v>
      </c>
      <c r="Y22" s="49">
        <v>14</v>
      </c>
      <c r="Z22" s="49">
        <v>12</v>
      </c>
      <c r="AA22" s="49">
        <v>1</v>
      </c>
      <c r="AB22" s="49"/>
      <c r="AC22" s="49">
        <v>2</v>
      </c>
      <c r="AD22" s="49"/>
      <c r="AE22" s="49"/>
      <c r="AF22" s="49"/>
      <c r="AG22" s="50">
        <f t="shared" si="9"/>
        <v>26</v>
      </c>
      <c r="AH22" s="50">
        <v>1</v>
      </c>
      <c r="AI22" s="58">
        <v>6</v>
      </c>
      <c r="AJ22" s="49">
        <v>6</v>
      </c>
      <c r="AK22" s="49">
        <v>11</v>
      </c>
      <c r="AL22" s="49"/>
      <c r="AM22" s="49">
        <v>1</v>
      </c>
      <c r="AN22" s="49">
        <v>1</v>
      </c>
      <c r="AO22" s="49"/>
      <c r="AP22" s="49"/>
      <c r="AQ22" s="49"/>
      <c r="AR22" s="50">
        <f t="shared" si="10"/>
        <v>18</v>
      </c>
      <c r="AS22" s="50">
        <v>1</v>
      </c>
      <c r="AT22" s="50"/>
      <c r="AU22" s="49">
        <v>9</v>
      </c>
      <c r="AV22" s="49">
        <v>7</v>
      </c>
      <c r="AW22" s="50"/>
      <c r="AX22" s="50">
        <v>1</v>
      </c>
      <c r="AY22" s="49"/>
      <c r="AZ22" s="49"/>
      <c r="BA22" s="52">
        <v>4</v>
      </c>
      <c r="BB22" s="49"/>
      <c r="BC22" s="50">
        <f t="shared" si="11"/>
        <v>3</v>
      </c>
      <c r="BD22" s="58">
        <v>3</v>
      </c>
      <c r="BE22" s="49"/>
      <c r="BF22" s="49">
        <v>1</v>
      </c>
      <c r="BG22" s="53"/>
      <c r="BH22" s="53">
        <f t="shared" si="6"/>
        <v>101</v>
      </c>
      <c r="BI22" s="54"/>
      <c r="BJ22" s="54"/>
    </row>
    <row r="23" s="26" customFormat="1" customHeight="1" spans="1:62">
      <c r="A23" s="44">
        <v>46113</v>
      </c>
      <c r="B23" s="45" t="s">
        <v>3352</v>
      </c>
      <c r="C23" s="45" t="s">
        <v>3265</v>
      </c>
      <c r="D23" s="70" t="s">
        <v>3319</v>
      </c>
      <c r="E23" s="47">
        <f>SUMIFS(卸车数据!$J$6:$J$1048576,卸车数据!$R$6:$R$1048576,"&gt;="&amp;A23+TIME(20,0,0),卸车数据!$R$6:$R$1048576,"&lt;"&amp;A23+TIME(21,0,0))</f>
        <v>13963</v>
      </c>
      <c r="F23" s="71">
        <v>4949</v>
      </c>
      <c r="G23" s="48">
        <v>14447</v>
      </c>
      <c r="H23" s="49">
        <v>1</v>
      </c>
      <c r="I23" s="64" t="s">
        <v>3353</v>
      </c>
      <c r="J23" s="49"/>
      <c r="K23" s="50">
        <f t="shared" si="7"/>
        <v>19</v>
      </c>
      <c r="L23" s="50">
        <v>1</v>
      </c>
      <c r="M23" s="49">
        <v>8</v>
      </c>
      <c r="N23" s="49"/>
      <c r="O23" s="49"/>
      <c r="P23" s="49">
        <v>6</v>
      </c>
      <c r="Q23" s="49">
        <v>4</v>
      </c>
      <c r="R23" s="49"/>
      <c r="S23" s="49"/>
      <c r="T23" s="49"/>
      <c r="U23" s="49"/>
      <c r="V23" s="49"/>
      <c r="W23" s="50">
        <f t="shared" si="8"/>
        <v>30</v>
      </c>
      <c r="X23" s="50">
        <v>1</v>
      </c>
      <c r="Y23" s="49">
        <v>14</v>
      </c>
      <c r="Z23" s="49">
        <v>12</v>
      </c>
      <c r="AA23" s="49">
        <v>1</v>
      </c>
      <c r="AB23" s="49"/>
      <c r="AC23" s="49">
        <v>2</v>
      </c>
      <c r="AD23" s="49"/>
      <c r="AE23" s="49"/>
      <c r="AF23" s="49"/>
      <c r="AG23" s="50">
        <f t="shared" si="9"/>
        <v>26</v>
      </c>
      <c r="AH23" s="50">
        <v>1</v>
      </c>
      <c r="AI23" s="58">
        <v>6</v>
      </c>
      <c r="AJ23" s="49">
        <v>6</v>
      </c>
      <c r="AK23" s="49">
        <v>11</v>
      </c>
      <c r="AL23" s="49"/>
      <c r="AM23" s="49">
        <v>1</v>
      </c>
      <c r="AN23" s="49">
        <v>1</v>
      </c>
      <c r="AO23" s="49"/>
      <c r="AP23" s="49"/>
      <c r="AQ23" s="49"/>
      <c r="AR23" s="50">
        <f t="shared" si="10"/>
        <v>18</v>
      </c>
      <c r="AS23" s="50">
        <v>1</v>
      </c>
      <c r="AT23" s="50"/>
      <c r="AU23" s="49">
        <v>9</v>
      </c>
      <c r="AV23" s="49">
        <v>7</v>
      </c>
      <c r="AW23" s="50"/>
      <c r="AX23" s="50">
        <v>1</v>
      </c>
      <c r="AY23" s="49"/>
      <c r="AZ23" s="49"/>
      <c r="BA23" s="52">
        <v>4</v>
      </c>
      <c r="BB23" s="49"/>
      <c r="BC23" s="50">
        <f t="shared" si="11"/>
        <v>3</v>
      </c>
      <c r="BD23" s="58">
        <v>3</v>
      </c>
      <c r="BE23" s="49"/>
      <c r="BF23" s="49">
        <v>1</v>
      </c>
      <c r="BG23" s="53"/>
      <c r="BH23" s="53">
        <f t="shared" si="6"/>
        <v>101</v>
      </c>
      <c r="BI23" s="54"/>
      <c r="BJ23" s="54"/>
    </row>
    <row r="24" s="26" customFormat="1" customHeight="1" spans="1:62">
      <c r="A24" s="44">
        <v>46113</v>
      </c>
      <c r="B24" s="45" t="s">
        <v>3354</v>
      </c>
      <c r="C24" s="45" t="s">
        <v>3265</v>
      </c>
      <c r="D24" s="70" t="s">
        <v>3319</v>
      </c>
      <c r="E24" s="47">
        <f>SUMIFS(卸车数据!$J$6:$J$1048576,卸车数据!$R$6:$R$1048576,"&gt;="&amp;A24+TIME(21,0,0),卸车数据!$R$6:$R$1048576,"&lt;"&amp;A24+TIME(22,0,0))</f>
        <v>2570</v>
      </c>
      <c r="F24" s="71">
        <v>5056</v>
      </c>
      <c r="G24" s="48">
        <v>15492</v>
      </c>
      <c r="H24" s="49">
        <v>1</v>
      </c>
      <c r="I24" s="49"/>
      <c r="J24" s="49"/>
      <c r="K24" s="50">
        <f t="shared" si="7"/>
        <v>19</v>
      </c>
      <c r="L24" s="50">
        <v>1</v>
      </c>
      <c r="M24" s="49">
        <v>8</v>
      </c>
      <c r="N24" s="49"/>
      <c r="O24" s="49"/>
      <c r="P24" s="49">
        <v>6</v>
      </c>
      <c r="Q24" s="49">
        <v>4</v>
      </c>
      <c r="R24" s="49"/>
      <c r="S24" s="49"/>
      <c r="T24" s="49"/>
      <c r="U24" s="49"/>
      <c r="V24" s="49"/>
      <c r="W24" s="50">
        <f t="shared" si="8"/>
        <v>30</v>
      </c>
      <c r="X24" s="50">
        <v>1</v>
      </c>
      <c r="Y24" s="49">
        <v>14</v>
      </c>
      <c r="Z24" s="49">
        <v>12</v>
      </c>
      <c r="AA24" s="49">
        <v>1</v>
      </c>
      <c r="AB24" s="49"/>
      <c r="AC24" s="49">
        <v>2</v>
      </c>
      <c r="AD24" s="49"/>
      <c r="AE24" s="49"/>
      <c r="AF24" s="49"/>
      <c r="AG24" s="50">
        <f t="shared" si="9"/>
        <v>26</v>
      </c>
      <c r="AH24" s="50">
        <v>1</v>
      </c>
      <c r="AI24" s="58">
        <v>6</v>
      </c>
      <c r="AJ24" s="49">
        <v>6</v>
      </c>
      <c r="AK24" s="49">
        <v>11</v>
      </c>
      <c r="AL24" s="49"/>
      <c r="AM24" s="49">
        <v>1</v>
      </c>
      <c r="AN24" s="49">
        <v>1</v>
      </c>
      <c r="AO24" s="49"/>
      <c r="AP24" s="49"/>
      <c r="AQ24" s="49"/>
      <c r="AR24" s="50">
        <f t="shared" si="10"/>
        <v>18</v>
      </c>
      <c r="AS24" s="50">
        <v>1</v>
      </c>
      <c r="AT24" s="50"/>
      <c r="AU24" s="49">
        <v>9</v>
      </c>
      <c r="AV24" s="49">
        <v>7</v>
      </c>
      <c r="AW24" s="50"/>
      <c r="AX24" s="50">
        <v>1</v>
      </c>
      <c r="AY24" s="49"/>
      <c r="AZ24" s="49"/>
      <c r="BA24" s="52">
        <v>4</v>
      </c>
      <c r="BB24" s="50"/>
      <c r="BC24" s="50">
        <f t="shared" si="11"/>
        <v>3</v>
      </c>
      <c r="BD24" s="58">
        <v>3</v>
      </c>
      <c r="BE24" s="49"/>
      <c r="BF24" s="49">
        <v>1</v>
      </c>
      <c r="BG24" s="53"/>
      <c r="BH24" s="53">
        <f t="shared" si="6"/>
        <v>101</v>
      </c>
      <c r="BI24" s="54"/>
      <c r="BJ24" s="54"/>
    </row>
    <row r="25" s="26" customFormat="1" customHeight="1" spans="1:62">
      <c r="A25" s="44">
        <v>46113</v>
      </c>
      <c r="B25" s="45" t="s">
        <v>3355</v>
      </c>
      <c r="C25" s="45" t="s">
        <v>3265</v>
      </c>
      <c r="D25" s="70" t="s">
        <v>3319</v>
      </c>
      <c r="E25" s="47">
        <f>SUMIFS(卸车数据!$J$6:$J$1048576,卸车数据!$R$6:$R$1048576,"&gt;="&amp;A25+TIME(22,0,0),卸车数据!$R$6:$R$1048576,"&lt;"&amp;A25+TIME(23,0,0))</f>
        <v>6932</v>
      </c>
      <c r="F25" s="71">
        <v>1608</v>
      </c>
      <c r="G25" s="48">
        <v>4913</v>
      </c>
      <c r="H25" s="49">
        <v>1</v>
      </c>
      <c r="I25" s="64" t="s">
        <v>3356</v>
      </c>
      <c r="J25" s="49"/>
      <c r="K25" s="50">
        <f t="shared" si="7"/>
        <v>19</v>
      </c>
      <c r="L25" s="50">
        <v>1</v>
      </c>
      <c r="M25" s="49">
        <v>8</v>
      </c>
      <c r="N25" s="49"/>
      <c r="O25" s="49"/>
      <c r="P25" s="49">
        <v>6</v>
      </c>
      <c r="Q25" s="49">
        <v>4</v>
      </c>
      <c r="R25" s="49"/>
      <c r="S25" s="49"/>
      <c r="T25" s="49"/>
      <c r="U25" s="49"/>
      <c r="V25" s="49"/>
      <c r="W25" s="50">
        <f t="shared" si="8"/>
        <v>30</v>
      </c>
      <c r="X25" s="50">
        <v>1</v>
      </c>
      <c r="Y25" s="49">
        <v>14</v>
      </c>
      <c r="Z25" s="49">
        <v>12</v>
      </c>
      <c r="AA25" s="49">
        <v>1</v>
      </c>
      <c r="AB25" s="49"/>
      <c r="AC25" s="49">
        <v>2</v>
      </c>
      <c r="AD25" s="49"/>
      <c r="AE25" s="49"/>
      <c r="AF25" s="49"/>
      <c r="AG25" s="50">
        <f t="shared" si="9"/>
        <v>26</v>
      </c>
      <c r="AH25" s="50">
        <v>1</v>
      </c>
      <c r="AI25" s="58">
        <v>6</v>
      </c>
      <c r="AJ25" s="49">
        <v>6</v>
      </c>
      <c r="AK25" s="49">
        <v>11</v>
      </c>
      <c r="AL25" s="49"/>
      <c r="AM25" s="49">
        <v>1</v>
      </c>
      <c r="AN25" s="49">
        <v>1</v>
      </c>
      <c r="AO25" s="49"/>
      <c r="AP25" s="49"/>
      <c r="AQ25" s="49"/>
      <c r="AR25" s="50">
        <f t="shared" si="10"/>
        <v>18</v>
      </c>
      <c r="AS25" s="50">
        <v>1</v>
      </c>
      <c r="AT25" s="50"/>
      <c r="AU25" s="49">
        <v>9</v>
      </c>
      <c r="AV25" s="49">
        <v>7</v>
      </c>
      <c r="AW25" s="50"/>
      <c r="AX25" s="50">
        <v>1</v>
      </c>
      <c r="AY25" s="49"/>
      <c r="AZ25" s="49"/>
      <c r="BA25" s="52">
        <v>4</v>
      </c>
      <c r="BB25" s="50"/>
      <c r="BC25" s="50">
        <f t="shared" si="11"/>
        <v>3</v>
      </c>
      <c r="BD25" s="58">
        <v>3</v>
      </c>
      <c r="BE25" s="49"/>
      <c r="BF25" s="49">
        <v>1</v>
      </c>
      <c r="BG25" s="53"/>
      <c r="BH25" s="53">
        <f t="shared" si="6"/>
        <v>101</v>
      </c>
      <c r="BI25" s="54"/>
      <c r="BJ25" s="54"/>
    </row>
    <row r="26" s="27" customFormat="1" customHeight="1" spans="1:62">
      <c r="A26" s="44">
        <v>46113</v>
      </c>
      <c r="B26" s="55" t="s">
        <v>3357</v>
      </c>
      <c r="C26" s="55" t="s">
        <v>3265</v>
      </c>
      <c r="D26" s="72" t="s">
        <v>3311</v>
      </c>
      <c r="E26" s="47">
        <f>SUMIFS(卸车数据!$J$6:$J$1048576,卸车数据!$R$6:$R$1048576,"&gt;="&amp;A26+TIME(23,0,0),卸车数据!$R$6:$R$1048576,"&lt;"&amp;A26+TIME(0,0,0))</f>
        <v>0</v>
      </c>
      <c r="F26" s="73">
        <v>4959</v>
      </c>
      <c r="G26" s="57">
        <v>10612</v>
      </c>
      <c r="H26" s="51">
        <v>1</v>
      </c>
      <c r="I26" s="51" t="s">
        <v>3358</v>
      </c>
      <c r="J26" s="51"/>
      <c r="K26" s="58">
        <f t="shared" si="7"/>
        <v>17</v>
      </c>
      <c r="L26" s="58">
        <v>1</v>
      </c>
      <c r="M26" s="51">
        <v>5</v>
      </c>
      <c r="N26" s="51">
        <v>2</v>
      </c>
      <c r="O26" s="51">
        <v>2</v>
      </c>
      <c r="P26" s="51">
        <v>4</v>
      </c>
      <c r="Q26" s="51">
        <v>1</v>
      </c>
      <c r="R26" s="51">
        <v>2</v>
      </c>
      <c r="S26" s="51"/>
      <c r="T26" s="51"/>
      <c r="U26" s="51" t="s">
        <v>3359</v>
      </c>
      <c r="V26" s="51"/>
      <c r="W26" s="58">
        <f t="shared" si="8"/>
        <v>25</v>
      </c>
      <c r="X26" s="58">
        <v>1</v>
      </c>
      <c r="Y26" s="51">
        <v>12</v>
      </c>
      <c r="Z26" s="51">
        <v>9</v>
      </c>
      <c r="AA26" s="51">
        <v>1</v>
      </c>
      <c r="AB26" s="51"/>
      <c r="AC26" s="51">
        <v>2</v>
      </c>
      <c r="AD26" s="51"/>
      <c r="AE26" s="51" t="s">
        <v>3360</v>
      </c>
      <c r="AF26" s="51"/>
      <c r="AG26" s="58">
        <f t="shared" si="9"/>
        <v>26</v>
      </c>
      <c r="AH26" s="58">
        <v>1</v>
      </c>
      <c r="AI26" s="58">
        <v>6</v>
      </c>
      <c r="AJ26" s="58">
        <v>6</v>
      </c>
      <c r="AK26" s="51">
        <v>11</v>
      </c>
      <c r="AL26" s="51"/>
      <c r="AM26" s="51">
        <v>1</v>
      </c>
      <c r="AN26" s="51">
        <v>1</v>
      </c>
      <c r="AO26" s="51"/>
      <c r="AP26" s="51"/>
      <c r="AQ26" s="51"/>
      <c r="AR26" s="58">
        <f t="shared" si="10"/>
        <v>19</v>
      </c>
      <c r="AS26" s="58">
        <v>1</v>
      </c>
      <c r="AT26" s="58"/>
      <c r="AU26" s="51">
        <v>11</v>
      </c>
      <c r="AV26" s="51">
        <v>5</v>
      </c>
      <c r="AW26" s="58"/>
      <c r="AX26" s="58">
        <v>1</v>
      </c>
      <c r="AY26" s="51">
        <v>1</v>
      </c>
      <c r="AZ26" s="51"/>
      <c r="BA26" s="52">
        <v>4</v>
      </c>
      <c r="BB26" s="58"/>
      <c r="BC26" s="50">
        <f t="shared" si="11"/>
        <v>3</v>
      </c>
      <c r="BD26" s="58">
        <v>3</v>
      </c>
      <c r="BE26" s="51"/>
      <c r="BF26" s="49">
        <v>1</v>
      </c>
      <c r="BG26" s="69"/>
      <c r="BH26" s="53">
        <f t="shared" si="6"/>
        <v>95</v>
      </c>
      <c r="BI26" s="61">
        <v>6</v>
      </c>
      <c r="BJ26" s="61" t="s">
        <v>3361</v>
      </c>
    </row>
    <row r="27" s="30" customFormat="1" customHeight="1" spans="1:62">
      <c r="B27" s="74" t="s">
        <v>3362</v>
      </c>
      <c r="C27" s="74"/>
      <c r="D27" s="74"/>
      <c r="E27" s="74"/>
      <c r="F27" s="75"/>
      <c r="G27" s="75"/>
      <c r="H27" s="74"/>
      <c r="P27" s="76"/>
      <c r="Q27" s="76"/>
      <c r="V27" s="77"/>
      <c r="W27" s="77"/>
      <c r="BH27" s="31"/>
    </row>
    <row r="28" s="30" customFormat="1" customHeight="1" spans="1:62">
      <c r="B28" s="78" t="s">
        <v>3363</v>
      </c>
      <c r="C28" s="79"/>
      <c r="D28" s="79"/>
      <c r="E28" s="79"/>
      <c r="F28" s="79"/>
      <c r="G28" s="79"/>
      <c r="H28" s="80"/>
      <c r="I28" s="80"/>
      <c r="J28" s="80"/>
      <c r="K28" s="80"/>
      <c r="L28" s="80"/>
      <c r="M28" s="79"/>
      <c r="N28" s="81" t="s">
        <v>3364</v>
      </c>
      <c r="O28" s="81"/>
      <c r="Q28" s="79" t="s">
        <v>3365</v>
      </c>
      <c r="R28" s="79"/>
      <c r="BC28" s="31"/>
    </row>
    <row r="29" s="30" customFormat="1" customHeight="1" spans="1:62">
      <c r="B29" s="31" t="s">
        <v>3366</v>
      </c>
      <c r="C29" s="31"/>
      <c r="D29" s="82" t="s">
        <v>3367</v>
      </c>
      <c r="E29" s="83"/>
      <c r="F29" s="83"/>
      <c r="G29" s="83"/>
      <c r="H29" s="84"/>
      <c r="I29" s="85" t="s">
        <v>3368</v>
      </c>
      <c r="J29" s="86"/>
      <c r="K29" s="86"/>
      <c r="L29" s="86"/>
      <c r="M29" s="86"/>
      <c r="N29" s="86"/>
      <c r="O29" s="87"/>
      <c r="Q29" s="79"/>
      <c r="R29" s="79"/>
      <c r="BC29" s="31"/>
      <c r="BD29" s="88"/>
    </row>
    <row r="30" s="28" customFormat="1" customHeight="1" spans="1:62">
      <c r="K30" s="89"/>
      <c r="L30" s="89"/>
      <c r="Q30" s="79"/>
      <c r="R30" s="79"/>
      <c r="BC30" s="90"/>
      <c r="BD30" s="91"/>
    </row>
    <row r="31" s="31" customFormat="1" customHeight="1" spans="1:62">
      <c r="B31" s="31" t="s">
        <v>3369</v>
      </c>
      <c r="D31" s="92" t="s">
        <v>3370</v>
      </c>
      <c r="E31" s="93"/>
      <c r="F31" s="94"/>
      <c r="G31" s="94"/>
      <c r="H31" s="94"/>
      <c r="I31" s="95">
        <v>1800</v>
      </c>
      <c r="J31" s="94"/>
      <c r="K31" s="96"/>
      <c r="L31" s="97">
        <v>2330</v>
      </c>
      <c r="M31" s="94"/>
      <c r="N31" s="94"/>
      <c r="O31" s="98" t="s">
        <v>3370</v>
      </c>
      <c r="Q31" s="79"/>
      <c r="R31" s="79"/>
    </row>
  </sheetData>
  <mergeCells count="24">
    <mergeCell ref="I1:T1"/>
    <mergeCell ref="U1:AD1"/>
    <mergeCell ref="AF1:AO1"/>
    <mergeCell ref="AP1:AZ1"/>
    <mergeCell ref="BB1:BG1"/>
    <mergeCell ref="BI6:BJ6"/>
    <mergeCell ref="B27:H27"/>
    <mergeCell ref="V27:W27"/>
    <mergeCell ref="H28:L28"/>
    <mergeCell ref="N28:O28"/>
    <mergeCell ref="D29:H29"/>
    <mergeCell ref="I29:O29"/>
    <mergeCell ref="A1:A2"/>
    <mergeCell ref="B1:B2"/>
    <mergeCell ref="C1:C2"/>
    <mergeCell ref="D1:D2"/>
    <mergeCell ref="E1:E2"/>
    <mergeCell ref="F1:F2"/>
    <mergeCell ref="G1:G2"/>
    <mergeCell ref="H1:H2"/>
    <mergeCell ref="BA1:BA2"/>
    <mergeCell ref="BH1:BH2"/>
    <mergeCell ref="BI1:BJ2"/>
    <mergeCell ref="Q28:R31"/>
  </mergeCells>
  <pageMargins left="0.75" right="0.75" top="1" bottom="1" header="0.5" footer="0.5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J31"/>
  <sheetViews>
    <sheetView workbookViewId="0">
      <pane xSplit="2" ySplit="2" topLeftCell="C22" activePane="bottomRight" state="frozen"/>
      <selection/>
      <selection pane="topRight"/>
      <selection pane="bottomLeft"/>
      <selection pane="bottomRight" activeCell="Z14" sqref="Z14"/>
    </sheetView>
  </sheetViews>
  <sheetFormatPr defaultColWidth="9.55555555555556" defaultRowHeight="40.2" customHeight="1"/>
  <cols>
    <col min="1" max="1" width="9.55555555555556" style="30"/>
    <col min="2" max="2" width="22.1111111111111" style="30" customWidth="1"/>
    <col min="3" max="7" width="9.55555555555556" style="30" customWidth="1"/>
    <col min="8" max="59" width="9" style="30" customWidth="1"/>
    <col min="60" max="60" width="9" style="31" customWidth="1"/>
    <col min="61" max="61" width="11.6666666666667" style="30" customWidth="1"/>
    <col min="62" max="16384" width="9.55555555555556" style="30"/>
  </cols>
  <sheetData>
    <row r="1" s="25" customFormat="1" customHeight="1" spans="1:62">
      <c r="A1" s="32" t="s">
        <v>3222</v>
      </c>
      <c r="B1" s="32" t="s">
        <v>3223</v>
      </c>
      <c r="C1" s="33" t="s">
        <v>3224</v>
      </c>
      <c r="D1" s="33" t="s">
        <v>3225</v>
      </c>
      <c r="E1" s="33" t="s">
        <v>3226</v>
      </c>
      <c r="F1" s="32" t="s">
        <v>3227</v>
      </c>
      <c r="G1" s="32" t="s">
        <v>3228</v>
      </c>
      <c r="H1" s="32" t="s">
        <v>3229</v>
      </c>
      <c r="I1" s="34" t="s">
        <v>3230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6"/>
      <c r="U1" s="32" t="s">
        <v>3231</v>
      </c>
      <c r="V1" s="32"/>
      <c r="W1" s="32"/>
      <c r="X1" s="32"/>
      <c r="Y1" s="32"/>
      <c r="Z1" s="32"/>
      <c r="AA1" s="32"/>
      <c r="AB1" s="32"/>
      <c r="AC1" s="32"/>
      <c r="AD1" s="32"/>
      <c r="AE1" s="35"/>
      <c r="AF1" s="35" t="s">
        <v>3232</v>
      </c>
      <c r="AG1" s="35"/>
      <c r="AH1" s="35"/>
      <c r="AI1" s="35"/>
      <c r="AJ1" s="35"/>
      <c r="AK1" s="35"/>
      <c r="AL1" s="35"/>
      <c r="AM1" s="35"/>
      <c r="AN1" s="35"/>
      <c r="AO1" s="36"/>
      <c r="AP1" s="34" t="s">
        <v>3233</v>
      </c>
      <c r="AQ1" s="35"/>
      <c r="AR1" s="35"/>
      <c r="AS1" s="35"/>
      <c r="AT1" s="35"/>
      <c r="AU1" s="35"/>
      <c r="AV1" s="35"/>
      <c r="AW1" s="35"/>
      <c r="AX1" s="35"/>
      <c r="AY1" s="35"/>
      <c r="AZ1" s="36"/>
      <c r="BA1" s="32" t="s">
        <v>3234</v>
      </c>
      <c r="BB1" s="34" t="s">
        <v>3235</v>
      </c>
      <c r="BC1" s="35"/>
      <c r="BD1" s="35"/>
      <c r="BE1" s="35"/>
      <c r="BF1" s="35"/>
      <c r="BG1" s="36"/>
      <c r="BH1" s="37" t="s">
        <v>1121</v>
      </c>
      <c r="BI1" s="38" t="s">
        <v>3371</v>
      </c>
      <c r="BJ1" s="39"/>
    </row>
    <row r="2" s="25" customFormat="1" ht="63" customHeight="1" spans="1:62">
      <c r="A2" s="32"/>
      <c r="B2" s="32"/>
      <c r="C2" s="40"/>
      <c r="D2" s="40"/>
      <c r="E2" s="40"/>
      <c r="F2" s="41"/>
      <c r="G2" s="41"/>
      <c r="H2" s="32"/>
      <c r="I2" s="42" t="s">
        <v>3237</v>
      </c>
      <c r="J2" s="42" t="s">
        <v>3238</v>
      </c>
      <c r="K2" s="32" t="s">
        <v>1143</v>
      </c>
      <c r="L2" s="32" t="s">
        <v>3239</v>
      </c>
      <c r="M2" s="32" t="s">
        <v>3240</v>
      </c>
      <c r="N2" s="32" t="s">
        <v>3241</v>
      </c>
      <c r="O2" s="32" t="s">
        <v>3242</v>
      </c>
      <c r="P2" s="32" t="s">
        <v>3243</v>
      </c>
      <c r="Q2" s="32" t="s">
        <v>3244</v>
      </c>
      <c r="R2" s="32" t="s">
        <v>3245</v>
      </c>
      <c r="S2" s="32" t="s">
        <v>3246</v>
      </c>
      <c r="T2" s="43" t="s">
        <v>3247</v>
      </c>
      <c r="U2" s="42" t="s">
        <v>3237</v>
      </c>
      <c r="V2" s="42" t="s">
        <v>3238</v>
      </c>
      <c r="W2" s="32" t="s">
        <v>1143</v>
      </c>
      <c r="X2" s="32" t="s">
        <v>3239</v>
      </c>
      <c r="Y2" s="32" t="s">
        <v>3248</v>
      </c>
      <c r="Z2" s="32" t="s">
        <v>3249</v>
      </c>
      <c r="AA2" s="32" t="s">
        <v>3250</v>
      </c>
      <c r="AB2" s="32" t="s">
        <v>3251</v>
      </c>
      <c r="AC2" s="32" t="s">
        <v>3252</v>
      </c>
      <c r="AD2" s="43" t="s">
        <v>3247</v>
      </c>
      <c r="AE2" s="42" t="s">
        <v>3237</v>
      </c>
      <c r="AF2" s="42" t="s">
        <v>3238</v>
      </c>
      <c r="AG2" s="32" t="s">
        <v>1143</v>
      </c>
      <c r="AH2" s="32" t="s">
        <v>3239</v>
      </c>
      <c r="AI2" s="32" t="s">
        <v>3253</v>
      </c>
      <c r="AJ2" s="32" t="s">
        <v>3254</v>
      </c>
      <c r="AK2" s="32" t="s">
        <v>3255</v>
      </c>
      <c r="AL2" s="32" t="s">
        <v>3256</v>
      </c>
      <c r="AM2" s="32" t="s">
        <v>3257</v>
      </c>
      <c r="AN2" s="32" t="s">
        <v>3258</v>
      </c>
      <c r="AO2" s="43" t="s">
        <v>3247</v>
      </c>
      <c r="AP2" s="42" t="s">
        <v>3237</v>
      </c>
      <c r="AQ2" s="42" t="s">
        <v>3238</v>
      </c>
      <c r="AR2" s="32" t="s">
        <v>1143</v>
      </c>
      <c r="AS2" s="32" t="s">
        <v>3239</v>
      </c>
      <c r="AT2" s="32" t="s">
        <v>3253</v>
      </c>
      <c r="AU2" s="32" t="s">
        <v>3254</v>
      </c>
      <c r="AV2" s="32" t="s">
        <v>3255</v>
      </c>
      <c r="AW2" s="32" t="s">
        <v>3256</v>
      </c>
      <c r="AX2" s="32" t="s">
        <v>3257</v>
      </c>
      <c r="AY2" s="32" t="s">
        <v>3258</v>
      </c>
      <c r="AZ2" s="43" t="s">
        <v>3247</v>
      </c>
      <c r="BA2" s="32"/>
      <c r="BB2" s="32" t="s">
        <v>3259</v>
      </c>
      <c r="BC2" s="32" t="s">
        <v>1143</v>
      </c>
      <c r="BD2" s="32" t="s">
        <v>3260</v>
      </c>
      <c r="BE2" s="32" t="s">
        <v>3261</v>
      </c>
      <c r="BF2" s="32" t="s">
        <v>3262</v>
      </c>
      <c r="BG2" s="32" t="s">
        <v>3263</v>
      </c>
      <c r="BH2" s="37"/>
      <c r="BI2" s="38"/>
      <c r="BJ2" s="39"/>
    </row>
    <row r="3" s="26" customFormat="1" customHeight="1" spans="1:62">
      <c r="A3" s="44">
        <f>'1'!A20+1</f>
        <v>46114</v>
      </c>
      <c r="B3" s="45" t="s">
        <v>3264</v>
      </c>
      <c r="C3" s="45" t="s">
        <v>3265</v>
      </c>
      <c r="D3" s="46" t="s">
        <v>22</v>
      </c>
      <c r="E3" s="47">
        <f>SUMIFS(卸车数据!$J$6:$J$1048576,卸车数据!$R$6:$R$1048576,"&gt;="&amp;A3+TIME(0,0,0),卸车数据!$R$6:$R$1048576,"&lt;"&amp;A3+TIME(1,0,0))</f>
        <v>15846</v>
      </c>
      <c r="F3" s="47">
        <v>1431</v>
      </c>
      <c r="G3" s="48">
        <v>4923</v>
      </c>
      <c r="H3" s="49">
        <v>1</v>
      </c>
      <c r="I3" s="49" t="s">
        <v>3266</v>
      </c>
      <c r="J3" s="49"/>
      <c r="K3" s="50">
        <f t="shared" ref="K3:K9" si="0">SUM(L3:T3)</f>
        <v>17</v>
      </c>
      <c r="L3" s="50">
        <v>1</v>
      </c>
      <c r="M3" s="49">
        <v>5</v>
      </c>
      <c r="N3" s="49">
        <v>2</v>
      </c>
      <c r="O3" s="49">
        <v>2</v>
      </c>
      <c r="P3" s="49">
        <v>4</v>
      </c>
      <c r="Q3" s="49">
        <v>1</v>
      </c>
      <c r="R3" s="49">
        <v>2</v>
      </c>
      <c r="S3" s="49"/>
      <c r="T3" s="49"/>
      <c r="U3" s="49"/>
      <c r="V3" s="49"/>
      <c r="W3" s="50">
        <f t="shared" ref="W3:W9" si="1">SUM(X3:AD3)</f>
        <v>25</v>
      </c>
      <c r="X3" s="50">
        <v>1</v>
      </c>
      <c r="Y3" s="49">
        <v>12</v>
      </c>
      <c r="Z3" s="49">
        <v>9</v>
      </c>
      <c r="AA3" s="49">
        <v>1</v>
      </c>
      <c r="AB3" s="49"/>
      <c r="AC3" s="49">
        <v>2</v>
      </c>
      <c r="AD3" s="49"/>
      <c r="AE3" s="49" t="s">
        <v>3267</v>
      </c>
      <c r="AF3" s="49"/>
      <c r="AG3" s="50">
        <f t="shared" ref="AG3:AG9" si="2">SUM(AH3:AO3)</f>
        <v>26</v>
      </c>
      <c r="AH3" s="50">
        <v>1</v>
      </c>
      <c r="AI3" s="50">
        <v>6</v>
      </c>
      <c r="AJ3" s="50">
        <v>6</v>
      </c>
      <c r="AK3" s="49">
        <v>11</v>
      </c>
      <c r="AL3" s="49"/>
      <c r="AM3" s="49">
        <v>1</v>
      </c>
      <c r="AN3" s="49">
        <v>1</v>
      </c>
      <c r="AO3" s="49"/>
      <c r="AP3" s="49"/>
      <c r="AQ3" s="49"/>
      <c r="AR3" s="50">
        <f t="shared" ref="AR3:AR9" si="3">SUM(AS3:AZ3)</f>
        <v>20</v>
      </c>
      <c r="AS3" s="50">
        <v>1</v>
      </c>
      <c r="AT3" s="50"/>
      <c r="AU3" s="49">
        <v>11</v>
      </c>
      <c r="AV3" s="51">
        <v>6</v>
      </c>
      <c r="AW3" s="50"/>
      <c r="AX3" s="50">
        <v>1</v>
      </c>
      <c r="AY3" s="49">
        <v>1</v>
      </c>
      <c r="AZ3" s="49"/>
      <c r="BA3" s="52">
        <v>4</v>
      </c>
      <c r="BB3" s="50"/>
      <c r="BC3" s="50">
        <f t="shared" ref="BC3:BC26" si="4">BD3+BE3</f>
        <v>3</v>
      </c>
      <c r="BD3" s="50">
        <v>3</v>
      </c>
      <c r="BE3" s="49"/>
      <c r="BF3" s="49">
        <v>1</v>
      </c>
      <c r="BG3" s="53"/>
      <c r="BH3" s="53">
        <f t="shared" ref="BH3:BH9" si="5">BC3+BA3+AR3+AG3+W3+K3+H3</f>
        <v>96</v>
      </c>
      <c r="BI3" s="54"/>
      <c r="BJ3" s="54"/>
    </row>
    <row r="4" s="26" customFormat="1" customHeight="1" spans="1:62">
      <c r="A4" s="44">
        <f>'1'!A21+1</f>
        <v>46114</v>
      </c>
      <c r="B4" s="45" t="s">
        <v>3268</v>
      </c>
      <c r="C4" s="45" t="s">
        <v>3265</v>
      </c>
      <c r="D4" s="46" t="s">
        <v>22</v>
      </c>
      <c r="E4" s="47">
        <f>SUMIFS(卸车数据!$J$6:$J$1048576,卸车数据!$R$6:$R$1048576,"&gt;="&amp;A4+TIME(1,0,0),卸车数据!$R$6:$R$1048576,"&lt;"&amp;A4+TIME(2,0,0))</f>
        <v>0</v>
      </c>
      <c r="F4" s="47">
        <v>3938</v>
      </c>
      <c r="G4" s="48">
        <v>13433</v>
      </c>
      <c r="H4" s="49">
        <v>1</v>
      </c>
      <c r="I4" s="49"/>
      <c r="J4" s="49"/>
      <c r="K4" s="50">
        <f t="shared" si="0"/>
        <v>17</v>
      </c>
      <c r="L4" s="50">
        <v>1</v>
      </c>
      <c r="M4" s="49">
        <v>5</v>
      </c>
      <c r="N4" s="49">
        <v>2</v>
      </c>
      <c r="O4" s="49">
        <v>2</v>
      </c>
      <c r="P4" s="49">
        <v>4</v>
      </c>
      <c r="Q4" s="49">
        <v>1</v>
      </c>
      <c r="R4" s="49">
        <v>2</v>
      </c>
      <c r="S4" s="49"/>
      <c r="T4" s="50"/>
      <c r="U4" s="49"/>
      <c r="V4" s="49"/>
      <c r="W4" s="50">
        <f t="shared" si="1"/>
        <v>25</v>
      </c>
      <c r="X4" s="50">
        <v>1</v>
      </c>
      <c r="Y4" s="49">
        <v>12</v>
      </c>
      <c r="Z4" s="49">
        <v>9</v>
      </c>
      <c r="AA4" s="49">
        <v>1</v>
      </c>
      <c r="AB4" s="49"/>
      <c r="AC4" s="49">
        <v>2</v>
      </c>
      <c r="AD4" s="49"/>
      <c r="AE4" s="49" t="s">
        <v>3269</v>
      </c>
      <c r="AF4" s="49"/>
      <c r="AG4" s="50">
        <f t="shared" si="2"/>
        <v>26</v>
      </c>
      <c r="AH4" s="50">
        <v>1</v>
      </c>
      <c r="AI4" s="50">
        <v>6</v>
      </c>
      <c r="AJ4" s="50">
        <v>6</v>
      </c>
      <c r="AK4" s="49">
        <v>11</v>
      </c>
      <c r="AL4" s="49"/>
      <c r="AM4" s="49">
        <v>1</v>
      </c>
      <c r="AN4" s="49">
        <v>1</v>
      </c>
      <c r="AO4" s="50"/>
      <c r="AP4" s="49"/>
      <c r="AQ4" s="49"/>
      <c r="AR4" s="50">
        <f t="shared" si="3"/>
        <v>20</v>
      </c>
      <c r="AS4" s="50">
        <v>1</v>
      </c>
      <c r="AT4" s="50"/>
      <c r="AU4" s="49">
        <v>11</v>
      </c>
      <c r="AV4" s="51">
        <v>6</v>
      </c>
      <c r="AW4" s="50"/>
      <c r="AX4" s="50">
        <v>1</v>
      </c>
      <c r="AY4" s="49">
        <v>1</v>
      </c>
      <c r="AZ4" s="50"/>
      <c r="BA4" s="52">
        <v>4</v>
      </c>
      <c r="BB4" s="50"/>
      <c r="BC4" s="50">
        <f t="shared" si="4"/>
        <v>3</v>
      </c>
      <c r="BD4" s="50">
        <v>3</v>
      </c>
      <c r="BE4" s="49"/>
      <c r="BF4" s="49">
        <v>1</v>
      </c>
      <c r="BG4" s="53"/>
      <c r="BH4" s="53">
        <f t="shared" si="5"/>
        <v>96</v>
      </c>
      <c r="BI4" s="54"/>
      <c r="BJ4" s="54"/>
    </row>
    <row r="5" s="26" customFormat="1" customHeight="1" spans="1:62">
      <c r="A5" s="44">
        <f>'1'!A22+1</f>
        <v>46114</v>
      </c>
      <c r="B5" s="45" t="s">
        <v>3270</v>
      </c>
      <c r="C5" s="45" t="s">
        <v>3265</v>
      </c>
      <c r="D5" s="46" t="s">
        <v>22</v>
      </c>
      <c r="E5" s="47">
        <f>SUMIFS(卸车数据!$J$6:$J$1048576,卸车数据!$R$6:$R$1048576,"&gt;="&amp;A5+TIME(2,0,0),卸车数据!$R$6:$R$1048576,"&lt;"&amp;A5+TIME(3,0,0))</f>
        <v>0</v>
      </c>
      <c r="F5" s="47">
        <v>4248</v>
      </c>
      <c r="G5" s="48">
        <v>14370</v>
      </c>
      <c r="H5" s="49">
        <v>1</v>
      </c>
      <c r="I5" s="49" t="s">
        <v>3271</v>
      </c>
      <c r="J5" s="49"/>
      <c r="K5" s="50">
        <f t="shared" si="0"/>
        <v>17</v>
      </c>
      <c r="L5" s="50">
        <v>1</v>
      </c>
      <c r="M5" s="49">
        <v>5</v>
      </c>
      <c r="N5" s="49">
        <v>2</v>
      </c>
      <c r="O5" s="49">
        <v>2</v>
      </c>
      <c r="P5" s="49">
        <v>4</v>
      </c>
      <c r="Q5" s="49">
        <v>1</v>
      </c>
      <c r="R5" s="49">
        <v>2</v>
      </c>
      <c r="S5" s="49"/>
      <c r="T5" s="50"/>
      <c r="U5" s="49" t="s">
        <v>3272</v>
      </c>
      <c r="V5" s="49"/>
      <c r="W5" s="50">
        <f t="shared" si="1"/>
        <v>25</v>
      </c>
      <c r="X5" s="50">
        <v>1</v>
      </c>
      <c r="Y5" s="49">
        <v>12</v>
      </c>
      <c r="Z5" s="49">
        <v>9</v>
      </c>
      <c r="AA5" s="49">
        <v>1</v>
      </c>
      <c r="AB5" s="49"/>
      <c r="AC5" s="49">
        <v>2</v>
      </c>
      <c r="AD5" s="49"/>
      <c r="AE5" s="49"/>
      <c r="AF5" s="49"/>
      <c r="AG5" s="50">
        <f t="shared" si="2"/>
        <v>26</v>
      </c>
      <c r="AH5" s="50">
        <v>1</v>
      </c>
      <c r="AI5" s="50">
        <v>6</v>
      </c>
      <c r="AJ5" s="50">
        <v>6</v>
      </c>
      <c r="AK5" s="49">
        <v>11</v>
      </c>
      <c r="AL5" s="49"/>
      <c r="AM5" s="49">
        <v>1</v>
      </c>
      <c r="AN5" s="49">
        <v>1</v>
      </c>
      <c r="AO5" s="50"/>
      <c r="AP5" s="49"/>
      <c r="AQ5" s="49"/>
      <c r="AR5" s="50">
        <f t="shared" si="3"/>
        <v>20</v>
      </c>
      <c r="AS5" s="50">
        <v>1</v>
      </c>
      <c r="AT5" s="50"/>
      <c r="AU5" s="49">
        <v>11</v>
      </c>
      <c r="AV5" s="51">
        <v>6</v>
      </c>
      <c r="AW5" s="50"/>
      <c r="AX5" s="50">
        <v>1</v>
      </c>
      <c r="AY5" s="49">
        <v>1</v>
      </c>
      <c r="AZ5" s="50"/>
      <c r="BA5" s="52">
        <v>4</v>
      </c>
      <c r="BB5" s="50"/>
      <c r="BC5" s="50">
        <f t="shared" si="4"/>
        <v>3</v>
      </c>
      <c r="BD5" s="50">
        <v>3</v>
      </c>
      <c r="BE5" s="49"/>
      <c r="BF5" s="49">
        <v>1</v>
      </c>
      <c r="BG5" s="49"/>
      <c r="BH5" s="53">
        <f t="shared" si="5"/>
        <v>96</v>
      </c>
      <c r="BI5" s="54"/>
      <c r="BJ5" s="54"/>
    </row>
    <row r="6" s="27" customFormat="1" customHeight="1" spans="1:62">
      <c r="A6" s="44">
        <f>'1'!A23+1</f>
        <v>46114</v>
      </c>
      <c r="B6" s="55" t="s">
        <v>3273</v>
      </c>
      <c r="C6" s="55" t="s">
        <v>3265</v>
      </c>
      <c r="D6" s="46" t="s">
        <v>22</v>
      </c>
      <c r="E6" s="47">
        <f>SUMIFS(卸车数据!$J$6:$J$1048576,卸车数据!$R$6:$R$1048576,"&gt;="&amp;A6+TIME(3,0,0),卸车数据!$R$6:$R$1048576,"&lt;"&amp;A6+TIME(4,0,0))</f>
        <v>4568</v>
      </c>
      <c r="F6" s="56">
        <v>4104</v>
      </c>
      <c r="G6" s="57">
        <v>4626</v>
      </c>
      <c r="H6" s="51">
        <v>1</v>
      </c>
      <c r="I6" s="51" t="s">
        <v>3274</v>
      </c>
      <c r="J6" s="51"/>
      <c r="K6" s="58">
        <f t="shared" si="0"/>
        <v>17</v>
      </c>
      <c r="L6" s="58">
        <v>1</v>
      </c>
      <c r="M6" s="51">
        <v>5</v>
      </c>
      <c r="N6" s="51">
        <v>2</v>
      </c>
      <c r="O6" s="51">
        <v>2</v>
      </c>
      <c r="P6" s="51">
        <v>4</v>
      </c>
      <c r="Q6" s="51">
        <v>1</v>
      </c>
      <c r="R6" s="51">
        <v>2</v>
      </c>
      <c r="S6" s="51"/>
      <c r="T6" s="58"/>
      <c r="U6" s="51" t="s">
        <v>3275</v>
      </c>
      <c r="V6" s="51" t="s">
        <v>3276</v>
      </c>
      <c r="W6" s="58">
        <f t="shared" si="1"/>
        <v>18</v>
      </c>
      <c r="X6" s="58">
        <v>1</v>
      </c>
      <c r="Y6" s="51">
        <v>5</v>
      </c>
      <c r="Z6" s="51">
        <v>9</v>
      </c>
      <c r="AA6" s="51">
        <v>1</v>
      </c>
      <c r="AB6" s="49"/>
      <c r="AC6" s="51">
        <v>2</v>
      </c>
      <c r="AD6" s="51"/>
      <c r="AE6" s="51"/>
      <c r="AF6" s="51"/>
      <c r="AG6" s="58">
        <f t="shared" si="2"/>
        <v>30</v>
      </c>
      <c r="AH6" s="58">
        <v>1</v>
      </c>
      <c r="AI6" s="58">
        <v>6</v>
      </c>
      <c r="AJ6" s="58">
        <v>6</v>
      </c>
      <c r="AK6" s="51">
        <v>11</v>
      </c>
      <c r="AL6" s="51"/>
      <c r="AM6" s="51">
        <v>1</v>
      </c>
      <c r="AN6" s="51">
        <v>1</v>
      </c>
      <c r="AO6" s="59">
        <v>4</v>
      </c>
      <c r="AP6" s="51" t="s">
        <v>3277</v>
      </c>
      <c r="AQ6" s="51" t="s">
        <v>3278</v>
      </c>
      <c r="AR6" s="58">
        <f t="shared" si="3"/>
        <v>23</v>
      </c>
      <c r="AS6" s="58">
        <v>1</v>
      </c>
      <c r="AT6" s="58"/>
      <c r="AU6" s="51">
        <v>11</v>
      </c>
      <c r="AV6" s="51">
        <v>6</v>
      </c>
      <c r="AW6" s="58"/>
      <c r="AX6" s="58">
        <v>1</v>
      </c>
      <c r="AY6" s="51">
        <v>1</v>
      </c>
      <c r="AZ6" s="59">
        <v>3</v>
      </c>
      <c r="BA6" s="52">
        <v>4</v>
      </c>
      <c r="BB6" s="58"/>
      <c r="BC6" s="50">
        <f t="shared" si="4"/>
        <v>3</v>
      </c>
      <c r="BD6" s="58">
        <v>3</v>
      </c>
      <c r="BE6" s="51"/>
      <c r="BF6" s="49">
        <v>1</v>
      </c>
      <c r="BG6" s="51"/>
      <c r="BH6" s="53">
        <f t="shared" si="5"/>
        <v>96</v>
      </c>
      <c r="BI6" s="60" t="s">
        <v>3279</v>
      </c>
      <c r="BJ6" s="61"/>
    </row>
    <row r="7" s="26" customFormat="1" customHeight="1" spans="1:62">
      <c r="A7" s="44">
        <f>'1'!A24+1</f>
        <v>46114</v>
      </c>
      <c r="B7" s="45" t="s">
        <v>3280</v>
      </c>
      <c r="C7" s="45" t="s">
        <v>3265</v>
      </c>
      <c r="D7" s="46" t="s">
        <v>22</v>
      </c>
      <c r="E7" s="47">
        <f>SUMIFS(卸车数据!$J$6:$J$1048576,卸车数据!$R$6:$R$1048576,"&gt;="&amp;A7+TIME(4,0,0),卸车数据!$R$6:$R$1048576,"&lt;"&amp;A7+TIME(5,0,0))</f>
        <v>0</v>
      </c>
      <c r="F7" s="47">
        <v>4682</v>
      </c>
      <c r="G7" s="48">
        <v>8586</v>
      </c>
      <c r="H7" s="49">
        <v>1</v>
      </c>
      <c r="I7" s="49" t="s">
        <v>3281</v>
      </c>
      <c r="J7" s="49"/>
      <c r="K7" s="50">
        <f t="shared" si="0"/>
        <v>17</v>
      </c>
      <c r="L7" s="50">
        <v>1</v>
      </c>
      <c r="M7" s="49">
        <v>5</v>
      </c>
      <c r="N7" s="49">
        <v>2</v>
      </c>
      <c r="O7" s="49">
        <v>2</v>
      </c>
      <c r="P7" s="49">
        <v>4</v>
      </c>
      <c r="Q7" s="49">
        <v>1</v>
      </c>
      <c r="R7" s="49">
        <v>2</v>
      </c>
      <c r="S7" s="49"/>
      <c r="T7" s="50"/>
      <c r="U7" s="49"/>
      <c r="V7" s="49"/>
      <c r="W7" s="50">
        <f t="shared" si="1"/>
        <v>25</v>
      </c>
      <c r="X7" s="50">
        <v>1</v>
      </c>
      <c r="Y7" s="49">
        <v>12</v>
      </c>
      <c r="Z7" s="49">
        <v>9</v>
      </c>
      <c r="AA7" s="49">
        <v>1</v>
      </c>
      <c r="AB7" s="49"/>
      <c r="AC7" s="49">
        <v>2</v>
      </c>
      <c r="AD7" s="49"/>
      <c r="AE7" s="49" t="s">
        <v>3282</v>
      </c>
      <c r="AF7" s="49"/>
      <c r="AG7" s="50">
        <f t="shared" si="2"/>
        <v>26</v>
      </c>
      <c r="AH7" s="50">
        <v>1</v>
      </c>
      <c r="AI7" s="50">
        <v>6</v>
      </c>
      <c r="AJ7" s="50">
        <v>6</v>
      </c>
      <c r="AK7" s="49">
        <v>11</v>
      </c>
      <c r="AL7" s="49"/>
      <c r="AM7" s="49">
        <v>1</v>
      </c>
      <c r="AN7" s="49">
        <v>1</v>
      </c>
      <c r="AO7" s="50"/>
      <c r="AP7" s="49"/>
      <c r="AQ7" s="49"/>
      <c r="AR7" s="50">
        <f t="shared" si="3"/>
        <v>20</v>
      </c>
      <c r="AS7" s="50">
        <v>1</v>
      </c>
      <c r="AT7" s="50"/>
      <c r="AU7" s="49">
        <v>11</v>
      </c>
      <c r="AV7" s="51">
        <v>6</v>
      </c>
      <c r="AW7" s="50"/>
      <c r="AX7" s="50">
        <v>1</v>
      </c>
      <c r="AY7" s="49">
        <v>1</v>
      </c>
      <c r="AZ7" s="50"/>
      <c r="BA7" s="52">
        <v>4</v>
      </c>
      <c r="BB7" s="50"/>
      <c r="BC7" s="50">
        <f t="shared" si="4"/>
        <v>3</v>
      </c>
      <c r="BD7" s="50">
        <v>3</v>
      </c>
      <c r="BE7" s="49"/>
      <c r="BF7" s="49">
        <v>1</v>
      </c>
      <c r="BG7" s="49"/>
      <c r="BH7" s="53">
        <f t="shared" si="5"/>
        <v>96</v>
      </c>
      <c r="BI7" s="54"/>
      <c r="BJ7" s="54"/>
    </row>
    <row r="8" s="26" customFormat="1" customHeight="1" spans="1:62">
      <c r="A8" s="44">
        <f>'1'!A25+1</f>
        <v>46114</v>
      </c>
      <c r="B8" s="45" t="s">
        <v>3283</v>
      </c>
      <c r="C8" s="45" t="s">
        <v>3265</v>
      </c>
      <c r="D8" s="46" t="s">
        <v>22</v>
      </c>
      <c r="E8" s="47">
        <f>SUMIFS(卸车数据!$J$6:$J$1048576,卸车数据!$R$6:$R$1048576,"&gt;="&amp;A8+TIME(5,0,0),卸车数据!$R$6:$R$1048576,"&lt;"&amp;A8+TIME(6,0,0))</f>
        <v>228</v>
      </c>
      <c r="F8" s="47">
        <v>2297</v>
      </c>
      <c r="G8" s="48">
        <v>11020</v>
      </c>
      <c r="H8" s="49">
        <v>1</v>
      </c>
      <c r="I8" s="49" t="s">
        <v>3284</v>
      </c>
      <c r="J8" s="49"/>
      <c r="K8" s="50">
        <f t="shared" si="0"/>
        <v>17</v>
      </c>
      <c r="L8" s="50">
        <v>1</v>
      </c>
      <c r="M8" s="49">
        <v>5</v>
      </c>
      <c r="N8" s="49">
        <v>2</v>
      </c>
      <c r="O8" s="49">
        <v>2</v>
      </c>
      <c r="P8" s="49">
        <v>4</v>
      </c>
      <c r="Q8" s="49">
        <v>1</v>
      </c>
      <c r="R8" s="49">
        <v>2</v>
      </c>
      <c r="S8" s="50"/>
      <c r="T8" s="50"/>
      <c r="U8" s="49"/>
      <c r="V8" s="49"/>
      <c r="W8" s="50">
        <f t="shared" si="1"/>
        <v>25</v>
      </c>
      <c r="X8" s="50">
        <v>1</v>
      </c>
      <c r="Y8" s="49">
        <v>12</v>
      </c>
      <c r="Z8" s="49">
        <v>9</v>
      </c>
      <c r="AA8" s="49">
        <v>1</v>
      </c>
      <c r="AB8" s="49"/>
      <c r="AC8" s="49">
        <v>2</v>
      </c>
      <c r="AD8" s="50"/>
      <c r="AE8" s="49" t="s">
        <v>3285</v>
      </c>
      <c r="AF8" s="49"/>
      <c r="AG8" s="50">
        <f t="shared" si="2"/>
        <v>26</v>
      </c>
      <c r="AH8" s="50">
        <v>1</v>
      </c>
      <c r="AI8" s="50">
        <v>6</v>
      </c>
      <c r="AJ8" s="50">
        <v>6</v>
      </c>
      <c r="AK8" s="49">
        <v>11</v>
      </c>
      <c r="AL8" s="49"/>
      <c r="AM8" s="49">
        <v>1</v>
      </c>
      <c r="AN8" s="49">
        <v>1</v>
      </c>
      <c r="AO8" s="50"/>
      <c r="AP8" s="49"/>
      <c r="AQ8" s="49"/>
      <c r="AR8" s="50">
        <f t="shared" si="3"/>
        <v>20</v>
      </c>
      <c r="AS8" s="50">
        <v>1</v>
      </c>
      <c r="AT8" s="50"/>
      <c r="AU8" s="49">
        <v>11</v>
      </c>
      <c r="AV8" s="51">
        <v>6</v>
      </c>
      <c r="AW8" s="50"/>
      <c r="AX8" s="50">
        <v>1</v>
      </c>
      <c r="AY8" s="49">
        <v>1</v>
      </c>
      <c r="AZ8" s="50"/>
      <c r="BA8" s="52">
        <v>4</v>
      </c>
      <c r="BB8" s="50"/>
      <c r="BC8" s="50">
        <f t="shared" si="4"/>
        <v>3</v>
      </c>
      <c r="BD8" s="50">
        <v>3</v>
      </c>
      <c r="BE8" s="49"/>
      <c r="BF8" s="49">
        <v>1</v>
      </c>
      <c r="BG8" s="49"/>
      <c r="BH8" s="53">
        <f t="shared" si="5"/>
        <v>96</v>
      </c>
      <c r="BI8" s="54"/>
      <c r="BJ8" s="54"/>
    </row>
    <row r="9" s="26" customFormat="1" customHeight="1" spans="1:62">
      <c r="A9" s="44">
        <f>'1'!A26+1</f>
        <v>46114</v>
      </c>
      <c r="B9" s="45" t="s">
        <v>3286</v>
      </c>
      <c r="C9" s="45" t="s">
        <v>3265</v>
      </c>
      <c r="D9" s="46" t="s">
        <v>22</v>
      </c>
      <c r="E9" s="47">
        <f>SUMIFS(卸车数据!$J$6:$J$1048576,卸车数据!$R$6:$R$1048576,"&gt;="&amp;A9+TIME(6,0,0),卸车数据!$R$6:$R$1048576,"&lt;"&amp;A9+TIME(7,0,0))</f>
        <v>3600</v>
      </c>
      <c r="F9" s="47">
        <v>964</v>
      </c>
      <c r="G9" s="48">
        <v>221</v>
      </c>
      <c r="H9" s="49">
        <v>1</v>
      </c>
      <c r="I9" s="49" t="s">
        <v>3287</v>
      </c>
      <c r="J9" s="49"/>
      <c r="K9" s="50">
        <f t="shared" si="0"/>
        <v>17</v>
      </c>
      <c r="L9" s="50">
        <v>1</v>
      </c>
      <c r="M9" s="49">
        <v>5</v>
      </c>
      <c r="N9" s="49">
        <v>2</v>
      </c>
      <c r="O9" s="49">
        <v>2</v>
      </c>
      <c r="P9" s="49">
        <v>4</v>
      </c>
      <c r="Q9" s="49">
        <v>1</v>
      </c>
      <c r="R9" s="49">
        <v>2</v>
      </c>
      <c r="S9" s="50"/>
      <c r="T9" s="50"/>
      <c r="U9" s="49"/>
      <c r="V9" s="49"/>
      <c r="W9" s="50">
        <f t="shared" si="1"/>
        <v>25</v>
      </c>
      <c r="X9" s="50">
        <v>1</v>
      </c>
      <c r="Y9" s="49">
        <v>12</v>
      </c>
      <c r="Z9" s="49">
        <v>9</v>
      </c>
      <c r="AA9" s="49">
        <v>1</v>
      </c>
      <c r="AB9" s="49"/>
      <c r="AC9" s="49">
        <v>2</v>
      </c>
      <c r="AD9" s="50"/>
      <c r="AE9" s="49"/>
      <c r="AF9" s="49"/>
      <c r="AG9" s="50">
        <f t="shared" si="2"/>
        <v>26</v>
      </c>
      <c r="AH9" s="50">
        <v>1</v>
      </c>
      <c r="AI9" s="50">
        <v>6</v>
      </c>
      <c r="AJ9" s="50">
        <v>6</v>
      </c>
      <c r="AK9" s="49">
        <v>11</v>
      </c>
      <c r="AL9" s="49"/>
      <c r="AM9" s="49">
        <v>1</v>
      </c>
      <c r="AN9" s="49">
        <v>1</v>
      </c>
      <c r="AO9" s="50"/>
      <c r="AP9" s="49"/>
      <c r="AQ9" s="49"/>
      <c r="AR9" s="50">
        <f t="shared" si="3"/>
        <v>20</v>
      </c>
      <c r="AS9" s="50">
        <v>1</v>
      </c>
      <c r="AT9" s="50"/>
      <c r="AU9" s="49">
        <v>11</v>
      </c>
      <c r="AV9" s="51">
        <v>6</v>
      </c>
      <c r="AW9" s="50"/>
      <c r="AX9" s="50">
        <v>1</v>
      </c>
      <c r="AY9" s="49">
        <v>1</v>
      </c>
      <c r="AZ9" s="50"/>
      <c r="BA9" s="52">
        <v>4</v>
      </c>
      <c r="BB9" s="50"/>
      <c r="BC9" s="50">
        <f t="shared" si="4"/>
        <v>3</v>
      </c>
      <c r="BD9" s="50">
        <v>3</v>
      </c>
      <c r="BE9" s="49"/>
      <c r="BF9" s="49">
        <v>1</v>
      </c>
      <c r="BG9" s="49"/>
      <c r="BH9" s="53">
        <f t="shared" si="5"/>
        <v>96</v>
      </c>
      <c r="BI9" s="54"/>
      <c r="BJ9" s="54"/>
    </row>
    <row r="10" s="26" customFormat="1" customHeight="1" spans="1:62">
      <c r="A10" s="44">
        <f>'1'!A3+1</f>
        <v>46114</v>
      </c>
      <c r="B10" s="45" t="s">
        <v>3288</v>
      </c>
      <c r="C10" s="45" t="s">
        <v>3289</v>
      </c>
      <c r="D10" s="46" t="s">
        <v>22</v>
      </c>
      <c r="E10" s="47">
        <f>SUMIFS(卸车数据!$J$6:$J$1048576,卸车数据!$R$6:$R$1048576,"&gt;="&amp;A10+TIME(7,0,0),卸车数据!$R$6:$R$1048576,"&lt;"&amp;A10+TIME(8,0,0))</f>
        <v>1005</v>
      </c>
      <c r="F10" s="62">
        <v>3316</v>
      </c>
      <c r="G10" s="63">
        <v>244</v>
      </c>
      <c r="H10" s="49">
        <v>1</v>
      </c>
      <c r="I10" s="49" t="s">
        <v>3290</v>
      </c>
      <c r="J10" s="49" t="s">
        <v>3291</v>
      </c>
      <c r="K10" s="50">
        <f t="shared" ref="K10:K26" si="6">SUM(L10:T10)</f>
        <v>9</v>
      </c>
      <c r="L10" s="50">
        <v>1</v>
      </c>
      <c r="M10" s="50">
        <v>2</v>
      </c>
      <c r="N10" s="50">
        <v>1</v>
      </c>
      <c r="O10" s="50">
        <v>1</v>
      </c>
      <c r="P10" s="50">
        <v>2</v>
      </c>
      <c r="Q10" s="50"/>
      <c r="R10" s="50">
        <v>1</v>
      </c>
      <c r="S10" s="50">
        <v>1</v>
      </c>
      <c r="T10" s="49"/>
      <c r="U10" s="49" t="s">
        <v>3292</v>
      </c>
      <c r="V10" s="49"/>
      <c r="W10" s="50">
        <f t="shared" ref="W10:W26" si="7">SUM(X10:AD10)</f>
        <v>16</v>
      </c>
      <c r="X10" s="50">
        <v>1</v>
      </c>
      <c r="Y10" s="50">
        <v>8</v>
      </c>
      <c r="Z10" s="50">
        <v>6</v>
      </c>
      <c r="AA10" s="50"/>
      <c r="AB10" s="50"/>
      <c r="AC10" s="50">
        <v>1</v>
      </c>
      <c r="AD10" s="50"/>
      <c r="AE10" s="64" t="s">
        <v>3293</v>
      </c>
      <c r="AF10" s="49" t="s">
        <v>3294</v>
      </c>
      <c r="AG10" s="50">
        <f t="shared" ref="AG10:AG26" si="8">SUM(AH10:AO10)</f>
        <v>17</v>
      </c>
      <c r="AH10" s="50">
        <v>1</v>
      </c>
      <c r="AI10" s="50">
        <v>1</v>
      </c>
      <c r="AJ10" s="50">
        <v>7</v>
      </c>
      <c r="AK10" s="50">
        <v>3</v>
      </c>
      <c r="AL10" s="50"/>
      <c r="AM10" s="50">
        <v>1</v>
      </c>
      <c r="AN10" s="50">
        <v>1</v>
      </c>
      <c r="AO10" s="59">
        <v>3</v>
      </c>
      <c r="AP10" s="49" t="s">
        <v>3295</v>
      </c>
      <c r="AQ10" s="49"/>
      <c r="AR10" s="50">
        <f t="shared" ref="AR10:AR26" si="9">SUM(AS10:AZ10)</f>
        <v>16</v>
      </c>
      <c r="AS10" s="50">
        <v>1</v>
      </c>
      <c r="AT10" s="50">
        <v>1</v>
      </c>
      <c r="AU10" s="50">
        <v>7</v>
      </c>
      <c r="AV10" s="50">
        <v>3</v>
      </c>
      <c r="AW10" s="50">
        <v>1</v>
      </c>
      <c r="AX10" s="50">
        <v>1</v>
      </c>
      <c r="AY10" s="50"/>
      <c r="AZ10" s="59">
        <v>2</v>
      </c>
      <c r="BA10" s="50"/>
      <c r="BB10" s="50"/>
      <c r="BC10" s="50">
        <f t="shared" si="4"/>
        <v>4</v>
      </c>
      <c r="BD10" s="50">
        <v>2</v>
      </c>
      <c r="BE10" s="49">
        <v>2</v>
      </c>
      <c r="BF10" s="49">
        <v>1</v>
      </c>
      <c r="BG10" s="49"/>
      <c r="BH10" s="53">
        <f t="shared" ref="BH10:BH26" si="10">BC10+BA10+AR10+AG10+W10+K10+H10</f>
        <v>63</v>
      </c>
      <c r="BI10" s="61" t="s">
        <v>3296</v>
      </c>
      <c r="BJ10" s="61">
        <v>63</v>
      </c>
    </row>
    <row r="11" s="28" customFormat="1" customHeight="1" spans="1:62">
      <c r="A11" s="44">
        <f>'1'!A4+1</f>
        <v>46114</v>
      </c>
      <c r="B11" s="45" t="s">
        <v>3297</v>
      </c>
      <c r="C11" s="45" t="s">
        <v>3289</v>
      </c>
      <c r="D11" s="46" t="s">
        <v>22</v>
      </c>
      <c r="E11" s="47">
        <f>SUMIFS(卸车数据!$J$6:$J$1048576,卸车数据!$R$6:$R$1048576,"&gt;="&amp;A11+TIME(8,0,0),卸车数据!$R$6:$R$1048576,"&lt;"&amp;A11+TIME(9,0,0))</f>
        <v>2151</v>
      </c>
      <c r="F11" s="62">
        <v>2330</v>
      </c>
      <c r="G11" s="65">
        <v>9785</v>
      </c>
      <c r="H11" s="49">
        <v>1</v>
      </c>
      <c r="I11" s="49" t="s">
        <v>3290</v>
      </c>
      <c r="J11" s="49" t="s">
        <v>3291</v>
      </c>
      <c r="K11" s="50">
        <f t="shared" si="6"/>
        <v>9</v>
      </c>
      <c r="L11" s="50">
        <v>1</v>
      </c>
      <c r="M11" s="50">
        <v>2</v>
      </c>
      <c r="N11" s="50">
        <v>1</v>
      </c>
      <c r="O11" s="50">
        <v>1</v>
      </c>
      <c r="P11" s="50">
        <v>2</v>
      </c>
      <c r="Q11" s="50"/>
      <c r="R11" s="50">
        <v>1</v>
      </c>
      <c r="S11" s="49">
        <v>1</v>
      </c>
      <c r="T11" s="49"/>
      <c r="U11" s="49" t="s">
        <v>3298</v>
      </c>
      <c r="V11" s="49"/>
      <c r="W11" s="50">
        <f t="shared" si="7"/>
        <v>16</v>
      </c>
      <c r="X11" s="50">
        <v>1</v>
      </c>
      <c r="Y11" s="50">
        <v>8</v>
      </c>
      <c r="Z11" s="50">
        <v>6</v>
      </c>
      <c r="AA11" s="50"/>
      <c r="AB11" s="50"/>
      <c r="AC11" s="50">
        <v>1</v>
      </c>
      <c r="AD11" s="50"/>
      <c r="AE11" s="64" t="s">
        <v>3299</v>
      </c>
      <c r="AF11" s="49"/>
      <c r="AG11" s="50">
        <f t="shared" si="8"/>
        <v>17</v>
      </c>
      <c r="AH11" s="50">
        <v>1</v>
      </c>
      <c r="AI11" s="50">
        <v>1</v>
      </c>
      <c r="AJ11" s="50">
        <v>7</v>
      </c>
      <c r="AK11" s="50">
        <v>3</v>
      </c>
      <c r="AL11" s="50"/>
      <c r="AM11" s="50">
        <v>1</v>
      </c>
      <c r="AN11" s="50">
        <v>1</v>
      </c>
      <c r="AO11" s="59">
        <v>3</v>
      </c>
      <c r="AP11" s="49" t="s">
        <v>3300</v>
      </c>
      <c r="AQ11" s="49" t="s">
        <v>3301</v>
      </c>
      <c r="AR11" s="50">
        <f t="shared" si="9"/>
        <v>16</v>
      </c>
      <c r="AS11" s="50">
        <v>1</v>
      </c>
      <c r="AT11" s="50">
        <v>1</v>
      </c>
      <c r="AU11" s="50">
        <v>7</v>
      </c>
      <c r="AV11" s="50">
        <v>3</v>
      </c>
      <c r="AW11" s="50">
        <v>1</v>
      </c>
      <c r="AX11" s="50">
        <v>1</v>
      </c>
      <c r="AY11" s="49"/>
      <c r="AZ11" s="66">
        <v>2</v>
      </c>
      <c r="BA11" s="49"/>
      <c r="BB11" s="49"/>
      <c r="BC11" s="50">
        <f t="shared" si="4"/>
        <v>4</v>
      </c>
      <c r="BD11" s="50">
        <v>2</v>
      </c>
      <c r="BE11" s="49">
        <v>2</v>
      </c>
      <c r="BF11" s="49">
        <v>1</v>
      </c>
      <c r="BG11" s="53"/>
      <c r="BH11" s="53">
        <f t="shared" si="10"/>
        <v>63</v>
      </c>
      <c r="BI11" s="54"/>
      <c r="BJ11" s="54"/>
    </row>
    <row r="12" s="28" customFormat="1" customHeight="1" spans="1:62">
      <c r="A12" s="44">
        <f>'1'!A5+1</f>
        <v>46114</v>
      </c>
      <c r="B12" s="45" t="s">
        <v>3302</v>
      </c>
      <c r="C12" s="45" t="s">
        <v>3289</v>
      </c>
      <c r="D12" s="46" t="s">
        <v>22</v>
      </c>
      <c r="E12" s="47">
        <f>SUMIFS(卸车数据!$J$6:$J$1048576,卸车数据!$R$6:$R$1048576,"&gt;="&amp;A12+TIME(9,0,0),卸车数据!$R$6:$R$1048576,"&lt;"&amp;A12+TIME(10,0,0))</f>
        <v>2187</v>
      </c>
      <c r="F12" s="47">
        <v>1307</v>
      </c>
      <c r="G12" s="65">
        <v>1193</v>
      </c>
      <c r="H12" s="49">
        <v>1</v>
      </c>
      <c r="I12" s="49" t="s">
        <v>3303</v>
      </c>
      <c r="J12" s="49"/>
      <c r="K12" s="50">
        <f t="shared" si="6"/>
        <v>12</v>
      </c>
      <c r="L12" s="50">
        <v>1</v>
      </c>
      <c r="M12" s="50">
        <v>4</v>
      </c>
      <c r="N12" s="50">
        <v>2</v>
      </c>
      <c r="O12" s="50">
        <v>1</v>
      </c>
      <c r="P12" s="50">
        <v>2</v>
      </c>
      <c r="Q12" s="50">
        <v>1</v>
      </c>
      <c r="R12" s="50">
        <v>1</v>
      </c>
      <c r="S12" s="49"/>
      <c r="T12" s="49"/>
      <c r="U12" s="49" t="s">
        <v>3304</v>
      </c>
      <c r="V12" s="49"/>
      <c r="W12" s="50">
        <f t="shared" si="7"/>
        <v>18</v>
      </c>
      <c r="X12" s="50">
        <v>1</v>
      </c>
      <c r="Y12" s="50">
        <v>10</v>
      </c>
      <c r="Z12" s="50">
        <v>6</v>
      </c>
      <c r="AA12" s="50"/>
      <c r="AB12" s="50"/>
      <c r="AC12" s="50">
        <v>1</v>
      </c>
      <c r="AD12" s="50"/>
      <c r="AE12" s="64" t="s">
        <v>3305</v>
      </c>
      <c r="AF12" s="49"/>
      <c r="AG12" s="50">
        <f t="shared" si="8"/>
        <v>14</v>
      </c>
      <c r="AH12" s="50">
        <v>1</v>
      </c>
      <c r="AI12" s="50">
        <v>1</v>
      </c>
      <c r="AJ12" s="50">
        <v>7</v>
      </c>
      <c r="AK12" s="50">
        <v>3</v>
      </c>
      <c r="AL12" s="50"/>
      <c r="AM12" s="50">
        <v>1</v>
      </c>
      <c r="AN12" s="50">
        <v>1</v>
      </c>
      <c r="AO12" s="50"/>
      <c r="AP12" s="49" t="s">
        <v>3300</v>
      </c>
      <c r="AQ12" s="49" t="s">
        <v>3301</v>
      </c>
      <c r="AR12" s="50">
        <f t="shared" si="9"/>
        <v>14</v>
      </c>
      <c r="AS12" s="50">
        <v>1</v>
      </c>
      <c r="AT12" s="50">
        <v>1</v>
      </c>
      <c r="AU12" s="50">
        <v>7</v>
      </c>
      <c r="AV12" s="50">
        <v>3</v>
      </c>
      <c r="AW12" s="50">
        <v>1</v>
      </c>
      <c r="AX12" s="50">
        <v>1</v>
      </c>
      <c r="AY12" s="49"/>
      <c r="AZ12" s="49"/>
      <c r="BA12" s="49"/>
      <c r="BB12" s="49"/>
      <c r="BC12" s="50">
        <f t="shared" si="4"/>
        <v>4</v>
      </c>
      <c r="BD12" s="50">
        <v>2</v>
      </c>
      <c r="BE12" s="49">
        <v>2</v>
      </c>
      <c r="BF12" s="49">
        <v>1</v>
      </c>
      <c r="BG12" s="53"/>
      <c r="BH12" s="53">
        <f t="shared" si="10"/>
        <v>63</v>
      </c>
      <c r="BI12" s="54"/>
      <c r="BJ12" s="54"/>
    </row>
    <row r="13" s="28" customFormat="1" customHeight="1" spans="1:62">
      <c r="A13" s="44">
        <f>'1'!A6+1</f>
        <v>46114</v>
      </c>
      <c r="B13" s="45" t="s">
        <v>3306</v>
      </c>
      <c r="C13" s="45" t="s">
        <v>3289</v>
      </c>
      <c r="D13" s="46" t="s">
        <v>22</v>
      </c>
      <c r="E13" s="47">
        <f>SUMIFS(卸车数据!$J$6:$J$1048576,卸车数据!$R$6:$R$1048576,"&gt;="&amp;A13+TIME(10,0,0),卸车数据!$R$6:$R$1048576,"&lt;"&amp;A13+TIME(11,0,0))</f>
        <v>1905</v>
      </c>
      <c r="F13" s="47">
        <v>2124</v>
      </c>
      <c r="G13" s="65">
        <v>9398</v>
      </c>
      <c r="H13" s="49">
        <v>1</v>
      </c>
      <c r="I13" s="64" t="s">
        <v>3307</v>
      </c>
      <c r="J13" s="49"/>
      <c r="K13" s="50">
        <f t="shared" si="6"/>
        <v>12</v>
      </c>
      <c r="L13" s="50">
        <v>1</v>
      </c>
      <c r="M13" s="50">
        <v>4</v>
      </c>
      <c r="N13" s="50">
        <v>2</v>
      </c>
      <c r="O13" s="50">
        <v>1</v>
      </c>
      <c r="P13" s="50">
        <v>2</v>
      </c>
      <c r="Q13" s="50">
        <v>1</v>
      </c>
      <c r="R13" s="50">
        <v>1</v>
      </c>
      <c r="S13" s="49"/>
      <c r="T13" s="49"/>
      <c r="U13" s="49" t="s">
        <v>3308</v>
      </c>
      <c r="V13" s="49"/>
      <c r="W13" s="50">
        <f t="shared" si="7"/>
        <v>18</v>
      </c>
      <c r="X13" s="50">
        <v>1</v>
      </c>
      <c r="Y13" s="50">
        <v>10</v>
      </c>
      <c r="Z13" s="50">
        <v>6</v>
      </c>
      <c r="AA13" s="50"/>
      <c r="AB13" s="50"/>
      <c r="AC13" s="50">
        <v>1</v>
      </c>
      <c r="AD13" s="50"/>
      <c r="AE13" s="64" t="s">
        <v>3309</v>
      </c>
      <c r="AF13" s="49"/>
      <c r="AG13" s="50">
        <f t="shared" si="8"/>
        <v>14</v>
      </c>
      <c r="AH13" s="50">
        <v>1</v>
      </c>
      <c r="AI13" s="50">
        <v>1</v>
      </c>
      <c r="AJ13" s="50">
        <v>7</v>
      </c>
      <c r="AK13" s="50">
        <v>3</v>
      </c>
      <c r="AL13" s="50"/>
      <c r="AM13" s="50">
        <v>1</v>
      </c>
      <c r="AN13" s="50">
        <v>1</v>
      </c>
      <c r="AO13" s="50"/>
      <c r="AP13" s="49" t="s">
        <v>3300</v>
      </c>
      <c r="AQ13" s="49" t="s">
        <v>3301</v>
      </c>
      <c r="AR13" s="50">
        <f t="shared" si="9"/>
        <v>14</v>
      </c>
      <c r="AS13" s="50">
        <v>1</v>
      </c>
      <c r="AT13" s="50">
        <v>1</v>
      </c>
      <c r="AU13" s="50">
        <v>7</v>
      </c>
      <c r="AV13" s="50">
        <v>3</v>
      </c>
      <c r="AW13" s="50">
        <v>1</v>
      </c>
      <c r="AX13" s="50">
        <v>1</v>
      </c>
      <c r="AY13" s="49"/>
      <c r="AZ13" s="49"/>
      <c r="BA13" s="49"/>
      <c r="BB13" s="49"/>
      <c r="BC13" s="50">
        <f t="shared" si="4"/>
        <v>4</v>
      </c>
      <c r="BD13" s="50">
        <v>2</v>
      </c>
      <c r="BE13" s="49">
        <v>2</v>
      </c>
      <c r="BF13" s="49">
        <v>1</v>
      </c>
      <c r="BG13" s="53"/>
      <c r="BH13" s="53">
        <f t="shared" si="10"/>
        <v>63</v>
      </c>
      <c r="BI13" s="54"/>
      <c r="BJ13" s="54"/>
    </row>
    <row r="14" s="29" customFormat="1" customHeight="1" spans="1:62">
      <c r="A14" s="44">
        <f>'1'!A7+1</f>
        <v>46114</v>
      </c>
      <c r="B14" s="55" t="s">
        <v>3310</v>
      </c>
      <c r="C14" s="55" t="s">
        <v>3289</v>
      </c>
      <c r="D14" s="55" t="s">
        <v>3311</v>
      </c>
      <c r="E14" s="47">
        <f>SUMIFS(卸车数据!$J$6:$J$1048576,卸车数据!$R$6:$R$1048576,"&gt;="&amp;A14+TIME(11,0,0),卸车数据!$R$6:$R$1048576,"&lt;"&amp;A14+TIME(12,0,0))</f>
        <v>8737</v>
      </c>
      <c r="F14" s="47">
        <v>3981</v>
      </c>
      <c r="G14" s="67">
        <v>65</v>
      </c>
      <c r="H14" s="51">
        <v>1</v>
      </c>
      <c r="I14" s="68" t="s">
        <v>3312</v>
      </c>
      <c r="J14" s="51"/>
      <c r="K14" s="58">
        <f t="shared" si="6"/>
        <v>15</v>
      </c>
      <c r="L14" s="58">
        <v>1</v>
      </c>
      <c r="M14" s="51">
        <v>5</v>
      </c>
      <c r="N14" s="51">
        <v>5</v>
      </c>
      <c r="O14" s="51"/>
      <c r="P14" s="51">
        <v>4</v>
      </c>
      <c r="Q14" s="51"/>
      <c r="R14" s="51"/>
      <c r="S14" s="51"/>
      <c r="T14" s="51"/>
      <c r="U14" s="51" t="s">
        <v>3313</v>
      </c>
      <c r="V14" s="51"/>
      <c r="W14" s="58">
        <f t="shared" si="7"/>
        <v>20</v>
      </c>
      <c r="X14" s="58">
        <v>1</v>
      </c>
      <c r="Y14" s="58">
        <v>10</v>
      </c>
      <c r="Z14" s="58">
        <v>7</v>
      </c>
      <c r="AA14" s="58"/>
      <c r="AB14" s="58"/>
      <c r="AC14" s="58">
        <v>2</v>
      </c>
      <c r="AD14" s="58"/>
      <c r="AE14" s="68" t="s">
        <v>3314</v>
      </c>
      <c r="AF14" s="51"/>
      <c r="AG14" s="58">
        <f t="shared" si="8"/>
        <v>17</v>
      </c>
      <c r="AH14" s="58">
        <v>1</v>
      </c>
      <c r="AI14" s="58">
        <v>1</v>
      </c>
      <c r="AJ14" s="58">
        <v>5</v>
      </c>
      <c r="AK14" s="58">
        <v>8</v>
      </c>
      <c r="AL14" s="58"/>
      <c r="AM14" s="58">
        <v>1</v>
      </c>
      <c r="AN14" s="58">
        <v>1</v>
      </c>
      <c r="AO14" s="58"/>
      <c r="AP14" s="51" t="s">
        <v>3315</v>
      </c>
      <c r="AQ14" s="51" t="s">
        <v>3316</v>
      </c>
      <c r="AR14" s="58">
        <f t="shared" si="9"/>
        <v>14</v>
      </c>
      <c r="AS14" s="58">
        <v>1</v>
      </c>
      <c r="AT14" s="58">
        <v>1</v>
      </c>
      <c r="AU14" s="58">
        <v>7</v>
      </c>
      <c r="AV14" s="58">
        <v>3</v>
      </c>
      <c r="AW14" s="58">
        <v>1</v>
      </c>
      <c r="AX14" s="58">
        <v>1</v>
      </c>
      <c r="AY14" s="51"/>
      <c r="AZ14" s="51"/>
      <c r="BA14" s="51"/>
      <c r="BB14" s="51"/>
      <c r="BC14" s="50">
        <f t="shared" si="4"/>
        <v>4</v>
      </c>
      <c r="BD14" s="58">
        <v>2</v>
      </c>
      <c r="BE14" s="49">
        <v>2</v>
      </c>
      <c r="BF14" s="49">
        <v>1</v>
      </c>
      <c r="BG14" s="69"/>
      <c r="BH14" s="53">
        <f t="shared" si="10"/>
        <v>71</v>
      </c>
      <c r="BI14" s="61" t="s">
        <v>3317</v>
      </c>
      <c r="BJ14" s="61">
        <v>8</v>
      </c>
    </row>
    <row r="15" s="28" customFormat="1" customHeight="1" spans="1:62">
      <c r="A15" s="44">
        <f>'1'!A8+1</f>
        <v>46114</v>
      </c>
      <c r="B15" s="45" t="s">
        <v>3318</v>
      </c>
      <c r="C15" s="45" t="s">
        <v>3289</v>
      </c>
      <c r="D15" s="70" t="s">
        <v>3319</v>
      </c>
      <c r="E15" s="47">
        <f>SUMIFS(卸车数据!$J$6:$J$1048576,卸车数据!$R$6:$R$1048576,"&gt;="&amp;A15+TIME(12,0,0),卸车数据!$R$6:$R$1048576,"&lt;"&amp;A15+TIME(13,0,0))</f>
        <v>8748</v>
      </c>
      <c r="F15" s="49">
        <v>6097</v>
      </c>
      <c r="G15" s="65">
        <v>21</v>
      </c>
      <c r="H15" s="49">
        <v>1</v>
      </c>
      <c r="I15" s="49" t="s">
        <v>3320</v>
      </c>
      <c r="J15" s="49" t="s">
        <v>3321</v>
      </c>
      <c r="K15" s="50">
        <f t="shared" si="6"/>
        <v>19</v>
      </c>
      <c r="L15" s="50">
        <v>1</v>
      </c>
      <c r="M15" s="49">
        <v>5</v>
      </c>
      <c r="N15" s="49">
        <v>5</v>
      </c>
      <c r="O15" s="49"/>
      <c r="P15" s="49">
        <v>3</v>
      </c>
      <c r="Q15" s="49"/>
      <c r="R15" s="49"/>
      <c r="S15" s="49"/>
      <c r="T15" s="66">
        <v>5</v>
      </c>
      <c r="U15" s="49" t="s">
        <v>3322</v>
      </c>
      <c r="V15" s="49" t="s">
        <v>3323</v>
      </c>
      <c r="W15" s="50">
        <f t="shared" si="7"/>
        <v>4</v>
      </c>
      <c r="X15" s="50">
        <v>1</v>
      </c>
      <c r="Y15" s="49"/>
      <c r="Z15" s="49"/>
      <c r="AA15" s="49">
        <v>1</v>
      </c>
      <c r="AB15" s="49"/>
      <c r="AC15" s="58">
        <v>2</v>
      </c>
      <c r="AD15" s="49"/>
      <c r="AE15" s="64" t="s">
        <v>3324</v>
      </c>
      <c r="AF15" s="49"/>
      <c r="AG15" s="50">
        <f t="shared" si="8"/>
        <v>26</v>
      </c>
      <c r="AH15" s="50">
        <v>1</v>
      </c>
      <c r="AI15" s="50">
        <v>3</v>
      </c>
      <c r="AJ15" s="49">
        <v>5</v>
      </c>
      <c r="AK15" s="50">
        <v>7</v>
      </c>
      <c r="AL15" s="49"/>
      <c r="AM15" s="49"/>
      <c r="AN15" s="49"/>
      <c r="AO15" s="66">
        <v>10</v>
      </c>
      <c r="AP15" s="49" t="s">
        <v>3325</v>
      </c>
      <c r="AQ15" s="49" t="s">
        <v>3326</v>
      </c>
      <c r="AR15" s="50">
        <f t="shared" si="9"/>
        <v>17</v>
      </c>
      <c r="AS15" s="50">
        <v>1</v>
      </c>
      <c r="AT15" s="50">
        <v>1</v>
      </c>
      <c r="AU15" s="50">
        <v>7</v>
      </c>
      <c r="AV15" s="50">
        <v>3</v>
      </c>
      <c r="AW15" s="50">
        <v>1</v>
      </c>
      <c r="AX15" s="50"/>
      <c r="AY15" s="49"/>
      <c r="AZ15" s="66">
        <v>4</v>
      </c>
      <c r="BA15" s="49"/>
      <c r="BB15" s="49"/>
      <c r="BC15" s="50">
        <f t="shared" si="4"/>
        <v>4</v>
      </c>
      <c r="BD15" s="50">
        <v>2</v>
      </c>
      <c r="BE15" s="49">
        <v>2</v>
      </c>
      <c r="BF15" s="49">
        <v>1</v>
      </c>
      <c r="BG15" s="53"/>
      <c r="BH15" s="53">
        <f t="shared" si="10"/>
        <v>71</v>
      </c>
      <c r="BI15" s="54"/>
      <c r="BJ15" s="54"/>
    </row>
    <row r="16" s="28" customFormat="1" customHeight="1" spans="1:62">
      <c r="A16" s="44">
        <f>'1'!A9+1</f>
        <v>46114</v>
      </c>
      <c r="B16" s="45" t="s">
        <v>3327</v>
      </c>
      <c r="C16" s="45" t="s">
        <v>3289</v>
      </c>
      <c r="D16" s="70" t="s">
        <v>3319</v>
      </c>
      <c r="E16" s="47">
        <f>SUMIFS(卸车数据!$J$6:$J$1048576,卸车数据!$R$6:$R$1048576,"&gt;="&amp;A16+TIME(13,0,0),卸车数据!$R$6:$R$1048576,"&lt;"&amp;A16+TIME(14,0,0))</f>
        <v>5814</v>
      </c>
      <c r="F16" s="49">
        <v>1735</v>
      </c>
      <c r="G16" s="65">
        <v>5781</v>
      </c>
      <c r="H16" s="49">
        <v>1</v>
      </c>
      <c r="I16" s="49" t="s">
        <v>3320</v>
      </c>
      <c r="J16" s="49" t="s">
        <v>3328</v>
      </c>
      <c r="K16" s="50">
        <f t="shared" si="6"/>
        <v>12</v>
      </c>
      <c r="L16" s="50">
        <v>1</v>
      </c>
      <c r="M16" s="49">
        <v>3</v>
      </c>
      <c r="N16" s="49">
        <v>5</v>
      </c>
      <c r="O16" s="49"/>
      <c r="P16" s="49">
        <v>3</v>
      </c>
      <c r="Q16" s="49"/>
      <c r="R16" s="49"/>
      <c r="S16" s="49"/>
      <c r="T16" s="49"/>
      <c r="U16" s="49" t="s">
        <v>3329</v>
      </c>
      <c r="V16" s="49"/>
      <c r="W16" s="50">
        <f t="shared" si="7"/>
        <v>23</v>
      </c>
      <c r="X16" s="50">
        <v>1</v>
      </c>
      <c r="Y16" s="49">
        <v>12</v>
      </c>
      <c r="Z16" s="49">
        <v>8</v>
      </c>
      <c r="AA16" s="49"/>
      <c r="AB16" s="49"/>
      <c r="AC16" s="58">
        <v>2</v>
      </c>
      <c r="AD16" s="49"/>
      <c r="AE16" s="49" t="s">
        <v>3330</v>
      </c>
      <c r="AF16" s="49"/>
      <c r="AG16" s="50">
        <f t="shared" si="8"/>
        <v>18</v>
      </c>
      <c r="AH16" s="50">
        <v>1</v>
      </c>
      <c r="AI16" s="50">
        <v>1</v>
      </c>
      <c r="AJ16" s="50">
        <v>5</v>
      </c>
      <c r="AK16" s="50">
        <v>7</v>
      </c>
      <c r="AL16" s="50"/>
      <c r="AM16" s="50">
        <v>1</v>
      </c>
      <c r="AN16" s="50">
        <v>1</v>
      </c>
      <c r="AO16" s="66">
        <v>2</v>
      </c>
      <c r="AP16" s="49" t="s">
        <v>3325</v>
      </c>
      <c r="AQ16" s="49" t="s">
        <v>3326</v>
      </c>
      <c r="AR16" s="50">
        <f t="shared" si="9"/>
        <v>13</v>
      </c>
      <c r="AS16" s="50">
        <v>1</v>
      </c>
      <c r="AT16" s="50">
        <v>1</v>
      </c>
      <c r="AU16" s="50">
        <v>7</v>
      </c>
      <c r="AV16" s="50">
        <v>3</v>
      </c>
      <c r="AW16" s="50">
        <v>1</v>
      </c>
      <c r="AX16" s="50"/>
      <c r="AY16" s="49"/>
      <c r="AZ16" s="49"/>
      <c r="BA16" s="49"/>
      <c r="BB16" s="49"/>
      <c r="BC16" s="50">
        <f t="shared" si="4"/>
        <v>4</v>
      </c>
      <c r="BD16" s="50">
        <v>2</v>
      </c>
      <c r="BE16" s="49">
        <v>2</v>
      </c>
      <c r="BF16" s="49">
        <v>1</v>
      </c>
      <c r="BG16" s="53"/>
      <c r="BH16" s="53">
        <f t="shared" si="10"/>
        <v>71</v>
      </c>
      <c r="BI16" s="54"/>
      <c r="BJ16" s="54"/>
    </row>
    <row r="17" s="28" customFormat="1" customHeight="1" spans="1:62">
      <c r="A17" s="44">
        <f>'1'!A10+1</f>
        <v>46114</v>
      </c>
      <c r="B17" s="45" t="s">
        <v>3331</v>
      </c>
      <c r="C17" s="45" t="s">
        <v>3289</v>
      </c>
      <c r="D17" s="70" t="s">
        <v>3319</v>
      </c>
      <c r="E17" s="47">
        <f>SUMIFS(卸车数据!$J$6:$J$1048576,卸车数据!$R$6:$R$1048576,"&gt;="&amp;A17+TIME(14,0,0),卸车数据!$R$6:$R$1048576,"&lt;"&amp;A17+TIME(15,0,0))</f>
        <v>5555</v>
      </c>
      <c r="F17" s="49">
        <v>1811</v>
      </c>
      <c r="G17" s="65">
        <v>9249</v>
      </c>
      <c r="H17" s="49">
        <v>1</v>
      </c>
      <c r="I17" s="49" t="s">
        <v>3332</v>
      </c>
      <c r="J17" s="49" t="s">
        <v>3333</v>
      </c>
      <c r="K17" s="50">
        <f t="shared" si="6"/>
        <v>12</v>
      </c>
      <c r="L17" s="50">
        <v>1</v>
      </c>
      <c r="M17" s="49">
        <v>3</v>
      </c>
      <c r="N17" s="49">
        <v>5</v>
      </c>
      <c r="O17" s="49"/>
      <c r="P17" s="49">
        <v>3</v>
      </c>
      <c r="Q17" s="49"/>
      <c r="R17" s="49"/>
      <c r="S17" s="49"/>
      <c r="T17" s="49"/>
      <c r="U17" s="49" t="s">
        <v>3329</v>
      </c>
      <c r="V17" s="49"/>
      <c r="W17" s="50">
        <f t="shared" si="7"/>
        <v>23</v>
      </c>
      <c r="X17" s="50">
        <v>1</v>
      </c>
      <c r="Y17" s="49">
        <v>12</v>
      </c>
      <c r="Z17" s="49">
        <v>8</v>
      </c>
      <c r="AA17" s="49"/>
      <c r="AB17" s="49"/>
      <c r="AC17" s="58">
        <v>2</v>
      </c>
      <c r="AD17" s="49"/>
      <c r="AE17" s="49"/>
      <c r="AF17" s="49"/>
      <c r="AG17" s="50">
        <f t="shared" si="8"/>
        <v>18</v>
      </c>
      <c r="AH17" s="50">
        <v>1</v>
      </c>
      <c r="AI17" s="50">
        <v>1</v>
      </c>
      <c r="AJ17" s="50">
        <v>5</v>
      </c>
      <c r="AK17" s="50">
        <v>7</v>
      </c>
      <c r="AL17" s="50"/>
      <c r="AM17" s="50">
        <v>1</v>
      </c>
      <c r="AN17" s="50">
        <v>1</v>
      </c>
      <c r="AO17" s="66">
        <v>2</v>
      </c>
      <c r="AP17" s="49" t="s">
        <v>3325</v>
      </c>
      <c r="AQ17" s="49" t="s">
        <v>3326</v>
      </c>
      <c r="AR17" s="50">
        <f t="shared" si="9"/>
        <v>13</v>
      </c>
      <c r="AS17" s="50">
        <v>1</v>
      </c>
      <c r="AT17" s="50">
        <v>1</v>
      </c>
      <c r="AU17" s="50">
        <v>7</v>
      </c>
      <c r="AV17" s="50">
        <v>3</v>
      </c>
      <c r="AW17" s="50">
        <v>1</v>
      </c>
      <c r="AX17" s="50"/>
      <c r="AY17" s="49"/>
      <c r="AZ17" s="49"/>
      <c r="BA17" s="49"/>
      <c r="BB17" s="49"/>
      <c r="BC17" s="50">
        <f t="shared" si="4"/>
        <v>4</v>
      </c>
      <c r="BD17" s="50">
        <v>2</v>
      </c>
      <c r="BE17" s="49">
        <v>2</v>
      </c>
      <c r="BF17" s="49">
        <v>1</v>
      </c>
      <c r="BG17" s="53"/>
      <c r="BH17" s="53">
        <f t="shared" si="10"/>
        <v>71</v>
      </c>
      <c r="BI17" s="54"/>
      <c r="BJ17" s="54"/>
    </row>
    <row r="18" s="28" customFormat="1" customHeight="1" spans="1:62">
      <c r="A18" s="44">
        <f>'1'!A11+1</f>
        <v>46114</v>
      </c>
      <c r="B18" s="45" t="s">
        <v>3334</v>
      </c>
      <c r="C18" s="45" t="s">
        <v>3289</v>
      </c>
      <c r="D18" s="46" t="s">
        <v>22</v>
      </c>
      <c r="E18" s="47">
        <f>SUMIFS(卸车数据!$J$6:$J$1048576,卸车数据!$R$6:$R$1048576,"&gt;="&amp;A18+TIME(15,0,0),卸车数据!$R$6:$R$1048576,"&lt;"&amp;A18+TIME(16,0,0))</f>
        <v>0</v>
      </c>
      <c r="F18" s="49">
        <v>4367</v>
      </c>
      <c r="G18" s="65">
        <v>10842</v>
      </c>
      <c r="H18" s="49">
        <v>1</v>
      </c>
      <c r="I18" s="49" t="s">
        <v>3335</v>
      </c>
      <c r="J18" s="49" t="s">
        <v>3336</v>
      </c>
      <c r="K18" s="50">
        <f t="shared" si="6"/>
        <v>12</v>
      </c>
      <c r="L18" s="50">
        <v>1</v>
      </c>
      <c r="M18" s="49">
        <v>5</v>
      </c>
      <c r="N18" s="49">
        <v>2</v>
      </c>
      <c r="O18" s="49"/>
      <c r="P18" s="49">
        <v>2</v>
      </c>
      <c r="Q18" s="49"/>
      <c r="R18" s="49">
        <v>2</v>
      </c>
      <c r="S18" s="49"/>
      <c r="T18" s="49"/>
      <c r="U18" s="49" t="s">
        <v>3337</v>
      </c>
      <c r="V18" s="49"/>
      <c r="W18" s="50">
        <f t="shared" si="7"/>
        <v>23</v>
      </c>
      <c r="X18" s="50">
        <v>1</v>
      </c>
      <c r="Y18" s="49">
        <v>12</v>
      </c>
      <c r="Z18" s="49">
        <v>8</v>
      </c>
      <c r="AA18" s="49"/>
      <c r="AB18" s="49"/>
      <c r="AC18" s="58">
        <v>2</v>
      </c>
      <c r="AD18" s="49"/>
      <c r="AE18" s="49" t="s">
        <v>3338</v>
      </c>
      <c r="AF18" s="49"/>
      <c r="AG18" s="50">
        <f t="shared" si="8"/>
        <v>18</v>
      </c>
      <c r="AH18" s="50">
        <v>1</v>
      </c>
      <c r="AI18" s="50">
        <v>1</v>
      </c>
      <c r="AJ18" s="50">
        <v>5</v>
      </c>
      <c r="AK18" s="50">
        <v>7</v>
      </c>
      <c r="AL18" s="50"/>
      <c r="AM18" s="50">
        <v>1</v>
      </c>
      <c r="AN18" s="50">
        <v>1</v>
      </c>
      <c r="AO18" s="66">
        <v>2</v>
      </c>
      <c r="AP18" s="49" t="s">
        <v>3325</v>
      </c>
      <c r="AQ18" s="49" t="s">
        <v>3326</v>
      </c>
      <c r="AR18" s="50">
        <f t="shared" si="9"/>
        <v>13</v>
      </c>
      <c r="AS18" s="50">
        <v>1</v>
      </c>
      <c r="AT18" s="50">
        <v>1</v>
      </c>
      <c r="AU18" s="50">
        <v>7</v>
      </c>
      <c r="AV18" s="50">
        <v>3</v>
      </c>
      <c r="AW18" s="50">
        <v>1</v>
      </c>
      <c r="AX18" s="50"/>
      <c r="AY18" s="49"/>
      <c r="AZ18" s="49"/>
      <c r="BA18" s="49"/>
      <c r="BB18" s="49"/>
      <c r="BC18" s="50">
        <f t="shared" si="4"/>
        <v>4</v>
      </c>
      <c r="BD18" s="50">
        <v>2</v>
      </c>
      <c r="BE18" s="49">
        <v>2</v>
      </c>
      <c r="BF18" s="49">
        <v>1</v>
      </c>
      <c r="BG18" s="53"/>
      <c r="BH18" s="53">
        <f t="shared" si="10"/>
        <v>71</v>
      </c>
      <c r="BI18" s="54"/>
      <c r="BJ18" s="54"/>
    </row>
    <row r="19" s="28" customFormat="1" customHeight="1" spans="1:62">
      <c r="A19" s="44">
        <f>'1'!A12+1</f>
        <v>46114</v>
      </c>
      <c r="B19" s="45" t="s">
        <v>3339</v>
      </c>
      <c r="C19" s="45" t="s">
        <v>3289</v>
      </c>
      <c r="D19" s="46" t="s">
        <v>22</v>
      </c>
      <c r="E19" s="47">
        <f>SUMIFS(卸车数据!$J$6:$J$1048576,卸车数据!$R$6:$R$1048576,"&gt;="&amp;A19+TIME(16,0,0),卸车数据!$R$6:$R$1048576,"&lt;"&amp;A19+TIME(17,0,0))</f>
        <v>5283</v>
      </c>
      <c r="F19" s="49">
        <v>3251</v>
      </c>
      <c r="G19" s="65">
        <v>7308</v>
      </c>
      <c r="H19" s="49">
        <v>1</v>
      </c>
      <c r="I19" s="49" t="s">
        <v>3335</v>
      </c>
      <c r="J19" s="49" t="s">
        <v>3336</v>
      </c>
      <c r="K19" s="50">
        <f t="shared" si="6"/>
        <v>12</v>
      </c>
      <c r="L19" s="50">
        <v>1</v>
      </c>
      <c r="M19" s="49">
        <v>5</v>
      </c>
      <c r="N19" s="49">
        <v>2</v>
      </c>
      <c r="O19" s="49"/>
      <c r="P19" s="49">
        <v>2</v>
      </c>
      <c r="Q19" s="49"/>
      <c r="R19" s="49">
        <v>2</v>
      </c>
      <c r="S19" s="49"/>
      <c r="T19" s="49"/>
      <c r="U19" s="49" t="s">
        <v>3340</v>
      </c>
      <c r="V19" s="49"/>
      <c r="W19" s="50">
        <f t="shared" si="7"/>
        <v>23</v>
      </c>
      <c r="X19" s="50">
        <v>1</v>
      </c>
      <c r="Y19" s="49">
        <v>12</v>
      </c>
      <c r="Z19" s="49">
        <v>8</v>
      </c>
      <c r="AA19" s="49"/>
      <c r="AB19" s="49"/>
      <c r="AC19" s="58">
        <v>2</v>
      </c>
      <c r="AD19" s="49"/>
      <c r="AE19" s="49" t="s">
        <v>3341</v>
      </c>
      <c r="AF19" s="49"/>
      <c r="AG19" s="50">
        <f t="shared" si="8"/>
        <v>18</v>
      </c>
      <c r="AH19" s="50">
        <v>1</v>
      </c>
      <c r="AI19" s="50">
        <v>1</v>
      </c>
      <c r="AJ19" s="50">
        <v>5</v>
      </c>
      <c r="AK19" s="50">
        <v>7</v>
      </c>
      <c r="AL19" s="50"/>
      <c r="AM19" s="50">
        <v>1</v>
      </c>
      <c r="AN19" s="50">
        <v>1</v>
      </c>
      <c r="AO19" s="66">
        <v>2</v>
      </c>
      <c r="AP19" s="49" t="s">
        <v>3342</v>
      </c>
      <c r="AQ19" s="49" t="s">
        <v>3343</v>
      </c>
      <c r="AR19" s="50">
        <f t="shared" si="9"/>
        <v>13</v>
      </c>
      <c r="AS19" s="50">
        <v>1</v>
      </c>
      <c r="AT19" s="50">
        <v>1</v>
      </c>
      <c r="AU19" s="50">
        <v>7</v>
      </c>
      <c r="AV19" s="50">
        <v>3</v>
      </c>
      <c r="AW19" s="50">
        <v>1</v>
      </c>
      <c r="AX19" s="50"/>
      <c r="AY19" s="49"/>
      <c r="AZ19" s="49"/>
      <c r="BA19" s="49"/>
      <c r="BB19" s="49"/>
      <c r="BC19" s="50">
        <f t="shared" si="4"/>
        <v>4</v>
      </c>
      <c r="BD19" s="50">
        <v>2</v>
      </c>
      <c r="BE19" s="49">
        <v>2</v>
      </c>
      <c r="BF19" s="49">
        <v>1</v>
      </c>
      <c r="BG19" s="53"/>
      <c r="BH19" s="53">
        <f t="shared" si="10"/>
        <v>71</v>
      </c>
      <c r="BI19" s="54"/>
      <c r="BJ19" s="54"/>
    </row>
    <row r="20" s="28" customFormat="1" customHeight="1" spans="1:62">
      <c r="A20" s="44">
        <f>'1'!A13+1</f>
        <v>46114</v>
      </c>
      <c r="B20" s="45" t="s">
        <v>3344</v>
      </c>
      <c r="C20" s="45" t="s">
        <v>3289</v>
      </c>
      <c r="D20" s="70" t="s">
        <v>3319</v>
      </c>
      <c r="E20" s="47">
        <f>SUMIFS(卸车数据!$J$6:$J$1048576,卸车数据!$R$6:$R$1048576,"&gt;="&amp;A20+TIME(17,0,0),卸车数据!$R$6:$R$1048576,"&lt;"&amp;A20+TIME(18,0,0))</f>
        <v>173</v>
      </c>
      <c r="F20" s="49">
        <v>605</v>
      </c>
      <c r="G20" s="65">
        <v>0</v>
      </c>
      <c r="H20" s="49">
        <v>1</v>
      </c>
      <c r="I20" s="49" t="s">
        <v>3335</v>
      </c>
      <c r="J20" s="49" t="s">
        <v>3336</v>
      </c>
      <c r="K20" s="50">
        <f t="shared" si="6"/>
        <v>12</v>
      </c>
      <c r="L20" s="50">
        <v>1</v>
      </c>
      <c r="M20" s="49">
        <v>5</v>
      </c>
      <c r="N20" s="49">
        <v>2</v>
      </c>
      <c r="O20" s="49"/>
      <c r="P20" s="49">
        <v>2</v>
      </c>
      <c r="Q20" s="49"/>
      <c r="R20" s="49">
        <v>2</v>
      </c>
      <c r="S20" s="49"/>
      <c r="T20" s="49"/>
      <c r="U20" s="49" t="s">
        <v>3345</v>
      </c>
      <c r="V20" s="49"/>
      <c r="W20" s="50">
        <f t="shared" si="7"/>
        <v>23</v>
      </c>
      <c r="X20" s="50">
        <v>1</v>
      </c>
      <c r="Y20" s="49">
        <v>12</v>
      </c>
      <c r="Z20" s="49">
        <v>8</v>
      </c>
      <c r="AA20" s="49"/>
      <c r="AB20" s="49"/>
      <c r="AC20" s="58">
        <v>2</v>
      </c>
      <c r="AD20" s="49"/>
      <c r="AE20" s="49" t="s">
        <v>3346</v>
      </c>
      <c r="AF20" s="49"/>
      <c r="AG20" s="50">
        <f t="shared" si="8"/>
        <v>18</v>
      </c>
      <c r="AH20" s="50">
        <v>1</v>
      </c>
      <c r="AI20" s="50">
        <v>1</v>
      </c>
      <c r="AJ20" s="50">
        <v>5</v>
      </c>
      <c r="AK20" s="50">
        <v>7</v>
      </c>
      <c r="AL20" s="50"/>
      <c r="AM20" s="50">
        <v>1</v>
      </c>
      <c r="AN20" s="50">
        <v>1</v>
      </c>
      <c r="AO20" s="66">
        <v>2</v>
      </c>
      <c r="AP20" s="49" t="s">
        <v>3342</v>
      </c>
      <c r="AQ20" s="49" t="s">
        <v>3343</v>
      </c>
      <c r="AR20" s="50">
        <f t="shared" si="9"/>
        <v>13</v>
      </c>
      <c r="AS20" s="50">
        <v>1</v>
      </c>
      <c r="AT20" s="50">
        <v>1</v>
      </c>
      <c r="AU20" s="50">
        <v>7</v>
      </c>
      <c r="AV20" s="50">
        <v>3</v>
      </c>
      <c r="AW20" s="50">
        <v>1</v>
      </c>
      <c r="AX20" s="50"/>
      <c r="AY20" s="49"/>
      <c r="AZ20" s="49"/>
      <c r="BA20" s="49"/>
      <c r="BB20" s="49"/>
      <c r="BC20" s="50">
        <f t="shared" si="4"/>
        <v>4</v>
      </c>
      <c r="BD20" s="50">
        <v>2</v>
      </c>
      <c r="BE20" s="49">
        <v>2</v>
      </c>
      <c r="BF20" s="49">
        <v>1</v>
      </c>
      <c r="BG20" s="53"/>
      <c r="BH20" s="53">
        <f t="shared" si="10"/>
        <v>71</v>
      </c>
      <c r="BI20" s="54"/>
      <c r="BJ20" s="54"/>
    </row>
    <row r="21" s="29" customFormat="1" customHeight="1" spans="1:62">
      <c r="A21" s="44">
        <f>'1'!A14+1</f>
        <v>46114</v>
      </c>
      <c r="B21" s="55" t="s">
        <v>3347</v>
      </c>
      <c r="C21" s="55" t="s">
        <v>3265</v>
      </c>
      <c r="D21" s="70" t="s">
        <v>3319</v>
      </c>
      <c r="E21" s="47">
        <f>SUMIFS(卸车数据!$J$6:$J$1048576,卸车数据!$R$6:$R$1048576,"&gt;="&amp;A21+TIME(18,0,0),卸车数据!$R$6:$R$1048576,"&lt;"&amp;A21+TIME(19,0,0))</f>
        <v>16761</v>
      </c>
      <c r="F21" s="71">
        <v>4222</v>
      </c>
      <c r="G21" s="67">
        <v>730</v>
      </c>
      <c r="H21" s="49">
        <v>1</v>
      </c>
      <c r="I21" s="51" t="s">
        <v>3348</v>
      </c>
      <c r="J21" s="51"/>
      <c r="K21" s="58">
        <f t="shared" si="6"/>
        <v>24</v>
      </c>
      <c r="L21" s="58">
        <v>1</v>
      </c>
      <c r="M21" s="51">
        <v>8</v>
      </c>
      <c r="N21" s="51">
        <v>3</v>
      </c>
      <c r="O21" s="51"/>
      <c r="P21" s="51">
        <v>6</v>
      </c>
      <c r="Q21" s="51">
        <v>4</v>
      </c>
      <c r="R21" s="51"/>
      <c r="S21" s="51"/>
      <c r="T21" s="66">
        <v>2</v>
      </c>
      <c r="U21" s="51" t="s">
        <v>3349</v>
      </c>
      <c r="V21" s="51"/>
      <c r="W21" s="58">
        <f t="shared" si="7"/>
        <v>15</v>
      </c>
      <c r="X21" s="58">
        <v>1</v>
      </c>
      <c r="Y21" s="51">
        <v>6</v>
      </c>
      <c r="Z21" s="51">
        <v>5</v>
      </c>
      <c r="AA21" s="51">
        <v>1</v>
      </c>
      <c r="AB21" s="51"/>
      <c r="AC21" s="51">
        <v>2</v>
      </c>
      <c r="AD21" s="51"/>
      <c r="AE21" s="51"/>
      <c r="AF21" s="51"/>
      <c r="AG21" s="58">
        <f t="shared" si="8"/>
        <v>39</v>
      </c>
      <c r="AH21" s="58">
        <v>1</v>
      </c>
      <c r="AI21" s="58">
        <v>6</v>
      </c>
      <c r="AJ21" s="51">
        <v>6</v>
      </c>
      <c r="AK21" s="51">
        <v>11</v>
      </c>
      <c r="AL21" s="51"/>
      <c r="AM21" s="51">
        <v>1</v>
      </c>
      <c r="AN21" s="51">
        <v>1</v>
      </c>
      <c r="AO21" s="66">
        <v>13</v>
      </c>
      <c r="AP21" s="51"/>
      <c r="AQ21" s="51" t="s">
        <v>3350</v>
      </c>
      <c r="AR21" s="58">
        <f t="shared" si="9"/>
        <v>18</v>
      </c>
      <c r="AS21" s="58">
        <v>1</v>
      </c>
      <c r="AT21" s="58"/>
      <c r="AU21" s="51">
        <v>9</v>
      </c>
      <c r="AV21" s="51">
        <v>7</v>
      </c>
      <c r="AW21" s="58"/>
      <c r="AX21" s="58">
        <v>1</v>
      </c>
      <c r="AY21" s="51"/>
      <c r="AZ21" s="51"/>
      <c r="BA21" s="52">
        <v>4</v>
      </c>
      <c r="BB21" s="51"/>
      <c r="BC21" s="50">
        <f t="shared" si="4"/>
        <v>3</v>
      </c>
      <c r="BD21" s="58">
        <v>3</v>
      </c>
      <c r="BE21" s="51"/>
      <c r="BF21" s="49">
        <v>1</v>
      </c>
      <c r="BG21" s="69"/>
      <c r="BH21" s="53">
        <f t="shared" si="10"/>
        <v>104</v>
      </c>
      <c r="BI21" s="61" t="s">
        <v>3265</v>
      </c>
      <c r="BJ21" s="61">
        <v>96</v>
      </c>
    </row>
    <row r="22" s="28" customFormat="1" customHeight="1" spans="1:62">
      <c r="A22" s="44">
        <f>'1'!A15+1</f>
        <v>46114</v>
      </c>
      <c r="B22" s="45" t="s">
        <v>3351</v>
      </c>
      <c r="C22" s="45" t="s">
        <v>3265</v>
      </c>
      <c r="D22" s="70" t="s">
        <v>3319</v>
      </c>
      <c r="E22" s="47">
        <f>SUMIFS(卸车数据!$J$6:$J$1048576,卸车数据!$R$6:$R$1048576,"&gt;="&amp;A22+TIME(19,0,0),卸车数据!$R$6:$R$1048576,"&lt;"&amp;A22+TIME(20,0,0))</f>
        <v>32462</v>
      </c>
      <c r="F22" s="71">
        <v>5872</v>
      </c>
      <c r="G22" s="65">
        <v>12913</v>
      </c>
      <c r="H22" s="49">
        <v>1</v>
      </c>
      <c r="I22" s="49"/>
      <c r="J22" s="49"/>
      <c r="K22" s="50">
        <f t="shared" si="6"/>
        <v>22</v>
      </c>
      <c r="L22" s="50">
        <v>1</v>
      </c>
      <c r="M22" s="49">
        <v>8</v>
      </c>
      <c r="N22" s="49">
        <v>3</v>
      </c>
      <c r="O22" s="49"/>
      <c r="P22" s="49">
        <v>6</v>
      </c>
      <c r="Q22" s="49">
        <v>4</v>
      </c>
      <c r="R22" s="49"/>
      <c r="S22" s="49"/>
      <c r="T22" s="49"/>
      <c r="U22" s="49"/>
      <c r="V22" s="49"/>
      <c r="W22" s="50">
        <f t="shared" si="7"/>
        <v>30</v>
      </c>
      <c r="X22" s="50">
        <v>1</v>
      </c>
      <c r="Y22" s="49">
        <v>14</v>
      </c>
      <c r="Z22" s="49">
        <v>12</v>
      </c>
      <c r="AA22" s="49">
        <v>1</v>
      </c>
      <c r="AB22" s="49"/>
      <c r="AC22" s="49">
        <v>2</v>
      </c>
      <c r="AD22" s="49"/>
      <c r="AE22" s="49"/>
      <c r="AF22" s="49"/>
      <c r="AG22" s="50">
        <f t="shared" si="8"/>
        <v>26</v>
      </c>
      <c r="AH22" s="50">
        <v>1</v>
      </c>
      <c r="AI22" s="58">
        <v>6</v>
      </c>
      <c r="AJ22" s="49">
        <v>6</v>
      </c>
      <c r="AK22" s="49">
        <v>11</v>
      </c>
      <c r="AL22" s="49"/>
      <c r="AM22" s="49">
        <v>1</v>
      </c>
      <c r="AN22" s="49">
        <v>1</v>
      </c>
      <c r="AO22" s="49"/>
      <c r="AP22" s="49"/>
      <c r="AQ22" s="49"/>
      <c r="AR22" s="50">
        <f t="shared" si="9"/>
        <v>18</v>
      </c>
      <c r="AS22" s="50">
        <v>1</v>
      </c>
      <c r="AT22" s="50"/>
      <c r="AU22" s="49">
        <v>9</v>
      </c>
      <c r="AV22" s="49">
        <v>7</v>
      </c>
      <c r="AW22" s="50"/>
      <c r="AX22" s="50">
        <v>1</v>
      </c>
      <c r="AY22" s="49"/>
      <c r="AZ22" s="49"/>
      <c r="BA22" s="52">
        <v>4</v>
      </c>
      <c r="BB22" s="49"/>
      <c r="BC22" s="50">
        <f t="shared" si="4"/>
        <v>3</v>
      </c>
      <c r="BD22" s="58">
        <v>3</v>
      </c>
      <c r="BE22" s="49"/>
      <c r="BF22" s="49">
        <v>1</v>
      </c>
      <c r="BG22" s="53"/>
      <c r="BH22" s="53">
        <f t="shared" si="10"/>
        <v>104</v>
      </c>
      <c r="BI22" s="54"/>
      <c r="BJ22" s="54"/>
    </row>
    <row r="23" s="26" customFormat="1" customHeight="1" spans="1:62">
      <c r="A23" s="44">
        <f>'1'!A16+1</f>
        <v>46114</v>
      </c>
      <c r="B23" s="45" t="s">
        <v>3352</v>
      </c>
      <c r="C23" s="45" t="s">
        <v>3265</v>
      </c>
      <c r="D23" s="70" t="s">
        <v>3319</v>
      </c>
      <c r="E23" s="47">
        <f>SUMIFS(卸车数据!$J$6:$J$1048576,卸车数据!$R$6:$R$1048576,"&gt;="&amp;A23+TIME(20,0,0),卸车数据!$R$6:$R$1048576,"&lt;"&amp;A23+TIME(21,0,0))</f>
        <v>17152</v>
      </c>
      <c r="F23" s="71">
        <v>5882</v>
      </c>
      <c r="G23" s="48">
        <v>13576</v>
      </c>
      <c r="H23" s="49">
        <v>1</v>
      </c>
      <c r="I23" s="64" t="s">
        <v>3353</v>
      </c>
      <c r="J23" s="49"/>
      <c r="K23" s="50">
        <f t="shared" si="6"/>
        <v>22</v>
      </c>
      <c r="L23" s="50">
        <v>1</v>
      </c>
      <c r="M23" s="49">
        <v>8</v>
      </c>
      <c r="N23" s="49">
        <v>3</v>
      </c>
      <c r="O23" s="49"/>
      <c r="P23" s="49">
        <v>6</v>
      </c>
      <c r="Q23" s="49">
        <v>4</v>
      </c>
      <c r="R23" s="49"/>
      <c r="S23" s="49"/>
      <c r="T23" s="49"/>
      <c r="U23" s="49"/>
      <c r="V23" s="49"/>
      <c r="W23" s="50">
        <f t="shared" si="7"/>
        <v>30</v>
      </c>
      <c r="X23" s="50">
        <v>1</v>
      </c>
      <c r="Y23" s="49">
        <v>14</v>
      </c>
      <c r="Z23" s="49">
        <v>12</v>
      </c>
      <c r="AA23" s="49">
        <v>1</v>
      </c>
      <c r="AB23" s="49"/>
      <c r="AC23" s="49">
        <v>2</v>
      </c>
      <c r="AD23" s="49"/>
      <c r="AE23" s="49"/>
      <c r="AF23" s="49"/>
      <c r="AG23" s="50">
        <f t="shared" si="8"/>
        <v>26</v>
      </c>
      <c r="AH23" s="50">
        <v>1</v>
      </c>
      <c r="AI23" s="58">
        <v>6</v>
      </c>
      <c r="AJ23" s="49">
        <v>6</v>
      </c>
      <c r="AK23" s="49">
        <v>11</v>
      </c>
      <c r="AL23" s="49"/>
      <c r="AM23" s="49">
        <v>1</v>
      </c>
      <c r="AN23" s="49">
        <v>1</v>
      </c>
      <c r="AO23" s="49"/>
      <c r="AP23" s="49"/>
      <c r="AQ23" s="49"/>
      <c r="AR23" s="50">
        <f t="shared" si="9"/>
        <v>18</v>
      </c>
      <c r="AS23" s="50">
        <v>1</v>
      </c>
      <c r="AT23" s="50"/>
      <c r="AU23" s="49">
        <v>9</v>
      </c>
      <c r="AV23" s="49">
        <v>7</v>
      </c>
      <c r="AW23" s="50"/>
      <c r="AX23" s="50">
        <v>1</v>
      </c>
      <c r="AY23" s="49"/>
      <c r="AZ23" s="49"/>
      <c r="BA23" s="52">
        <v>4</v>
      </c>
      <c r="BB23" s="49"/>
      <c r="BC23" s="50">
        <f t="shared" si="4"/>
        <v>3</v>
      </c>
      <c r="BD23" s="58">
        <v>3</v>
      </c>
      <c r="BE23" s="49"/>
      <c r="BF23" s="49">
        <v>1</v>
      </c>
      <c r="BG23" s="53"/>
      <c r="BH23" s="53">
        <f t="shared" si="10"/>
        <v>104</v>
      </c>
      <c r="BI23" s="54"/>
      <c r="BJ23" s="54"/>
    </row>
    <row r="24" s="26" customFormat="1" customHeight="1" spans="1:62">
      <c r="A24" s="44">
        <f>'1'!A17+1</f>
        <v>46114</v>
      </c>
      <c r="B24" s="45" t="s">
        <v>3354</v>
      </c>
      <c r="C24" s="45" t="s">
        <v>3265</v>
      </c>
      <c r="D24" s="70" t="s">
        <v>3319</v>
      </c>
      <c r="E24" s="47">
        <f>SUMIFS(卸车数据!$J$6:$J$1048576,卸车数据!$R$6:$R$1048576,"&gt;="&amp;A24+TIME(21,0,0),卸车数据!$R$6:$R$1048576,"&lt;"&amp;A24+TIME(22,0,0))</f>
        <v>5</v>
      </c>
      <c r="F24" s="71">
        <v>5669</v>
      </c>
      <c r="G24" s="48">
        <v>15137</v>
      </c>
      <c r="H24" s="49">
        <v>1</v>
      </c>
      <c r="I24" s="49"/>
      <c r="J24" s="49"/>
      <c r="K24" s="50">
        <f t="shared" si="6"/>
        <v>22</v>
      </c>
      <c r="L24" s="50">
        <v>1</v>
      </c>
      <c r="M24" s="49">
        <v>8</v>
      </c>
      <c r="N24" s="49">
        <v>3</v>
      </c>
      <c r="O24" s="49"/>
      <c r="P24" s="49">
        <v>6</v>
      </c>
      <c r="Q24" s="49">
        <v>4</v>
      </c>
      <c r="R24" s="49"/>
      <c r="S24" s="49"/>
      <c r="T24" s="49"/>
      <c r="U24" s="49"/>
      <c r="V24" s="49"/>
      <c r="W24" s="50">
        <f t="shared" si="7"/>
        <v>30</v>
      </c>
      <c r="X24" s="50">
        <v>1</v>
      </c>
      <c r="Y24" s="49">
        <v>14</v>
      </c>
      <c r="Z24" s="49">
        <v>12</v>
      </c>
      <c r="AA24" s="49">
        <v>1</v>
      </c>
      <c r="AB24" s="49"/>
      <c r="AC24" s="49">
        <v>2</v>
      </c>
      <c r="AD24" s="49"/>
      <c r="AE24" s="49"/>
      <c r="AF24" s="49"/>
      <c r="AG24" s="50">
        <f t="shared" si="8"/>
        <v>26</v>
      </c>
      <c r="AH24" s="50">
        <v>1</v>
      </c>
      <c r="AI24" s="58">
        <v>6</v>
      </c>
      <c r="AJ24" s="49">
        <v>6</v>
      </c>
      <c r="AK24" s="49">
        <v>11</v>
      </c>
      <c r="AL24" s="49"/>
      <c r="AM24" s="49">
        <v>1</v>
      </c>
      <c r="AN24" s="49">
        <v>1</v>
      </c>
      <c r="AO24" s="49"/>
      <c r="AP24" s="49"/>
      <c r="AQ24" s="49"/>
      <c r="AR24" s="50">
        <f t="shared" si="9"/>
        <v>18</v>
      </c>
      <c r="AS24" s="50">
        <v>1</v>
      </c>
      <c r="AT24" s="50"/>
      <c r="AU24" s="49">
        <v>9</v>
      </c>
      <c r="AV24" s="49">
        <v>7</v>
      </c>
      <c r="AW24" s="50"/>
      <c r="AX24" s="50">
        <v>1</v>
      </c>
      <c r="AY24" s="49"/>
      <c r="AZ24" s="49"/>
      <c r="BA24" s="52">
        <v>4</v>
      </c>
      <c r="BB24" s="50"/>
      <c r="BC24" s="50">
        <f t="shared" si="4"/>
        <v>3</v>
      </c>
      <c r="BD24" s="58">
        <v>3</v>
      </c>
      <c r="BE24" s="49"/>
      <c r="BF24" s="49">
        <v>1</v>
      </c>
      <c r="BG24" s="53"/>
      <c r="BH24" s="53">
        <f t="shared" si="10"/>
        <v>104</v>
      </c>
      <c r="BI24" s="54"/>
      <c r="BJ24" s="54"/>
    </row>
    <row r="25" s="26" customFormat="1" customHeight="1" spans="1:62">
      <c r="A25" s="44">
        <f>'1'!A18+1</f>
        <v>46114</v>
      </c>
      <c r="B25" s="45" t="s">
        <v>3355</v>
      </c>
      <c r="C25" s="45" t="s">
        <v>3265</v>
      </c>
      <c r="D25" s="70" t="s">
        <v>3319</v>
      </c>
      <c r="E25" s="47">
        <f>SUMIFS(卸车数据!$J$6:$J$1048576,卸车数据!$R$6:$R$1048576,"&gt;="&amp;A25+TIME(22,0,0),卸车数据!$R$6:$R$1048576,"&lt;"&amp;A25+TIME(23,0,0))</f>
        <v>6512</v>
      </c>
      <c r="F25" s="71">
        <v>3017</v>
      </c>
      <c r="G25" s="48">
        <v>5730</v>
      </c>
      <c r="H25" s="49">
        <v>1</v>
      </c>
      <c r="I25" s="64" t="s">
        <v>3356</v>
      </c>
      <c r="J25" s="49"/>
      <c r="K25" s="50">
        <f t="shared" si="6"/>
        <v>22</v>
      </c>
      <c r="L25" s="50">
        <v>1</v>
      </c>
      <c r="M25" s="49">
        <v>8</v>
      </c>
      <c r="N25" s="49">
        <v>3</v>
      </c>
      <c r="O25" s="49"/>
      <c r="P25" s="49">
        <v>6</v>
      </c>
      <c r="Q25" s="49">
        <v>4</v>
      </c>
      <c r="R25" s="49"/>
      <c r="S25" s="49"/>
      <c r="T25" s="49"/>
      <c r="U25" s="49"/>
      <c r="V25" s="49"/>
      <c r="W25" s="50">
        <f t="shared" si="7"/>
        <v>30</v>
      </c>
      <c r="X25" s="50">
        <v>1</v>
      </c>
      <c r="Y25" s="49">
        <v>14</v>
      </c>
      <c r="Z25" s="49">
        <v>12</v>
      </c>
      <c r="AA25" s="49">
        <v>1</v>
      </c>
      <c r="AB25" s="49"/>
      <c r="AC25" s="49">
        <v>2</v>
      </c>
      <c r="AD25" s="49"/>
      <c r="AE25" s="49"/>
      <c r="AF25" s="49"/>
      <c r="AG25" s="50">
        <f t="shared" si="8"/>
        <v>26</v>
      </c>
      <c r="AH25" s="50">
        <v>1</v>
      </c>
      <c r="AI25" s="58">
        <v>6</v>
      </c>
      <c r="AJ25" s="49">
        <v>6</v>
      </c>
      <c r="AK25" s="49">
        <v>11</v>
      </c>
      <c r="AL25" s="49"/>
      <c r="AM25" s="49">
        <v>1</v>
      </c>
      <c r="AN25" s="49">
        <v>1</v>
      </c>
      <c r="AO25" s="49"/>
      <c r="AP25" s="49"/>
      <c r="AQ25" s="49"/>
      <c r="AR25" s="50">
        <f t="shared" si="9"/>
        <v>18</v>
      </c>
      <c r="AS25" s="50">
        <v>1</v>
      </c>
      <c r="AT25" s="50"/>
      <c r="AU25" s="49">
        <v>9</v>
      </c>
      <c r="AV25" s="49">
        <v>7</v>
      </c>
      <c r="AW25" s="50"/>
      <c r="AX25" s="50">
        <v>1</v>
      </c>
      <c r="AY25" s="49"/>
      <c r="AZ25" s="49"/>
      <c r="BA25" s="52">
        <v>4</v>
      </c>
      <c r="BB25" s="50"/>
      <c r="BC25" s="50">
        <f t="shared" si="4"/>
        <v>3</v>
      </c>
      <c r="BD25" s="58">
        <v>3</v>
      </c>
      <c r="BE25" s="49"/>
      <c r="BF25" s="49">
        <v>1</v>
      </c>
      <c r="BG25" s="53"/>
      <c r="BH25" s="53">
        <f t="shared" si="10"/>
        <v>104</v>
      </c>
      <c r="BI25" s="54"/>
      <c r="BJ25" s="54"/>
    </row>
    <row r="26" s="27" customFormat="1" customHeight="1" spans="1:62">
      <c r="A26" s="44">
        <f>'1'!A19+1</f>
        <v>46114</v>
      </c>
      <c r="B26" s="55" t="s">
        <v>3357</v>
      </c>
      <c r="C26" s="55" t="s">
        <v>3265</v>
      </c>
      <c r="D26" s="72" t="s">
        <v>3311</v>
      </c>
      <c r="E26" s="47">
        <f>SUMIFS(卸车数据!$J$6:$J$1048576,卸车数据!$R$6:$R$1048576,"&gt;="&amp;A26+TIME(23,0,0),卸车数据!$R$6:$R$1048576,"&lt;"&amp;A26+TIME(0,0,0))</f>
        <v>0</v>
      </c>
      <c r="F26" s="73">
        <v>3732</v>
      </c>
      <c r="G26" s="57">
        <v>7445</v>
      </c>
      <c r="H26" s="51">
        <v>1</v>
      </c>
      <c r="I26" s="51" t="s">
        <v>3358</v>
      </c>
      <c r="J26" s="51"/>
      <c r="K26" s="58">
        <f t="shared" si="6"/>
        <v>17</v>
      </c>
      <c r="L26" s="58">
        <v>1</v>
      </c>
      <c r="M26" s="51">
        <v>5</v>
      </c>
      <c r="N26" s="51">
        <v>2</v>
      </c>
      <c r="O26" s="51">
        <v>2</v>
      </c>
      <c r="P26" s="51">
        <v>4</v>
      </c>
      <c r="Q26" s="51">
        <v>1</v>
      </c>
      <c r="R26" s="51">
        <v>2</v>
      </c>
      <c r="S26" s="51"/>
      <c r="T26" s="51"/>
      <c r="U26" s="51" t="s">
        <v>3359</v>
      </c>
      <c r="V26" s="51"/>
      <c r="W26" s="58">
        <f t="shared" si="7"/>
        <v>25</v>
      </c>
      <c r="X26" s="58">
        <v>1</v>
      </c>
      <c r="Y26" s="51">
        <v>12</v>
      </c>
      <c r="Z26" s="51">
        <v>9</v>
      </c>
      <c r="AA26" s="51">
        <v>1</v>
      </c>
      <c r="AB26" s="51"/>
      <c r="AC26" s="51">
        <v>2</v>
      </c>
      <c r="AD26" s="51"/>
      <c r="AE26" s="51" t="s">
        <v>3360</v>
      </c>
      <c r="AF26" s="51"/>
      <c r="AG26" s="58">
        <f t="shared" si="8"/>
        <v>26</v>
      </c>
      <c r="AH26" s="58">
        <v>1</v>
      </c>
      <c r="AI26" s="58">
        <v>6</v>
      </c>
      <c r="AJ26" s="58">
        <v>6</v>
      </c>
      <c r="AK26" s="51">
        <v>11</v>
      </c>
      <c r="AL26" s="51"/>
      <c r="AM26" s="51">
        <v>1</v>
      </c>
      <c r="AN26" s="51">
        <v>1</v>
      </c>
      <c r="AO26" s="51"/>
      <c r="AP26" s="51"/>
      <c r="AQ26" s="51"/>
      <c r="AR26" s="58">
        <f t="shared" si="9"/>
        <v>20</v>
      </c>
      <c r="AS26" s="58">
        <v>1</v>
      </c>
      <c r="AT26" s="58"/>
      <c r="AU26" s="51">
        <v>11</v>
      </c>
      <c r="AV26" s="51">
        <v>6</v>
      </c>
      <c r="AW26" s="58"/>
      <c r="AX26" s="58">
        <v>1</v>
      </c>
      <c r="AY26" s="51">
        <v>1</v>
      </c>
      <c r="AZ26" s="51"/>
      <c r="BA26" s="52">
        <v>4</v>
      </c>
      <c r="BB26" s="58"/>
      <c r="BC26" s="50">
        <f t="shared" si="4"/>
        <v>3</v>
      </c>
      <c r="BD26" s="58">
        <v>3</v>
      </c>
      <c r="BE26" s="51"/>
      <c r="BF26" s="49">
        <v>1</v>
      </c>
      <c r="BG26" s="69"/>
      <c r="BH26" s="53">
        <f t="shared" si="10"/>
        <v>96</v>
      </c>
      <c r="BI26" s="61">
        <v>8</v>
      </c>
      <c r="BJ26" s="61" t="s">
        <v>3361</v>
      </c>
    </row>
    <row r="27" s="30" customFormat="1" customHeight="1" spans="1:62">
      <c r="B27" s="74" t="s">
        <v>3362</v>
      </c>
      <c r="C27" s="74"/>
      <c r="D27" s="74"/>
      <c r="E27" s="74"/>
      <c r="F27" s="75"/>
      <c r="G27" s="75"/>
      <c r="H27" s="74"/>
      <c r="P27" s="76"/>
      <c r="Q27" s="76"/>
      <c r="V27" s="77"/>
      <c r="W27" s="77"/>
      <c r="BH27" s="31"/>
    </row>
    <row r="28" s="30" customFormat="1" customHeight="1" spans="1:62">
      <c r="B28" s="78" t="s">
        <v>3363</v>
      </c>
      <c r="C28" s="79"/>
      <c r="D28" s="79"/>
      <c r="E28" s="79"/>
      <c r="F28" s="79"/>
      <c r="G28" s="79"/>
      <c r="H28" s="80"/>
      <c r="I28" s="80"/>
      <c r="J28" s="80"/>
      <c r="K28" s="80"/>
      <c r="L28" s="80"/>
      <c r="M28" s="79"/>
      <c r="N28" s="81" t="s">
        <v>3364</v>
      </c>
      <c r="O28" s="81"/>
      <c r="Q28" s="79" t="s">
        <v>3365</v>
      </c>
      <c r="R28" s="79"/>
      <c r="BC28" s="31"/>
    </row>
    <row r="29" s="30" customFormat="1" customHeight="1" spans="1:62">
      <c r="B29" s="31" t="s">
        <v>3366</v>
      </c>
      <c r="C29" s="31"/>
      <c r="D29" s="82" t="s">
        <v>3367</v>
      </c>
      <c r="E29" s="83"/>
      <c r="F29" s="83"/>
      <c r="G29" s="83"/>
      <c r="H29" s="84"/>
      <c r="I29" s="85" t="s">
        <v>3368</v>
      </c>
      <c r="J29" s="86"/>
      <c r="K29" s="86"/>
      <c r="L29" s="86"/>
      <c r="M29" s="86"/>
      <c r="N29" s="86"/>
      <c r="O29" s="87"/>
      <c r="Q29" s="79"/>
      <c r="R29" s="79"/>
      <c r="BC29" s="31"/>
      <c r="BD29" s="88"/>
    </row>
    <row r="30" s="28" customFormat="1" customHeight="1" spans="1:62">
      <c r="K30" s="89"/>
      <c r="L30" s="89"/>
      <c r="Q30" s="79"/>
      <c r="R30" s="79"/>
      <c r="BC30" s="90"/>
      <c r="BD30" s="91"/>
    </row>
    <row r="31" s="31" customFormat="1" customHeight="1" spans="1:62">
      <c r="B31" s="31" t="s">
        <v>3369</v>
      </c>
      <c r="D31" s="92" t="s">
        <v>3370</v>
      </c>
      <c r="E31" s="93"/>
      <c r="F31" s="94"/>
      <c r="G31" s="94"/>
      <c r="H31" s="94"/>
      <c r="I31" s="95">
        <v>1800</v>
      </c>
      <c r="J31" s="94"/>
      <c r="K31" s="96"/>
      <c r="L31" s="97">
        <v>2330</v>
      </c>
      <c r="M31" s="94"/>
      <c r="N31" s="94"/>
      <c r="O31" s="98" t="s">
        <v>3370</v>
      </c>
      <c r="Q31" s="79"/>
      <c r="R31" s="79"/>
    </row>
  </sheetData>
  <mergeCells count="24">
    <mergeCell ref="I1:T1"/>
    <mergeCell ref="U1:AD1"/>
    <mergeCell ref="AF1:AO1"/>
    <mergeCell ref="AP1:AZ1"/>
    <mergeCell ref="BB1:BG1"/>
    <mergeCell ref="BI6:BJ6"/>
    <mergeCell ref="B27:H27"/>
    <mergeCell ref="V27:W27"/>
    <mergeCell ref="H28:L28"/>
    <mergeCell ref="N28:O28"/>
    <mergeCell ref="D29:H29"/>
    <mergeCell ref="I29:O29"/>
    <mergeCell ref="A1:A2"/>
    <mergeCell ref="B1:B2"/>
    <mergeCell ref="C1:C2"/>
    <mergeCell ref="D1:D2"/>
    <mergeCell ref="E1:E2"/>
    <mergeCell ref="F1:F2"/>
    <mergeCell ref="G1:G2"/>
    <mergeCell ref="H1:H2"/>
    <mergeCell ref="BA1:BA2"/>
    <mergeCell ref="BH1:BH2"/>
    <mergeCell ref="BI1:BJ2"/>
    <mergeCell ref="Q28:R31"/>
  </mergeCells>
  <pageMargins left="0.75" right="0.75" top="1" bottom="1" header="0.5" footer="0.5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J31"/>
  <sheetViews>
    <sheetView topLeftCell="A16" workbookViewId="0">
      <selection activeCell="Z14" sqref="Z14"/>
    </sheetView>
  </sheetViews>
  <sheetFormatPr defaultColWidth="9.55555555555556" defaultRowHeight="40.2" customHeight="1"/>
  <cols>
    <col min="1" max="1" width="9.55555555555556" style="30"/>
    <col min="2" max="2" width="22.1111111111111" style="30" customWidth="1"/>
    <col min="3" max="7" width="9.55555555555556" style="30" customWidth="1"/>
    <col min="8" max="59" width="9" style="30" customWidth="1"/>
    <col min="60" max="60" width="9" style="31" customWidth="1"/>
    <col min="61" max="61" width="11.6666666666667" style="30" customWidth="1"/>
    <col min="62" max="16384" width="9.55555555555556" style="30"/>
  </cols>
  <sheetData>
    <row r="1" s="25" customFormat="1" customHeight="1" spans="1:62">
      <c r="A1" s="32" t="s">
        <v>3222</v>
      </c>
      <c r="B1" s="32" t="s">
        <v>3223</v>
      </c>
      <c r="C1" s="33" t="s">
        <v>3224</v>
      </c>
      <c r="D1" s="33" t="s">
        <v>3225</v>
      </c>
      <c r="E1" s="33" t="s">
        <v>3226</v>
      </c>
      <c r="F1" s="32" t="s">
        <v>3227</v>
      </c>
      <c r="G1" s="32" t="s">
        <v>3228</v>
      </c>
      <c r="H1" s="32" t="s">
        <v>3229</v>
      </c>
      <c r="I1" s="34" t="s">
        <v>3230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6"/>
      <c r="U1" s="32" t="s">
        <v>3231</v>
      </c>
      <c r="V1" s="32"/>
      <c r="W1" s="32"/>
      <c r="X1" s="32"/>
      <c r="Y1" s="32"/>
      <c r="Z1" s="32"/>
      <c r="AA1" s="32"/>
      <c r="AB1" s="32"/>
      <c r="AC1" s="32"/>
      <c r="AD1" s="32"/>
      <c r="AE1" s="35"/>
      <c r="AF1" s="35" t="s">
        <v>3232</v>
      </c>
      <c r="AG1" s="35"/>
      <c r="AH1" s="35"/>
      <c r="AI1" s="35"/>
      <c r="AJ1" s="35"/>
      <c r="AK1" s="35"/>
      <c r="AL1" s="35"/>
      <c r="AM1" s="35"/>
      <c r="AN1" s="35"/>
      <c r="AO1" s="36"/>
      <c r="AP1" s="34" t="s">
        <v>3233</v>
      </c>
      <c r="AQ1" s="35"/>
      <c r="AR1" s="35"/>
      <c r="AS1" s="35"/>
      <c r="AT1" s="35"/>
      <c r="AU1" s="35"/>
      <c r="AV1" s="35"/>
      <c r="AW1" s="35"/>
      <c r="AX1" s="35"/>
      <c r="AY1" s="35"/>
      <c r="AZ1" s="36"/>
      <c r="BA1" s="32" t="s">
        <v>3234</v>
      </c>
      <c r="BB1" s="34" t="s">
        <v>3235</v>
      </c>
      <c r="BC1" s="35"/>
      <c r="BD1" s="35"/>
      <c r="BE1" s="35"/>
      <c r="BF1" s="35"/>
      <c r="BG1" s="36"/>
      <c r="BH1" s="37" t="s">
        <v>1121</v>
      </c>
      <c r="BI1" s="38" t="s">
        <v>3371</v>
      </c>
      <c r="BJ1" s="39"/>
    </row>
    <row r="2" s="25" customFormat="1" ht="63" customHeight="1" spans="1:62">
      <c r="A2" s="32"/>
      <c r="B2" s="32"/>
      <c r="C2" s="40"/>
      <c r="D2" s="40"/>
      <c r="E2" s="40"/>
      <c r="F2" s="41"/>
      <c r="G2" s="41"/>
      <c r="H2" s="32"/>
      <c r="I2" s="42" t="s">
        <v>3237</v>
      </c>
      <c r="J2" s="42" t="s">
        <v>3238</v>
      </c>
      <c r="K2" s="32" t="s">
        <v>1143</v>
      </c>
      <c r="L2" s="32" t="s">
        <v>3239</v>
      </c>
      <c r="M2" s="32" t="s">
        <v>3240</v>
      </c>
      <c r="N2" s="32" t="s">
        <v>3241</v>
      </c>
      <c r="O2" s="32" t="s">
        <v>3242</v>
      </c>
      <c r="P2" s="32" t="s">
        <v>3243</v>
      </c>
      <c r="Q2" s="32" t="s">
        <v>3244</v>
      </c>
      <c r="R2" s="32" t="s">
        <v>3245</v>
      </c>
      <c r="S2" s="32" t="s">
        <v>3246</v>
      </c>
      <c r="T2" s="43" t="s">
        <v>3247</v>
      </c>
      <c r="U2" s="42" t="s">
        <v>3237</v>
      </c>
      <c r="V2" s="42" t="s">
        <v>3238</v>
      </c>
      <c r="W2" s="32" t="s">
        <v>1143</v>
      </c>
      <c r="X2" s="32" t="s">
        <v>3239</v>
      </c>
      <c r="Y2" s="32" t="s">
        <v>3248</v>
      </c>
      <c r="Z2" s="32" t="s">
        <v>3249</v>
      </c>
      <c r="AA2" s="32" t="s">
        <v>3250</v>
      </c>
      <c r="AB2" s="32" t="s">
        <v>3251</v>
      </c>
      <c r="AC2" s="32" t="s">
        <v>3252</v>
      </c>
      <c r="AD2" s="43" t="s">
        <v>3247</v>
      </c>
      <c r="AE2" s="42" t="s">
        <v>3237</v>
      </c>
      <c r="AF2" s="42" t="s">
        <v>3238</v>
      </c>
      <c r="AG2" s="32" t="s">
        <v>1143</v>
      </c>
      <c r="AH2" s="32" t="s">
        <v>3239</v>
      </c>
      <c r="AI2" s="32" t="s">
        <v>3253</v>
      </c>
      <c r="AJ2" s="32" t="s">
        <v>3254</v>
      </c>
      <c r="AK2" s="32" t="s">
        <v>3255</v>
      </c>
      <c r="AL2" s="32" t="s">
        <v>3256</v>
      </c>
      <c r="AM2" s="32" t="s">
        <v>3257</v>
      </c>
      <c r="AN2" s="32" t="s">
        <v>3258</v>
      </c>
      <c r="AO2" s="43" t="s">
        <v>3247</v>
      </c>
      <c r="AP2" s="42" t="s">
        <v>3237</v>
      </c>
      <c r="AQ2" s="42" t="s">
        <v>3238</v>
      </c>
      <c r="AR2" s="32" t="s">
        <v>1143</v>
      </c>
      <c r="AS2" s="32" t="s">
        <v>3239</v>
      </c>
      <c r="AT2" s="32" t="s">
        <v>3253</v>
      </c>
      <c r="AU2" s="32" t="s">
        <v>3254</v>
      </c>
      <c r="AV2" s="32" t="s">
        <v>3255</v>
      </c>
      <c r="AW2" s="32" t="s">
        <v>3256</v>
      </c>
      <c r="AX2" s="32" t="s">
        <v>3257</v>
      </c>
      <c r="AY2" s="32" t="s">
        <v>3258</v>
      </c>
      <c r="AZ2" s="43" t="s">
        <v>3247</v>
      </c>
      <c r="BA2" s="32"/>
      <c r="BB2" s="32" t="s">
        <v>3259</v>
      </c>
      <c r="BC2" s="32" t="s">
        <v>1143</v>
      </c>
      <c r="BD2" s="32" t="s">
        <v>3260</v>
      </c>
      <c r="BE2" s="32" t="s">
        <v>3261</v>
      </c>
      <c r="BF2" s="32" t="s">
        <v>3262</v>
      </c>
      <c r="BG2" s="32" t="s">
        <v>3263</v>
      </c>
      <c r="BH2" s="37"/>
      <c r="BI2" s="38"/>
      <c r="BJ2" s="39"/>
    </row>
    <row r="3" s="26" customFormat="1" customHeight="1" spans="1:62">
      <c r="A3" s="44">
        <f>'2'!A3+1</f>
        <v>46115</v>
      </c>
      <c r="B3" s="45" t="s">
        <v>3264</v>
      </c>
      <c r="C3" s="45" t="s">
        <v>3265</v>
      </c>
      <c r="D3" s="46" t="s">
        <v>22</v>
      </c>
      <c r="E3" s="47">
        <f>SUMIFS(卸车数据!$J$6:$J$1048576,卸车数据!$R$6:$R$1048576,"&gt;="&amp;A3+TIME(0,0,0),卸车数据!$R$6:$R$1048576,"&lt;"&amp;A3+TIME(1,0,0))</f>
        <v>19525</v>
      </c>
      <c r="F3" s="47">
        <v>1290</v>
      </c>
      <c r="G3" s="48">
        <v>5239</v>
      </c>
      <c r="H3" s="49">
        <v>1</v>
      </c>
      <c r="I3" s="49" t="s">
        <v>3266</v>
      </c>
      <c r="J3" s="49"/>
      <c r="K3" s="50">
        <f t="shared" ref="K3:K9" si="0">SUM(L3:T3)</f>
        <v>17</v>
      </c>
      <c r="L3" s="50">
        <v>1</v>
      </c>
      <c r="M3" s="49">
        <v>5</v>
      </c>
      <c r="N3" s="49">
        <v>2</v>
      </c>
      <c r="O3" s="49">
        <v>2</v>
      </c>
      <c r="P3" s="49">
        <v>4</v>
      </c>
      <c r="Q3" s="49">
        <v>1</v>
      </c>
      <c r="R3" s="49">
        <v>2</v>
      </c>
      <c r="S3" s="49"/>
      <c r="T3" s="49"/>
      <c r="U3" s="49"/>
      <c r="V3" s="49"/>
      <c r="W3" s="50">
        <f t="shared" ref="W3:W9" si="1">SUM(X3:AD3)</f>
        <v>25</v>
      </c>
      <c r="X3" s="50">
        <v>1</v>
      </c>
      <c r="Y3" s="49">
        <v>12</v>
      </c>
      <c r="Z3" s="49">
        <v>9</v>
      </c>
      <c r="AA3" s="49">
        <v>1</v>
      </c>
      <c r="AB3" s="49"/>
      <c r="AC3" s="49">
        <v>2</v>
      </c>
      <c r="AD3" s="49"/>
      <c r="AE3" s="49" t="s">
        <v>3267</v>
      </c>
      <c r="AF3" s="49"/>
      <c r="AG3" s="50">
        <f t="shared" ref="AG3:AG9" si="2">SUM(AH3:AO3)</f>
        <v>26</v>
      </c>
      <c r="AH3" s="50">
        <v>1</v>
      </c>
      <c r="AI3" s="50">
        <v>6</v>
      </c>
      <c r="AJ3" s="50">
        <v>6</v>
      </c>
      <c r="AK3" s="49">
        <v>11</v>
      </c>
      <c r="AL3" s="49"/>
      <c r="AM3" s="49">
        <v>1</v>
      </c>
      <c r="AN3" s="49">
        <v>1</v>
      </c>
      <c r="AO3" s="49"/>
      <c r="AP3" s="49"/>
      <c r="AQ3" s="49"/>
      <c r="AR3" s="50">
        <f t="shared" ref="AR3:AR9" si="3">SUM(AS3:AZ3)</f>
        <v>20</v>
      </c>
      <c r="AS3" s="50">
        <v>1</v>
      </c>
      <c r="AT3" s="50"/>
      <c r="AU3" s="49">
        <v>11</v>
      </c>
      <c r="AV3" s="51">
        <v>6</v>
      </c>
      <c r="AW3" s="50"/>
      <c r="AX3" s="50">
        <v>1</v>
      </c>
      <c r="AY3" s="49">
        <v>1</v>
      </c>
      <c r="AZ3" s="49"/>
      <c r="BA3" s="52">
        <v>4</v>
      </c>
      <c r="BB3" s="50"/>
      <c r="BC3" s="50">
        <f t="shared" ref="BC3:BC26" si="4">BD3+BE3</f>
        <v>3</v>
      </c>
      <c r="BD3" s="50">
        <v>3</v>
      </c>
      <c r="BE3" s="49"/>
      <c r="BF3" s="49">
        <v>1</v>
      </c>
      <c r="BG3" s="53"/>
      <c r="BH3" s="53">
        <f t="shared" ref="BH3:BH9" si="5">BC3+BA3+AR3+AG3+W3+K3+H3</f>
        <v>96</v>
      </c>
      <c r="BI3" s="54"/>
      <c r="BJ3" s="54"/>
    </row>
    <row r="4" s="26" customFormat="1" customHeight="1" spans="1:62">
      <c r="A4" s="44">
        <f>'2'!A4+1</f>
        <v>46115</v>
      </c>
      <c r="B4" s="45" t="s">
        <v>3268</v>
      </c>
      <c r="C4" s="45" t="s">
        <v>3265</v>
      </c>
      <c r="D4" s="46" t="s">
        <v>22</v>
      </c>
      <c r="E4" s="47">
        <f>SUMIFS(卸车数据!$J$6:$J$1048576,卸车数据!$R$6:$R$1048576,"&gt;="&amp;A4+TIME(1,0,0),卸车数据!$R$6:$R$1048576,"&lt;"&amp;A4+TIME(2,0,0))</f>
        <v>2703</v>
      </c>
      <c r="F4" s="47">
        <v>4629</v>
      </c>
      <c r="G4" s="48">
        <v>13688</v>
      </c>
      <c r="H4" s="49">
        <v>1</v>
      </c>
      <c r="I4" s="49"/>
      <c r="J4" s="49"/>
      <c r="K4" s="50">
        <f t="shared" si="0"/>
        <v>17</v>
      </c>
      <c r="L4" s="50">
        <v>1</v>
      </c>
      <c r="M4" s="49">
        <v>5</v>
      </c>
      <c r="N4" s="49">
        <v>2</v>
      </c>
      <c r="O4" s="49">
        <v>2</v>
      </c>
      <c r="P4" s="49">
        <v>4</v>
      </c>
      <c r="Q4" s="49">
        <v>1</v>
      </c>
      <c r="R4" s="49">
        <v>2</v>
      </c>
      <c r="S4" s="49"/>
      <c r="T4" s="50"/>
      <c r="U4" s="49"/>
      <c r="V4" s="49"/>
      <c r="W4" s="50">
        <f t="shared" si="1"/>
        <v>25</v>
      </c>
      <c r="X4" s="50">
        <v>1</v>
      </c>
      <c r="Y4" s="49">
        <v>12</v>
      </c>
      <c r="Z4" s="49">
        <v>9</v>
      </c>
      <c r="AA4" s="49">
        <v>1</v>
      </c>
      <c r="AB4" s="49"/>
      <c r="AC4" s="49">
        <v>2</v>
      </c>
      <c r="AD4" s="49"/>
      <c r="AE4" s="49" t="s">
        <v>3269</v>
      </c>
      <c r="AF4" s="49"/>
      <c r="AG4" s="50">
        <f t="shared" si="2"/>
        <v>26</v>
      </c>
      <c r="AH4" s="50">
        <v>1</v>
      </c>
      <c r="AI4" s="50">
        <v>6</v>
      </c>
      <c r="AJ4" s="50">
        <v>6</v>
      </c>
      <c r="AK4" s="49">
        <v>11</v>
      </c>
      <c r="AL4" s="49"/>
      <c r="AM4" s="49">
        <v>1</v>
      </c>
      <c r="AN4" s="49">
        <v>1</v>
      </c>
      <c r="AO4" s="50"/>
      <c r="AP4" s="49"/>
      <c r="AQ4" s="49"/>
      <c r="AR4" s="50">
        <f t="shared" si="3"/>
        <v>20</v>
      </c>
      <c r="AS4" s="50">
        <v>1</v>
      </c>
      <c r="AT4" s="50"/>
      <c r="AU4" s="49">
        <v>11</v>
      </c>
      <c r="AV4" s="51">
        <v>6</v>
      </c>
      <c r="AW4" s="50"/>
      <c r="AX4" s="50">
        <v>1</v>
      </c>
      <c r="AY4" s="49">
        <v>1</v>
      </c>
      <c r="AZ4" s="50"/>
      <c r="BA4" s="52">
        <v>4</v>
      </c>
      <c r="BB4" s="50"/>
      <c r="BC4" s="50">
        <f t="shared" si="4"/>
        <v>3</v>
      </c>
      <c r="BD4" s="50">
        <v>3</v>
      </c>
      <c r="BE4" s="49"/>
      <c r="BF4" s="49">
        <v>1</v>
      </c>
      <c r="BG4" s="53"/>
      <c r="BH4" s="53">
        <f t="shared" si="5"/>
        <v>96</v>
      </c>
      <c r="BI4" s="54"/>
      <c r="BJ4" s="54"/>
    </row>
    <row r="5" s="26" customFormat="1" customHeight="1" spans="1:62">
      <c r="A5" s="44">
        <f>'2'!A5+1</f>
        <v>46115</v>
      </c>
      <c r="B5" s="45" t="s">
        <v>3270</v>
      </c>
      <c r="C5" s="45" t="s">
        <v>3265</v>
      </c>
      <c r="D5" s="46" t="s">
        <v>22</v>
      </c>
      <c r="E5" s="47">
        <f>SUMIFS(卸车数据!$J$6:$J$1048576,卸车数据!$R$6:$R$1048576,"&gt;="&amp;A5+TIME(2,0,0),卸车数据!$R$6:$R$1048576,"&lt;"&amp;A5+TIME(3,0,0))</f>
        <v>0</v>
      </c>
      <c r="F5" s="47">
        <v>3244</v>
      </c>
      <c r="G5" s="48">
        <v>13096</v>
      </c>
      <c r="H5" s="49">
        <v>1</v>
      </c>
      <c r="I5" s="49" t="s">
        <v>3271</v>
      </c>
      <c r="J5" s="49"/>
      <c r="K5" s="50">
        <f t="shared" si="0"/>
        <v>17</v>
      </c>
      <c r="L5" s="50">
        <v>1</v>
      </c>
      <c r="M5" s="49">
        <v>5</v>
      </c>
      <c r="N5" s="49">
        <v>2</v>
      </c>
      <c r="O5" s="49">
        <v>2</v>
      </c>
      <c r="P5" s="49">
        <v>4</v>
      </c>
      <c r="Q5" s="49">
        <v>1</v>
      </c>
      <c r="R5" s="49">
        <v>2</v>
      </c>
      <c r="S5" s="49"/>
      <c r="T5" s="50"/>
      <c r="U5" s="49" t="s">
        <v>3272</v>
      </c>
      <c r="V5" s="49"/>
      <c r="W5" s="50">
        <f t="shared" si="1"/>
        <v>25</v>
      </c>
      <c r="X5" s="50">
        <v>1</v>
      </c>
      <c r="Y5" s="49">
        <v>12</v>
      </c>
      <c r="Z5" s="49">
        <v>9</v>
      </c>
      <c r="AA5" s="49">
        <v>1</v>
      </c>
      <c r="AB5" s="49"/>
      <c r="AC5" s="49">
        <v>2</v>
      </c>
      <c r="AD5" s="49"/>
      <c r="AE5" s="49"/>
      <c r="AF5" s="49"/>
      <c r="AG5" s="50">
        <f t="shared" si="2"/>
        <v>26</v>
      </c>
      <c r="AH5" s="50">
        <v>1</v>
      </c>
      <c r="AI5" s="50">
        <v>6</v>
      </c>
      <c r="AJ5" s="50">
        <v>6</v>
      </c>
      <c r="AK5" s="49">
        <v>11</v>
      </c>
      <c r="AL5" s="49"/>
      <c r="AM5" s="49">
        <v>1</v>
      </c>
      <c r="AN5" s="49">
        <v>1</v>
      </c>
      <c r="AO5" s="50"/>
      <c r="AP5" s="49"/>
      <c r="AQ5" s="49"/>
      <c r="AR5" s="50">
        <f t="shared" si="3"/>
        <v>20</v>
      </c>
      <c r="AS5" s="50">
        <v>1</v>
      </c>
      <c r="AT5" s="50"/>
      <c r="AU5" s="49">
        <v>11</v>
      </c>
      <c r="AV5" s="51">
        <v>6</v>
      </c>
      <c r="AW5" s="50"/>
      <c r="AX5" s="50">
        <v>1</v>
      </c>
      <c r="AY5" s="49">
        <v>1</v>
      </c>
      <c r="AZ5" s="50"/>
      <c r="BA5" s="52">
        <v>4</v>
      </c>
      <c r="BB5" s="50"/>
      <c r="BC5" s="50">
        <f t="shared" si="4"/>
        <v>3</v>
      </c>
      <c r="BD5" s="50">
        <v>3</v>
      </c>
      <c r="BE5" s="49"/>
      <c r="BF5" s="49">
        <v>1</v>
      </c>
      <c r="BG5" s="49"/>
      <c r="BH5" s="53">
        <f t="shared" si="5"/>
        <v>96</v>
      </c>
      <c r="BI5" s="54"/>
      <c r="BJ5" s="54"/>
    </row>
    <row r="6" s="27" customFormat="1" customHeight="1" spans="1:62">
      <c r="A6" s="44">
        <f>'2'!A6+1</f>
        <v>46115</v>
      </c>
      <c r="B6" s="55" t="s">
        <v>3273</v>
      </c>
      <c r="C6" s="55" t="s">
        <v>3265</v>
      </c>
      <c r="D6" s="46" t="s">
        <v>22</v>
      </c>
      <c r="E6" s="47">
        <f>SUMIFS(卸车数据!$J$6:$J$1048576,卸车数据!$R$6:$R$1048576,"&gt;="&amp;A6+TIME(3,0,0),卸车数据!$R$6:$R$1048576,"&lt;"&amp;A6+TIME(4,0,0))</f>
        <v>4655</v>
      </c>
      <c r="F6" s="56">
        <v>4683</v>
      </c>
      <c r="G6" s="57">
        <v>7621</v>
      </c>
      <c r="H6" s="51">
        <v>1</v>
      </c>
      <c r="I6" s="51" t="s">
        <v>3274</v>
      </c>
      <c r="J6" s="51"/>
      <c r="K6" s="58">
        <f t="shared" si="0"/>
        <v>17</v>
      </c>
      <c r="L6" s="58">
        <v>1</v>
      </c>
      <c r="M6" s="51">
        <v>5</v>
      </c>
      <c r="N6" s="51">
        <v>2</v>
      </c>
      <c r="O6" s="51">
        <v>2</v>
      </c>
      <c r="P6" s="51">
        <v>4</v>
      </c>
      <c r="Q6" s="51">
        <v>1</v>
      </c>
      <c r="R6" s="51">
        <v>2</v>
      </c>
      <c r="S6" s="51"/>
      <c r="T6" s="58"/>
      <c r="U6" s="51" t="s">
        <v>3275</v>
      </c>
      <c r="V6" s="51" t="s">
        <v>3276</v>
      </c>
      <c r="W6" s="58">
        <f t="shared" si="1"/>
        <v>18</v>
      </c>
      <c r="X6" s="58">
        <v>1</v>
      </c>
      <c r="Y6" s="51">
        <v>5</v>
      </c>
      <c r="Z6" s="51">
        <v>9</v>
      </c>
      <c r="AA6" s="51">
        <v>1</v>
      </c>
      <c r="AB6" s="49"/>
      <c r="AC6" s="51">
        <v>2</v>
      </c>
      <c r="AD6" s="51"/>
      <c r="AE6" s="51"/>
      <c r="AF6" s="51"/>
      <c r="AG6" s="58">
        <f t="shared" si="2"/>
        <v>30</v>
      </c>
      <c r="AH6" s="58">
        <v>1</v>
      </c>
      <c r="AI6" s="58">
        <v>6</v>
      </c>
      <c r="AJ6" s="58">
        <v>6</v>
      </c>
      <c r="AK6" s="51">
        <v>11</v>
      </c>
      <c r="AL6" s="51"/>
      <c r="AM6" s="51">
        <v>1</v>
      </c>
      <c r="AN6" s="51">
        <v>1</v>
      </c>
      <c r="AO6" s="59">
        <v>4</v>
      </c>
      <c r="AP6" s="51" t="s">
        <v>3277</v>
      </c>
      <c r="AQ6" s="51" t="s">
        <v>3278</v>
      </c>
      <c r="AR6" s="58">
        <f t="shared" si="3"/>
        <v>23</v>
      </c>
      <c r="AS6" s="58">
        <v>1</v>
      </c>
      <c r="AT6" s="58"/>
      <c r="AU6" s="51">
        <v>11</v>
      </c>
      <c r="AV6" s="51">
        <v>6</v>
      </c>
      <c r="AW6" s="58"/>
      <c r="AX6" s="58">
        <v>1</v>
      </c>
      <c r="AY6" s="51">
        <v>1</v>
      </c>
      <c r="AZ6" s="59">
        <v>3</v>
      </c>
      <c r="BA6" s="52">
        <v>4</v>
      </c>
      <c r="BB6" s="58"/>
      <c r="BC6" s="50">
        <f t="shared" si="4"/>
        <v>3</v>
      </c>
      <c r="BD6" s="58">
        <v>3</v>
      </c>
      <c r="BE6" s="51"/>
      <c r="BF6" s="49">
        <v>1</v>
      </c>
      <c r="BG6" s="51"/>
      <c r="BH6" s="53">
        <f t="shared" si="5"/>
        <v>96</v>
      </c>
      <c r="BI6" s="60" t="s">
        <v>3279</v>
      </c>
      <c r="BJ6" s="61"/>
    </row>
    <row r="7" s="26" customFormat="1" customHeight="1" spans="1:62">
      <c r="A7" s="44">
        <f>'2'!A7+1</f>
        <v>46115</v>
      </c>
      <c r="B7" s="45" t="s">
        <v>3280</v>
      </c>
      <c r="C7" s="45" t="s">
        <v>3265</v>
      </c>
      <c r="D7" s="46" t="s">
        <v>22</v>
      </c>
      <c r="E7" s="47">
        <f>SUMIFS(卸车数据!$J$6:$J$1048576,卸车数据!$R$6:$R$1048576,"&gt;="&amp;A7+TIME(4,0,0),卸车数据!$R$6:$R$1048576,"&lt;"&amp;A7+TIME(5,0,0))</f>
        <v>33</v>
      </c>
      <c r="F7" s="47">
        <v>5097</v>
      </c>
      <c r="G7" s="48">
        <v>8873</v>
      </c>
      <c r="H7" s="49">
        <v>1</v>
      </c>
      <c r="I7" s="49" t="s">
        <v>3281</v>
      </c>
      <c r="J7" s="49"/>
      <c r="K7" s="50">
        <f t="shared" si="0"/>
        <v>17</v>
      </c>
      <c r="L7" s="50">
        <v>1</v>
      </c>
      <c r="M7" s="49">
        <v>5</v>
      </c>
      <c r="N7" s="49">
        <v>2</v>
      </c>
      <c r="O7" s="49">
        <v>2</v>
      </c>
      <c r="P7" s="49">
        <v>4</v>
      </c>
      <c r="Q7" s="49">
        <v>1</v>
      </c>
      <c r="R7" s="49">
        <v>2</v>
      </c>
      <c r="S7" s="49"/>
      <c r="T7" s="50"/>
      <c r="U7" s="49"/>
      <c r="V7" s="49"/>
      <c r="W7" s="50">
        <f t="shared" si="1"/>
        <v>25</v>
      </c>
      <c r="X7" s="50">
        <v>1</v>
      </c>
      <c r="Y7" s="49">
        <v>12</v>
      </c>
      <c r="Z7" s="49">
        <v>9</v>
      </c>
      <c r="AA7" s="49">
        <v>1</v>
      </c>
      <c r="AB7" s="49"/>
      <c r="AC7" s="49">
        <v>2</v>
      </c>
      <c r="AD7" s="49"/>
      <c r="AE7" s="49" t="s">
        <v>3282</v>
      </c>
      <c r="AF7" s="49"/>
      <c r="AG7" s="50">
        <f t="shared" si="2"/>
        <v>26</v>
      </c>
      <c r="AH7" s="50">
        <v>1</v>
      </c>
      <c r="AI7" s="50">
        <v>6</v>
      </c>
      <c r="AJ7" s="50">
        <v>6</v>
      </c>
      <c r="AK7" s="49">
        <v>11</v>
      </c>
      <c r="AL7" s="49"/>
      <c r="AM7" s="49">
        <v>1</v>
      </c>
      <c r="AN7" s="49">
        <v>1</v>
      </c>
      <c r="AO7" s="50"/>
      <c r="AP7" s="49"/>
      <c r="AQ7" s="49"/>
      <c r="AR7" s="50">
        <f t="shared" si="3"/>
        <v>20</v>
      </c>
      <c r="AS7" s="50">
        <v>1</v>
      </c>
      <c r="AT7" s="50"/>
      <c r="AU7" s="49">
        <v>11</v>
      </c>
      <c r="AV7" s="51">
        <v>6</v>
      </c>
      <c r="AW7" s="50"/>
      <c r="AX7" s="50">
        <v>1</v>
      </c>
      <c r="AY7" s="49">
        <v>1</v>
      </c>
      <c r="AZ7" s="50"/>
      <c r="BA7" s="52">
        <v>4</v>
      </c>
      <c r="BB7" s="50"/>
      <c r="BC7" s="50">
        <f t="shared" si="4"/>
        <v>3</v>
      </c>
      <c r="BD7" s="50">
        <v>3</v>
      </c>
      <c r="BE7" s="49"/>
      <c r="BF7" s="49">
        <v>1</v>
      </c>
      <c r="BG7" s="49"/>
      <c r="BH7" s="53">
        <f t="shared" si="5"/>
        <v>96</v>
      </c>
      <c r="BI7" s="54"/>
      <c r="BJ7" s="54"/>
    </row>
    <row r="8" s="26" customFormat="1" customHeight="1" spans="1:62">
      <c r="A8" s="44">
        <f>'2'!A8+1</f>
        <v>46115</v>
      </c>
      <c r="B8" s="45" t="s">
        <v>3283</v>
      </c>
      <c r="C8" s="45" t="s">
        <v>3265</v>
      </c>
      <c r="D8" s="46" t="s">
        <v>22</v>
      </c>
      <c r="E8" s="47">
        <f>SUMIFS(卸车数据!$J$6:$J$1048576,卸车数据!$R$6:$R$1048576,"&gt;="&amp;A8+TIME(5,0,0),卸车数据!$R$6:$R$1048576,"&lt;"&amp;A8+TIME(6,0,0))</f>
        <v>228</v>
      </c>
      <c r="F8" s="47">
        <v>2951</v>
      </c>
      <c r="G8" s="48">
        <v>8759</v>
      </c>
      <c r="H8" s="49">
        <v>1</v>
      </c>
      <c r="I8" s="49" t="s">
        <v>3284</v>
      </c>
      <c r="J8" s="49"/>
      <c r="K8" s="50">
        <f t="shared" si="0"/>
        <v>17</v>
      </c>
      <c r="L8" s="50">
        <v>1</v>
      </c>
      <c r="M8" s="49">
        <v>5</v>
      </c>
      <c r="N8" s="49">
        <v>2</v>
      </c>
      <c r="O8" s="49">
        <v>2</v>
      </c>
      <c r="P8" s="49">
        <v>4</v>
      </c>
      <c r="Q8" s="49">
        <v>1</v>
      </c>
      <c r="R8" s="49">
        <v>2</v>
      </c>
      <c r="S8" s="50"/>
      <c r="T8" s="50"/>
      <c r="U8" s="49"/>
      <c r="V8" s="49"/>
      <c r="W8" s="50">
        <f t="shared" si="1"/>
        <v>25</v>
      </c>
      <c r="X8" s="50">
        <v>1</v>
      </c>
      <c r="Y8" s="49">
        <v>12</v>
      </c>
      <c r="Z8" s="49">
        <v>9</v>
      </c>
      <c r="AA8" s="49">
        <v>1</v>
      </c>
      <c r="AB8" s="49"/>
      <c r="AC8" s="49">
        <v>2</v>
      </c>
      <c r="AD8" s="50"/>
      <c r="AE8" s="49" t="s">
        <v>3285</v>
      </c>
      <c r="AF8" s="49"/>
      <c r="AG8" s="50">
        <f t="shared" si="2"/>
        <v>26</v>
      </c>
      <c r="AH8" s="50">
        <v>1</v>
      </c>
      <c r="AI8" s="50">
        <v>6</v>
      </c>
      <c r="AJ8" s="50">
        <v>6</v>
      </c>
      <c r="AK8" s="49">
        <v>11</v>
      </c>
      <c r="AL8" s="49"/>
      <c r="AM8" s="49">
        <v>1</v>
      </c>
      <c r="AN8" s="49">
        <v>1</v>
      </c>
      <c r="AO8" s="50"/>
      <c r="AP8" s="49"/>
      <c r="AQ8" s="49"/>
      <c r="AR8" s="50">
        <f t="shared" si="3"/>
        <v>20</v>
      </c>
      <c r="AS8" s="50">
        <v>1</v>
      </c>
      <c r="AT8" s="50"/>
      <c r="AU8" s="49">
        <v>11</v>
      </c>
      <c r="AV8" s="51">
        <v>6</v>
      </c>
      <c r="AW8" s="50"/>
      <c r="AX8" s="50">
        <v>1</v>
      </c>
      <c r="AY8" s="49">
        <v>1</v>
      </c>
      <c r="AZ8" s="50"/>
      <c r="BA8" s="52">
        <v>4</v>
      </c>
      <c r="BB8" s="50"/>
      <c r="BC8" s="50">
        <f t="shared" si="4"/>
        <v>3</v>
      </c>
      <c r="BD8" s="50">
        <v>3</v>
      </c>
      <c r="BE8" s="49"/>
      <c r="BF8" s="49">
        <v>1</v>
      </c>
      <c r="BG8" s="49"/>
      <c r="BH8" s="53">
        <f t="shared" si="5"/>
        <v>96</v>
      </c>
      <c r="BI8" s="54"/>
      <c r="BJ8" s="54"/>
    </row>
    <row r="9" s="26" customFormat="1" customHeight="1" spans="1:62">
      <c r="A9" s="44">
        <f>'2'!A9+1</f>
        <v>46115</v>
      </c>
      <c r="B9" s="45" t="s">
        <v>3286</v>
      </c>
      <c r="C9" s="45" t="s">
        <v>3265</v>
      </c>
      <c r="D9" s="46" t="s">
        <v>22</v>
      </c>
      <c r="E9" s="47">
        <f>SUMIFS(卸车数据!$J$6:$J$1048576,卸车数据!$R$6:$R$1048576,"&gt;="&amp;A9+TIME(6,0,0),卸车数据!$R$6:$R$1048576,"&lt;"&amp;A9+TIME(7,0,0))</f>
        <v>624</v>
      </c>
      <c r="F9" s="47">
        <v>882</v>
      </c>
      <c r="G9" s="48">
        <v>312</v>
      </c>
      <c r="H9" s="49">
        <v>1</v>
      </c>
      <c r="I9" s="49" t="s">
        <v>3287</v>
      </c>
      <c r="J9" s="49"/>
      <c r="K9" s="50">
        <f t="shared" si="0"/>
        <v>17</v>
      </c>
      <c r="L9" s="50">
        <v>1</v>
      </c>
      <c r="M9" s="49">
        <v>5</v>
      </c>
      <c r="N9" s="49">
        <v>2</v>
      </c>
      <c r="O9" s="49">
        <v>2</v>
      </c>
      <c r="P9" s="49">
        <v>4</v>
      </c>
      <c r="Q9" s="49">
        <v>1</v>
      </c>
      <c r="R9" s="49">
        <v>2</v>
      </c>
      <c r="S9" s="50"/>
      <c r="T9" s="50"/>
      <c r="U9" s="49"/>
      <c r="V9" s="49"/>
      <c r="W9" s="50">
        <f t="shared" si="1"/>
        <v>25</v>
      </c>
      <c r="X9" s="50">
        <v>1</v>
      </c>
      <c r="Y9" s="49">
        <v>12</v>
      </c>
      <c r="Z9" s="49">
        <v>9</v>
      </c>
      <c r="AA9" s="49">
        <v>1</v>
      </c>
      <c r="AB9" s="49"/>
      <c r="AC9" s="49">
        <v>2</v>
      </c>
      <c r="AD9" s="50"/>
      <c r="AE9" s="49"/>
      <c r="AF9" s="49"/>
      <c r="AG9" s="50">
        <f t="shared" si="2"/>
        <v>26</v>
      </c>
      <c r="AH9" s="50">
        <v>1</v>
      </c>
      <c r="AI9" s="50">
        <v>6</v>
      </c>
      <c r="AJ9" s="50">
        <v>6</v>
      </c>
      <c r="AK9" s="49">
        <v>11</v>
      </c>
      <c r="AL9" s="49"/>
      <c r="AM9" s="49">
        <v>1</v>
      </c>
      <c r="AN9" s="49">
        <v>1</v>
      </c>
      <c r="AO9" s="50"/>
      <c r="AP9" s="49"/>
      <c r="AQ9" s="49"/>
      <c r="AR9" s="50">
        <f t="shared" si="3"/>
        <v>20</v>
      </c>
      <c r="AS9" s="50">
        <v>1</v>
      </c>
      <c r="AT9" s="50"/>
      <c r="AU9" s="49">
        <v>11</v>
      </c>
      <c r="AV9" s="51">
        <v>6</v>
      </c>
      <c r="AW9" s="50"/>
      <c r="AX9" s="50">
        <v>1</v>
      </c>
      <c r="AY9" s="49">
        <v>1</v>
      </c>
      <c r="AZ9" s="50"/>
      <c r="BA9" s="52">
        <v>4</v>
      </c>
      <c r="BB9" s="50"/>
      <c r="BC9" s="50">
        <f t="shared" si="4"/>
        <v>3</v>
      </c>
      <c r="BD9" s="50">
        <v>3</v>
      </c>
      <c r="BE9" s="49"/>
      <c r="BF9" s="49">
        <v>1</v>
      </c>
      <c r="BG9" s="49"/>
      <c r="BH9" s="53">
        <f t="shared" si="5"/>
        <v>96</v>
      </c>
      <c r="BI9" s="54"/>
      <c r="BJ9" s="54"/>
    </row>
    <row r="10" s="26" customFormat="1" customHeight="1" spans="1:62">
      <c r="A10" s="44">
        <f>'2'!A10+1</f>
        <v>46115</v>
      </c>
      <c r="B10" s="45" t="s">
        <v>3288</v>
      </c>
      <c r="C10" s="45" t="s">
        <v>3289</v>
      </c>
      <c r="D10" s="46" t="s">
        <v>22</v>
      </c>
      <c r="E10" s="47">
        <f>SUMIFS(卸车数据!$J$6:$J$1048576,卸车数据!$R$6:$R$1048576,"&gt;="&amp;A10+TIME(7,0,0),卸车数据!$R$6:$R$1048576,"&lt;"&amp;A10+TIME(8,0,0))</f>
        <v>4202</v>
      </c>
      <c r="F10" s="62">
        <v>2590</v>
      </c>
      <c r="G10" s="63">
        <v>112</v>
      </c>
      <c r="H10" s="49">
        <v>1</v>
      </c>
      <c r="I10" s="49" t="s">
        <v>3290</v>
      </c>
      <c r="J10" s="49" t="s">
        <v>3291</v>
      </c>
      <c r="K10" s="50">
        <f t="shared" ref="K10:K26" si="6">SUM(L10:T10)</f>
        <v>9</v>
      </c>
      <c r="L10" s="50">
        <v>1</v>
      </c>
      <c r="M10" s="50">
        <v>2</v>
      </c>
      <c r="N10" s="50">
        <v>1</v>
      </c>
      <c r="O10" s="50">
        <v>1</v>
      </c>
      <c r="P10" s="50">
        <v>2</v>
      </c>
      <c r="Q10" s="50"/>
      <c r="R10" s="50">
        <v>1</v>
      </c>
      <c r="S10" s="50">
        <v>1</v>
      </c>
      <c r="T10" s="49"/>
      <c r="U10" s="49" t="s">
        <v>3292</v>
      </c>
      <c r="V10" s="49"/>
      <c r="W10" s="50">
        <f t="shared" ref="W10:W26" si="7">SUM(X10:AD10)</f>
        <v>16</v>
      </c>
      <c r="X10" s="50">
        <v>1</v>
      </c>
      <c r="Y10" s="50">
        <v>8</v>
      </c>
      <c r="Z10" s="50">
        <v>6</v>
      </c>
      <c r="AA10" s="50"/>
      <c r="AB10" s="50"/>
      <c r="AC10" s="50">
        <v>1</v>
      </c>
      <c r="AD10" s="50"/>
      <c r="AE10" s="64" t="s">
        <v>3293</v>
      </c>
      <c r="AF10" s="49" t="s">
        <v>3294</v>
      </c>
      <c r="AG10" s="50">
        <f t="shared" ref="AG10:AG26" si="8">SUM(AH10:AO10)</f>
        <v>17</v>
      </c>
      <c r="AH10" s="50">
        <v>1</v>
      </c>
      <c r="AI10" s="50">
        <v>1</v>
      </c>
      <c r="AJ10" s="50">
        <v>7</v>
      </c>
      <c r="AK10" s="50">
        <v>3</v>
      </c>
      <c r="AL10" s="50"/>
      <c r="AM10" s="50">
        <v>1</v>
      </c>
      <c r="AN10" s="50">
        <v>1</v>
      </c>
      <c r="AO10" s="59">
        <v>3</v>
      </c>
      <c r="AP10" s="49" t="s">
        <v>3295</v>
      </c>
      <c r="AQ10" s="49"/>
      <c r="AR10" s="50">
        <f t="shared" ref="AR10:AR26" si="9">SUM(AS10:AZ10)</f>
        <v>16</v>
      </c>
      <c r="AS10" s="50">
        <v>1</v>
      </c>
      <c r="AT10" s="50">
        <v>1</v>
      </c>
      <c r="AU10" s="50">
        <v>7</v>
      </c>
      <c r="AV10" s="50">
        <v>3</v>
      </c>
      <c r="AW10" s="50">
        <v>1</v>
      </c>
      <c r="AX10" s="50">
        <v>1</v>
      </c>
      <c r="AY10" s="50"/>
      <c r="AZ10" s="59">
        <v>2</v>
      </c>
      <c r="BA10" s="50"/>
      <c r="BB10" s="50"/>
      <c r="BC10" s="50">
        <f t="shared" si="4"/>
        <v>4</v>
      </c>
      <c r="BD10" s="50">
        <v>2</v>
      </c>
      <c r="BE10" s="49">
        <v>2</v>
      </c>
      <c r="BF10" s="49">
        <v>1</v>
      </c>
      <c r="BG10" s="49"/>
      <c r="BH10" s="53">
        <f t="shared" ref="BH10:BH26" si="10">BC10+BA10+AR10+AG10+W10+K10+H10</f>
        <v>63</v>
      </c>
      <c r="BI10" s="61" t="s">
        <v>3296</v>
      </c>
      <c r="BJ10" s="61">
        <v>63</v>
      </c>
    </row>
    <row r="11" s="28" customFormat="1" customHeight="1" spans="1:62">
      <c r="A11" s="44">
        <f>'2'!A11+1</f>
        <v>46115</v>
      </c>
      <c r="B11" s="45" t="s">
        <v>3297</v>
      </c>
      <c r="C11" s="45" t="s">
        <v>3289</v>
      </c>
      <c r="D11" s="46" t="s">
        <v>22</v>
      </c>
      <c r="E11" s="47">
        <f>SUMIFS(卸车数据!$J$6:$J$1048576,卸车数据!$R$6:$R$1048576,"&gt;="&amp;A11+TIME(8,0,0),卸车数据!$R$6:$R$1048576,"&lt;"&amp;A11+TIME(9,0,0))</f>
        <v>2111</v>
      </c>
      <c r="F11" s="62">
        <v>2514</v>
      </c>
      <c r="G11" s="65">
        <v>6872</v>
      </c>
      <c r="H11" s="49">
        <v>1</v>
      </c>
      <c r="I11" s="49" t="s">
        <v>3290</v>
      </c>
      <c r="J11" s="49" t="s">
        <v>3291</v>
      </c>
      <c r="K11" s="50">
        <f t="shared" si="6"/>
        <v>9</v>
      </c>
      <c r="L11" s="50">
        <v>1</v>
      </c>
      <c r="M11" s="50">
        <v>2</v>
      </c>
      <c r="N11" s="50">
        <v>1</v>
      </c>
      <c r="O11" s="50">
        <v>1</v>
      </c>
      <c r="P11" s="50">
        <v>2</v>
      </c>
      <c r="Q11" s="50"/>
      <c r="R11" s="50">
        <v>1</v>
      </c>
      <c r="S11" s="49">
        <v>1</v>
      </c>
      <c r="T11" s="49"/>
      <c r="U11" s="49" t="s">
        <v>3298</v>
      </c>
      <c r="V11" s="49"/>
      <c r="W11" s="50">
        <f t="shared" si="7"/>
        <v>16</v>
      </c>
      <c r="X11" s="50">
        <v>1</v>
      </c>
      <c r="Y11" s="50">
        <v>8</v>
      </c>
      <c r="Z11" s="50">
        <v>6</v>
      </c>
      <c r="AA11" s="50"/>
      <c r="AB11" s="50"/>
      <c r="AC11" s="50">
        <v>1</v>
      </c>
      <c r="AD11" s="50"/>
      <c r="AE11" s="64" t="s">
        <v>3299</v>
      </c>
      <c r="AF11" s="49"/>
      <c r="AG11" s="50">
        <f t="shared" si="8"/>
        <v>17</v>
      </c>
      <c r="AH11" s="50">
        <v>1</v>
      </c>
      <c r="AI11" s="50">
        <v>1</v>
      </c>
      <c r="AJ11" s="50">
        <v>7</v>
      </c>
      <c r="AK11" s="50">
        <v>3</v>
      </c>
      <c r="AL11" s="50"/>
      <c r="AM11" s="50">
        <v>1</v>
      </c>
      <c r="AN11" s="50">
        <v>1</v>
      </c>
      <c r="AO11" s="59">
        <v>3</v>
      </c>
      <c r="AP11" s="49" t="s">
        <v>3300</v>
      </c>
      <c r="AQ11" s="49" t="s">
        <v>3301</v>
      </c>
      <c r="AR11" s="50">
        <f t="shared" si="9"/>
        <v>16</v>
      </c>
      <c r="AS11" s="50">
        <v>1</v>
      </c>
      <c r="AT11" s="50">
        <v>1</v>
      </c>
      <c r="AU11" s="50">
        <v>7</v>
      </c>
      <c r="AV11" s="50">
        <v>3</v>
      </c>
      <c r="AW11" s="50">
        <v>1</v>
      </c>
      <c r="AX11" s="50">
        <v>1</v>
      </c>
      <c r="AY11" s="49"/>
      <c r="AZ11" s="66">
        <v>2</v>
      </c>
      <c r="BA11" s="49"/>
      <c r="BB11" s="49"/>
      <c r="BC11" s="50">
        <f t="shared" si="4"/>
        <v>4</v>
      </c>
      <c r="BD11" s="50">
        <v>2</v>
      </c>
      <c r="BE11" s="49">
        <v>2</v>
      </c>
      <c r="BF11" s="49">
        <v>1</v>
      </c>
      <c r="BG11" s="53"/>
      <c r="BH11" s="53">
        <f t="shared" si="10"/>
        <v>63</v>
      </c>
      <c r="BI11" s="54"/>
      <c r="BJ11" s="54"/>
    </row>
    <row r="12" s="28" customFormat="1" customHeight="1" spans="1:62">
      <c r="A12" s="44">
        <f>'2'!A12+1</f>
        <v>46115</v>
      </c>
      <c r="B12" s="45" t="s">
        <v>3302</v>
      </c>
      <c r="C12" s="45" t="s">
        <v>3289</v>
      </c>
      <c r="D12" s="46" t="s">
        <v>22</v>
      </c>
      <c r="E12" s="47">
        <f>SUMIFS(卸车数据!$J$6:$J$1048576,卸车数据!$R$6:$R$1048576,"&gt;="&amp;A12+TIME(9,0,0),卸车数据!$R$6:$R$1048576,"&lt;"&amp;A12+TIME(10,0,0))</f>
        <v>0</v>
      </c>
      <c r="F12" s="47">
        <v>809</v>
      </c>
      <c r="G12" s="65">
        <v>3029</v>
      </c>
      <c r="H12" s="49">
        <v>1</v>
      </c>
      <c r="I12" s="49" t="s">
        <v>3303</v>
      </c>
      <c r="J12" s="49"/>
      <c r="K12" s="50">
        <f t="shared" si="6"/>
        <v>12</v>
      </c>
      <c r="L12" s="50">
        <v>1</v>
      </c>
      <c r="M12" s="50">
        <v>4</v>
      </c>
      <c r="N12" s="50">
        <v>2</v>
      </c>
      <c r="O12" s="50">
        <v>1</v>
      </c>
      <c r="P12" s="50">
        <v>2</v>
      </c>
      <c r="Q12" s="50">
        <v>1</v>
      </c>
      <c r="R12" s="50">
        <v>1</v>
      </c>
      <c r="S12" s="49"/>
      <c r="T12" s="49"/>
      <c r="U12" s="49" t="s">
        <v>3304</v>
      </c>
      <c r="V12" s="49"/>
      <c r="W12" s="50">
        <f t="shared" si="7"/>
        <v>18</v>
      </c>
      <c r="X12" s="50">
        <v>1</v>
      </c>
      <c r="Y12" s="50">
        <v>10</v>
      </c>
      <c r="Z12" s="50">
        <v>6</v>
      </c>
      <c r="AA12" s="50"/>
      <c r="AB12" s="50"/>
      <c r="AC12" s="50">
        <v>1</v>
      </c>
      <c r="AD12" s="50"/>
      <c r="AE12" s="64" t="s">
        <v>3305</v>
      </c>
      <c r="AF12" s="49"/>
      <c r="AG12" s="50">
        <f t="shared" si="8"/>
        <v>14</v>
      </c>
      <c r="AH12" s="50">
        <v>1</v>
      </c>
      <c r="AI12" s="50">
        <v>1</v>
      </c>
      <c r="AJ12" s="50">
        <v>7</v>
      </c>
      <c r="AK12" s="50">
        <v>3</v>
      </c>
      <c r="AL12" s="50"/>
      <c r="AM12" s="50">
        <v>1</v>
      </c>
      <c r="AN12" s="50">
        <v>1</v>
      </c>
      <c r="AO12" s="50"/>
      <c r="AP12" s="49" t="s">
        <v>3300</v>
      </c>
      <c r="AQ12" s="49" t="s">
        <v>3301</v>
      </c>
      <c r="AR12" s="50">
        <f t="shared" si="9"/>
        <v>14</v>
      </c>
      <c r="AS12" s="50">
        <v>1</v>
      </c>
      <c r="AT12" s="50">
        <v>1</v>
      </c>
      <c r="AU12" s="50">
        <v>7</v>
      </c>
      <c r="AV12" s="50">
        <v>3</v>
      </c>
      <c r="AW12" s="50">
        <v>1</v>
      </c>
      <c r="AX12" s="50">
        <v>1</v>
      </c>
      <c r="AY12" s="49"/>
      <c r="AZ12" s="49"/>
      <c r="BA12" s="49"/>
      <c r="BB12" s="49"/>
      <c r="BC12" s="50">
        <f t="shared" si="4"/>
        <v>4</v>
      </c>
      <c r="BD12" s="50">
        <v>2</v>
      </c>
      <c r="BE12" s="49">
        <v>2</v>
      </c>
      <c r="BF12" s="49">
        <v>1</v>
      </c>
      <c r="BG12" s="53"/>
      <c r="BH12" s="53">
        <f t="shared" si="10"/>
        <v>63</v>
      </c>
      <c r="BI12" s="54"/>
      <c r="BJ12" s="54"/>
    </row>
    <row r="13" s="28" customFormat="1" customHeight="1" spans="1:62">
      <c r="A13" s="44">
        <f>'2'!A13+1</f>
        <v>46115</v>
      </c>
      <c r="B13" s="45" t="s">
        <v>3306</v>
      </c>
      <c r="C13" s="45" t="s">
        <v>3289</v>
      </c>
      <c r="D13" s="46" t="s">
        <v>22</v>
      </c>
      <c r="E13" s="47">
        <f>SUMIFS(卸车数据!$J$6:$J$1048576,卸车数据!$R$6:$R$1048576,"&gt;="&amp;A13+TIME(10,0,0),卸车数据!$R$6:$R$1048576,"&lt;"&amp;A13+TIME(11,0,0))</f>
        <v>2075</v>
      </c>
      <c r="F13" s="47">
        <v>2197</v>
      </c>
      <c r="G13" s="65">
        <v>7780</v>
      </c>
      <c r="H13" s="49">
        <v>1</v>
      </c>
      <c r="I13" s="64" t="s">
        <v>3307</v>
      </c>
      <c r="J13" s="49"/>
      <c r="K13" s="50">
        <f t="shared" si="6"/>
        <v>12</v>
      </c>
      <c r="L13" s="50">
        <v>1</v>
      </c>
      <c r="M13" s="50">
        <v>4</v>
      </c>
      <c r="N13" s="50">
        <v>2</v>
      </c>
      <c r="O13" s="50">
        <v>1</v>
      </c>
      <c r="P13" s="50">
        <v>2</v>
      </c>
      <c r="Q13" s="50">
        <v>1</v>
      </c>
      <c r="R13" s="50">
        <v>1</v>
      </c>
      <c r="S13" s="49"/>
      <c r="T13" s="49"/>
      <c r="U13" s="49" t="s">
        <v>3308</v>
      </c>
      <c r="V13" s="49"/>
      <c r="W13" s="50">
        <f t="shared" si="7"/>
        <v>18</v>
      </c>
      <c r="X13" s="50">
        <v>1</v>
      </c>
      <c r="Y13" s="50">
        <v>10</v>
      </c>
      <c r="Z13" s="50">
        <v>6</v>
      </c>
      <c r="AA13" s="50"/>
      <c r="AB13" s="50"/>
      <c r="AC13" s="50">
        <v>1</v>
      </c>
      <c r="AD13" s="50"/>
      <c r="AE13" s="64" t="s">
        <v>3309</v>
      </c>
      <c r="AF13" s="49"/>
      <c r="AG13" s="50">
        <f t="shared" si="8"/>
        <v>14</v>
      </c>
      <c r="AH13" s="50">
        <v>1</v>
      </c>
      <c r="AI13" s="50">
        <v>1</v>
      </c>
      <c r="AJ13" s="50">
        <v>7</v>
      </c>
      <c r="AK13" s="50">
        <v>3</v>
      </c>
      <c r="AL13" s="50"/>
      <c r="AM13" s="50">
        <v>1</v>
      </c>
      <c r="AN13" s="50">
        <v>1</v>
      </c>
      <c r="AO13" s="50"/>
      <c r="AP13" s="49" t="s">
        <v>3300</v>
      </c>
      <c r="AQ13" s="49" t="s">
        <v>3301</v>
      </c>
      <c r="AR13" s="50">
        <f t="shared" si="9"/>
        <v>14</v>
      </c>
      <c r="AS13" s="50">
        <v>1</v>
      </c>
      <c r="AT13" s="50">
        <v>1</v>
      </c>
      <c r="AU13" s="50">
        <v>7</v>
      </c>
      <c r="AV13" s="50">
        <v>3</v>
      </c>
      <c r="AW13" s="50">
        <v>1</v>
      </c>
      <c r="AX13" s="50">
        <v>1</v>
      </c>
      <c r="AY13" s="49"/>
      <c r="AZ13" s="49"/>
      <c r="BA13" s="49"/>
      <c r="BB13" s="49"/>
      <c r="BC13" s="50">
        <f t="shared" si="4"/>
        <v>4</v>
      </c>
      <c r="BD13" s="50">
        <v>2</v>
      </c>
      <c r="BE13" s="49">
        <v>2</v>
      </c>
      <c r="BF13" s="49">
        <v>1</v>
      </c>
      <c r="BG13" s="53"/>
      <c r="BH13" s="53">
        <f t="shared" si="10"/>
        <v>63</v>
      </c>
      <c r="BI13" s="54"/>
      <c r="BJ13" s="54"/>
    </row>
    <row r="14" s="29" customFormat="1" customHeight="1" spans="1:62">
      <c r="A14" s="44">
        <f>'2'!A14+1</f>
        <v>46115</v>
      </c>
      <c r="B14" s="55" t="s">
        <v>3310</v>
      </c>
      <c r="C14" s="55" t="s">
        <v>3289</v>
      </c>
      <c r="D14" s="55" t="s">
        <v>3311</v>
      </c>
      <c r="E14" s="47">
        <f>SUMIFS(卸车数据!$J$6:$J$1048576,卸车数据!$R$6:$R$1048576,"&gt;="&amp;A14+TIME(11,0,0),卸车数据!$R$6:$R$1048576,"&lt;"&amp;A14+TIME(12,0,0))</f>
        <v>10832</v>
      </c>
      <c r="F14" s="47">
        <v>2252</v>
      </c>
      <c r="G14" s="67">
        <v>4041</v>
      </c>
      <c r="H14" s="51">
        <v>1</v>
      </c>
      <c r="I14" s="68" t="s">
        <v>3312</v>
      </c>
      <c r="J14" s="51"/>
      <c r="K14" s="58">
        <f t="shared" si="6"/>
        <v>15</v>
      </c>
      <c r="L14" s="58">
        <v>1</v>
      </c>
      <c r="M14" s="51">
        <v>5</v>
      </c>
      <c r="N14" s="51">
        <v>5</v>
      </c>
      <c r="O14" s="51"/>
      <c r="P14" s="51">
        <v>4</v>
      </c>
      <c r="Q14" s="51"/>
      <c r="R14" s="51"/>
      <c r="S14" s="51"/>
      <c r="T14" s="51"/>
      <c r="U14" s="51" t="s">
        <v>3313</v>
      </c>
      <c r="V14" s="51"/>
      <c r="W14" s="58">
        <f t="shared" si="7"/>
        <v>20</v>
      </c>
      <c r="X14" s="58">
        <v>1</v>
      </c>
      <c r="Y14" s="58">
        <v>10</v>
      </c>
      <c r="Z14" s="58">
        <v>7</v>
      </c>
      <c r="AA14" s="58"/>
      <c r="AB14" s="58"/>
      <c r="AC14" s="58">
        <v>2</v>
      </c>
      <c r="AD14" s="58"/>
      <c r="AE14" s="68" t="s">
        <v>3314</v>
      </c>
      <c r="AF14" s="51"/>
      <c r="AG14" s="58">
        <f t="shared" si="8"/>
        <v>17</v>
      </c>
      <c r="AH14" s="58">
        <v>1</v>
      </c>
      <c r="AI14" s="58">
        <v>1</v>
      </c>
      <c r="AJ14" s="58">
        <v>5</v>
      </c>
      <c r="AK14" s="58">
        <v>8</v>
      </c>
      <c r="AL14" s="58"/>
      <c r="AM14" s="58">
        <v>1</v>
      </c>
      <c r="AN14" s="58">
        <v>1</v>
      </c>
      <c r="AO14" s="58"/>
      <c r="AP14" s="51" t="s">
        <v>3315</v>
      </c>
      <c r="AQ14" s="51" t="s">
        <v>3316</v>
      </c>
      <c r="AR14" s="58">
        <f t="shared" si="9"/>
        <v>14</v>
      </c>
      <c r="AS14" s="58">
        <v>1</v>
      </c>
      <c r="AT14" s="58">
        <v>1</v>
      </c>
      <c r="AU14" s="58">
        <v>7</v>
      </c>
      <c r="AV14" s="58">
        <v>3</v>
      </c>
      <c r="AW14" s="58">
        <v>1</v>
      </c>
      <c r="AX14" s="58">
        <v>1</v>
      </c>
      <c r="AY14" s="51"/>
      <c r="AZ14" s="51"/>
      <c r="BA14" s="51"/>
      <c r="BB14" s="51"/>
      <c r="BC14" s="50">
        <f t="shared" si="4"/>
        <v>4</v>
      </c>
      <c r="BD14" s="58">
        <v>2</v>
      </c>
      <c r="BE14" s="49">
        <v>2</v>
      </c>
      <c r="BF14" s="49">
        <v>1</v>
      </c>
      <c r="BG14" s="69"/>
      <c r="BH14" s="53">
        <f t="shared" si="10"/>
        <v>71</v>
      </c>
      <c r="BI14" s="61" t="s">
        <v>3317</v>
      </c>
      <c r="BJ14" s="61">
        <v>8</v>
      </c>
    </row>
    <row r="15" s="28" customFormat="1" customHeight="1" spans="1:62">
      <c r="A15" s="44">
        <f>'2'!A15+1</f>
        <v>46115</v>
      </c>
      <c r="B15" s="45" t="s">
        <v>3318</v>
      </c>
      <c r="C15" s="45" t="s">
        <v>3289</v>
      </c>
      <c r="D15" s="70" t="s">
        <v>3319</v>
      </c>
      <c r="E15" s="47">
        <f>SUMIFS(卸车数据!$J$6:$J$1048576,卸车数据!$R$6:$R$1048576,"&gt;="&amp;A15+TIME(12,0,0),卸车数据!$R$6:$R$1048576,"&lt;"&amp;A15+TIME(13,0,0))</f>
        <v>7393</v>
      </c>
      <c r="F15" s="49">
        <v>7628</v>
      </c>
      <c r="G15" s="65">
        <v>48</v>
      </c>
      <c r="H15" s="49">
        <v>1</v>
      </c>
      <c r="I15" s="49" t="s">
        <v>3320</v>
      </c>
      <c r="J15" s="49" t="s">
        <v>3321</v>
      </c>
      <c r="K15" s="50">
        <f t="shared" si="6"/>
        <v>19</v>
      </c>
      <c r="L15" s="50">
        <v>1</v>
      </c>
      <c r="M15" s="49">
        <v>5</v>
      </c>
      <c r="N15" s="49">
        <v>5</v>
      </c>
      <c r="O15" s="49"/>
      <c r="P15" s="49">
        <v>3</v>
      </c>
      <c r="Q15" s="49"/>
      <c r="R15" s="49"/>
      <c r="S15" s="49"/>
      <c r="T15" s="66">
        <v>5</v>
      </c>
      <c r="U15" s="49" t="s">
        <v>3322</v>
      </c>
      <c r="V15" s="49" t="s">
        <v>3323</v>
      </c>
      <c r="W15" s="50">
        <f t="shared" si="7"/>
        <v>4</v>
      </c>
      <c r="X15" s="50">
        <v>1</v>
      </c>
      <c r="Y15" s="49"/>
      <c r="Z15" s="49"/>
      <c r="AA15" s="49">
        <v>1</v>
      </c>
      <c r="AB15" s="49"/>
      <c r="AC15" s="58">
        <v>2</v>
      </c>
      <c r="AD15" s="49"/>
      <c r="AE15" s="64" t="s">
        <v>3324</v>
      </c>
      <c r="AF15" s="49"/>
      <c r="AG15" s="50">
        <f t="shared" si="8"/>
        <v>26</v>
      </c>
      <c r="AH15" s="50">
        <v>1</v>
      </c>
      <c r="AI15" s="50">
        <v>3</v>
      </c>
      <c r="AJ15" s="49">
        <v>5</v>
      </c>
      <c r="AK15" s="50">
        <v>7</v>
      </c>
      <c r="AL15" s="49"/>
      <c r="AM15" s="49"/>
      <c r="AN15" s="49"/>
      <c r="AO15" s="66">
        <v>10</v>
      </c>
      <c r="AP15" s="49" t="s">
        <v>3325</v>
      </c>
      <c r="AQ15" s="49" t="s">
        <v>3326</v>
      </c>
      <c r="AR15" s="50">
        <f t="shared" si="9"/>
        <v>17</v>
      </c>
      <c r="AS15" s="50">
        <v>1</v>
      </c>
      <c r="AT15" s="50">
        <v>1</v>
      </c>
      <c r="AU15" s="50">
        <v>7</v>
      </c>
      <c r="AV15" s="50">
        <v>3</v>
      </c>
      <c r="AW15" s="50">
        <v>1</v>
      </c>
      <c r="AX15" s="50"/>
      <c r="AY15" s="49"/>
      <c r="AZ15" s="66">
        <v>4</v>
      </c>
      <c r="BA15" s="49"/>
      <c r="BB15" s="49"/>
      <c r="BC15" s="50">
        <f t="shared" si="4"/>
        <v>4</v>
      </c>
      <c r="BD15" s="50">
        <v>2</v>
      </c>
      <c r="BE15" s="49">
        <v>2</v>
      </c>
      <c r="BF15" s="49">
        <v>1</v>
      </c>
      <c r="BG15" s="53"/>
      <c r="BH15" s="53">
        <f t="shared" si="10"/>
        <v>71</v>
      </c>
      <c r="BI15" s="54"/>
      <c r="BJ15" s="54"/>
    </row>
    <row r="16" s="28" customFormat="1" customHeight="1" spans="1:62">
      <c r="A16" s="44">
        <f>'2'!A16+1</f>
        <v>46115</v>
      </c>
      <c r="B16" s="45" t="s">
        <v>3327</v>
      </c>
      <c r="C16" s="45" t="s">
        <v>3289</v>
      </c>
      <c r="D16" s="70" t="s">
        <v>3319</v>
      </c>
      <c r="E16" s="47">
        <f>SUMIFS(卸车数据!$J$6:$J$1048576,卸车数据!$R$6:$R$1048576,"&gt;="&amp;A16+TIME(13,0,0),卸车数据!$R$6:$R$1048576,"&lt;"&amp;A16+TIME(14,0,0))</f>
        <v>9205</v>
      </c>
      <c r="F16" s="49">
        <v>4560</v>
      </c>
      <c r="G16" s="65">
        <v>4912</v>
      </c>
      <c r="H16" s="49">
        <v>1</v>
      </c>
      <c r="I16" s="49" t="s">
        <v>3320</v>
      </c>
      <c r="J16" s="49" t="s">
        <v>3328</v>
      </c>
      <c r="K16" s="50">
        <f t="shared" si="6"/>
        <v>12</v>
      </c>
      <c r="L16" s="50">
        <v>1</v>
      </c>
      <c r="M16" s="49">
        <v>3</v>
      </c>
      <c r="N16" s="49">
        <v>5</v>
      </c>
      <c r="O16" s="49"/>
      <c r="P16" s="49">
        <v>3</v>
      </c>
      <c r="Q16" s="49"/>
      <c r="R16" s="49"/>
      <c r="S16" s="49"/>
      <c r="T16" s="49"/>
      <c r="U16" s="49" t="s">
        <v>3329</v>
      </c>
      <c r="V16" s="49"/>
      <c r="W16" s="50">
        <f t="shared" si="7"/>
        <v>23</v>
      </c>
      <c r="X16" s="50">
        <v>1</v>
      </c>
      <c r="Y16" s="49">
        <v>12</v>
      </c>
      <c r="Z16" s="49">
        <v>8</v>
      </c>
      <c r="AA16" s="49"/>
      <c r="AB16" s="49"/>
      <c r="AC16" s="58">
        <v>2</v>
      </c>
      <c r="AD16" s="49"/>
      <c r="AE16" s="49" t="s">
        <v>3330</v>
      </c>
      <c r="AF16" s="49"/>
      <c r="AG16" s="50">
        <f t="shared" si="8"/>
        <v>18</v>
      </c>
      <c r="AH16" s="50">
        <v>1</v>
      </c>
      <c r="AI16" s="50">
        <v>1</v>
      </c>
      <c r="AJ16" s="50">
        <v>5</v>
      </c>
      <c r="AK16" s="50">
        <v>7</v>
      </c>
      <c r="AL16" s="50"/>
      <c r="AM16" s="50">
        <v>1</v>
      </c>
      <c r="AN16" s="50">
        <v>1</v>
      </c>
      <c r="AO16" s="66">
        <v>2</v>
      </c>
      <c r="AP16" s="49" t="s">
        <v>3325</v>
      </c>
      <c r="AQ16" s="49" t="s">
        <v>3326</v>
      </c>
      <c r="AR16" s="50">
        <f t="shared" si="9"/>
        <v>13</v>
      </c>
      <c r="AS16" s="50">
        <v>1</v>
      </c>
      <c r="AT16" s="50">
        <v>1</v>
      </c>
      <c r="AU16" s="50">
        <v>7</v>
      </c>
      <c r="AV16" s="50">
        <v>3</v>
      </c>
      <c r="AW16" s="50">
        <v>1</v>
      </c>
      <c r="AX16" s="50"/>
      <c r="AY16" s="49"/>
      <c r="AZ16" s="49"/>
      <c r="BA16" s="49"/>
      <c r="BB16" s="49"/>
      <c r="BC16" s="50">
        <f t="shared" si="4"/>
        <v>4</v>
      </c>
      <c r="BD16" s="50">
        <v>2</v>
      </c>
      <c r="BE16" s="49">
        <v>2</v>
      </c>
      <c r="BF16" s="49">
        <v>1</v>
      </c>
      <c r="BG16" s="53"/>
      <c r="BH16" s="53">
        <f t="shared" si="10"/>
        <v>71</v>
      </c>
      <c r="BI16" s="54"/>
      <c r="BJ16" s="54"/>
    </row>
    <row r="17" s="28" customFormat="1" customHeight="1" spans="1:62">
      <c r="A17" s="44">
        <f>'2'!A17+1</f>
        <v>46115</v>
      </c>
      <c r="B17" s="45" t="s">
        <v>3331</v>
      </c>
      <c r="C17" s="45" t="s">
        <v>3289</v>
      </c>
      <c r="D17" s="70" t="s">
        <v>3319</v>
      </c>
      <c r="E17" s="47">
        <f>SUMIFS(卸车数据!$J$6:$J$1048576,卸车数据!$R$6:$R$1048576,"&gt;="&amp;A17+TIME(14,0,0),卸车数据!$R$6:$R$1048576,"&lt;"&amp;A17+TIME(15,0,0))</f>
        <v>5625</v>
      </c>
      <c r="F17" s="49">
        <v>1607</v>
      </c>
      <c r="G17" s="65">
        <v>8598</v>
      </c>
      <c r="H17" s="49">
        <v>1</v>
      </c>
      <c r="I17" s="49" t="s">
        <v>3332</v>
      </c>
      <c r="J17" s="49" t="s">
        <v>3333</v>
      </c>
      <c r="K17" s="50">
        <f t="shared" si="6"/>
        <v>12</v>
      </c>
      <c r="L17" s="50">
        <v>1</v>
      </c>
      <c r="M17" s="49">
        <v>3</v>
      </c>
      <c r="N17" s="49">
        <v>5</v>
      </c>
      <c r="O17" s="49"/>
      <c r="P17" s="49">
        <v>3</v>
      </c>
      <c r="Q17" s="49"/>
      <c r="R17" s="49"/>
      <c r="S17" s="49"/>
      <c r="T17" s="49"/>
      <c r="U17" s="49" t="s">
        <v>3329</v>
      </c>
      <c r="V17" s="49"/>
      <c r="W17" s="50">
        <f t="shared" si="7"/>
        <v>23</v>
      </c>
      <c r="X17" s="50">
        <v>1</v>
      </c>
      <c r="Y17" s="49">
        <v>12</v>
      </c>
      <c r="Z17" s="49">
        <v>8</v>
      </c>
      <c r="AA17" s="49"/>
      <c r="AB17" s="49"/>
      <c r="AC17" s="58">
        <v>2</v>
      </c>
      <c r="AD17" s="49"/>
      <c r="AE17" s="49"/>
      <c r="AF17" s="49"/>
      <c r="AG17" s="50">
        <f t="shared" si="8"/>
        <v>18</v>
      </c>
      <c r="AH17" s="50">
        <v>1</v>
      </c>
      <c r="AI17" s="50">
        <v>1</v>
      </c>
      <c r="AJ17" s="50">
        <v>5</v>
      </c>
      <c r="AK17" s="50">
        <v>7</v>
      </c>
      <c r="AL17" s="50"/>
      <c r="AM17" s="50">
        <v>1</v>
      </c>
      <c r="AN17" s="50">
        <v>1</v>
      </c>
      <c r="AO17" s="66">
        <v>2</v>
      </c>
      <c r="AP17" s="49" t="s">
        <v>3325</v>
      </c>
      <c r="AQ17" s="49" t="s">
        <v>3326</v>
      </c>
      <c r="AR17" s="50">
        <f t="shared" si="9"/>
        <v>13</v>
      </c>
      <c r="AS17" s="50">
        <v>1</v>
      </c>
      <c r="AT17" s="50">
        <v>1</v>
      </c>
      <c r="AU17" s="50">
        <v>7</v>
      </c>
      <c r="AV17" s="50">
        <v>3</v>
      </c>
      <c r="AW17" s="50">
        <v>1</v>
      </c>
      <c r="AX17" s="50"/>
      <c r="AY17" s="49"/>
      <c r="AZ17" s="49"/>
      <c r="BA17" s="49"/>
      <c r="BB17" s="49"/>
      <c r="BC17" s="50">
        <f t="shared" si="4"/>
        <v>4</v>
      </c>
      <c r="BD17" s="50">
        <v>2</v>
      </c>
      <c r="BE17" s="49">
        <v>2</v>
      </c>
      <c r="BF17" s="49">
        <v>1</v>
      </c>
      <c r="BG17" s="53"/>
      <c r="BH17" s="53">
        <f t="shared" si="10"/>
        <v>71</v>
      </c>
      <c r="BI17" s="54"/>
      <c r="BJ17" s="54"/>
    </row>
    <row r="18" s="28" customFormat="1" customHeight="1" spans="1:62">
      <c r="A18" s="44">
        <f>'2'!A18+1</f>
        <v>46115</v>
      </c>
      <c r="B18" s="45" t="s">
        <v>3334</v>
      </c>
      <c r="C18" s="45" t="s">
        <v>3289</v>
      </c>
      <c r="D18" s="46" t="s">
        <v>22</v>
      </c>
      <c r="E18" s="47">
        <f>SUMIFS(卸车数据!$J$6:$J$1048576,卸车数据!$R$6:$R$1048576,"&gt;="&amp;A18+TIME(15,0,0),卸车数据!$R$6:$R$1048576,"&lt;"&amp;A18+TIME(16,0,0))</f>
        <v>0</v>
      </c>
      <c r="F18" s="49">
        <v>3839</v>
      </c>
      <c r="G18" s="65">
        <v>10763</v>
      </c>
      <c r="H18" s="49">
        <v>1</v>
      </c>
      <c r="I18" s="49" t="s">
        <v>3335</v>
      </c>
      <c r="J18" s="49" t="s">
        <v>3336</v>
      </c>
      <c r="K18" s="50">
        <f t="shared" si="6"/>
        <v>12</v>
      </c>
      <c r="L18" s="50">
        <v>1</v>
      </c>
      <c r="M18" s="49">
        <v>5</v>
      </c>
      <c r="N18" s="49">
        <v>2</v>
      </c>
      <c r="O18" s="49"/>
      <c r="P18" s="49">
        <v>2</v>
      </c>
      <c r="Q18" s="49"/>
      <c r="R18" s="49">
        <v>2</v>
      </c>
      <c r="S18" s="49"/>
      <c r="T18" s="49"/>
      <c r="U18" s="49" t="s">
        <v>3337</v>
      </c>
      <c r="V18" s="49"/>
      <c r="W18" s="50">
        <f t="shared" si="7"/>
        <v>23</v>
      </c>
      <c r="X18" s="50">
        <v>1</v>
      </c>
      <c r="Y18" s="49">
        <v>12</v>
      </c>
      <c r="Z18" s="49">
        <v>8</v>
      </c>
      <c r="AA18" s="49"/>
      <c r="AB18" s="49"/>
      <c r="AC18" s="58">
        <v>2</v>
      </c>
      <c r="AD18" s="49"/>
      <c r="AE18" s="49" t="s">
        <v>3338</v>
      </c>
      <c r="AF18" s="49"/>
      <c r="AG18" s="50">
        <f t="shared" si="8"/>
        <v>18</v>
      </c>
      <c r="AH18" s="50">
        <v>1</v>
      </c>
      <c r="AI18" s="50">
        <v>1</v>
      </c>
      <c r="AJ18" s="50">
        <v>5</v>
      </c>
      <c r="AK18" s="50">
        <v>7</v>
      </c>
      <c r="AL18" s="50"/>
      <c r="AM18" s="50">
        <v>1</v>
      </c>
      <c r="AN18" s="50">
        <v>1</v>
      </c>
      <c r="AO18" s="66">
        <v>2</v>
      </c>
      <c r="AP18" s="49" t="s">
        <v>3325</v>
      </c>
      <c r="AQ18" s="49" t="s">
        <v>3326</v>
      </c>
      <c r="AR18" s="50">
        <f t="shared" si="9"/>
        <v>13</v>
      </c>
      <c r="AS18" s="50">
        <v>1</v>
      </c>
      <c r="AT18" s="50">
        <v>1</v>
      </c>
      <c r="AU18" s="50">
        <v>7</v>
      </c>
      <c r="AV18" s="50">
        <v>3</v>
      </c>
      <c r="AW18" s="50">
        <v>1</v>
      </c>
      <c r="AX18" s="50"/>
      <c r="AY18" s="49"/>
      <c r="AZ18" s="49"/>
      <c r="BA18" s="49"/>
      <c r="BB18" s="49"/>
      <c r="BC18" s="50">
        <f t="shared" si="4"/>
        <v>4</v>
      </c>
      <c r="BD18" s="50">
        <v>2</v>
      </c>
      <c r="BE18" s="49">
        <v>2</v>
      </c>
      <c r="BF18" s="49">
        <v>1</v>
      </c>
      <c r="BG18" s="53"/>
      <c r="BH18" s="53">
        <f t="shared" si="10"/>
        <v>71</v>
      </c>
      <c r="BI18" s="54"/>
      <c r="BJ18" s="54"/>
    </row>
    <row r="19" s="28" customFormat="1" customHeight="1" spans="1:62">
      <c r="A19" s="44">
        <f>'2'!A19+1</f>
        <v>46115</v>
      </c>
      <c r="B19" s="45" t="s">
        <v>3339</v>
      </c>
      <c r="C19" s="45" t="s">
        <v>3289</v>
      </c>
      <c r="D19" s="46" t="s">
        <v>22</v>
      </c>
      <c r="E19" s="47">
        <f>SUMIFS(卸车数据!$J$6:$J$1048576,卸车数据!$R$6:$R$1048576,"&gt;="&amp;A19+TIME(16,0,0),卸车数据!$R$6:$R$1048576,"&lt;"&amp;A19+TIME(17,0,0))</f>
        <v>9714</v>
      </c>
      <c r="F19" s="49">
        <v>2381</v>
      </c>
      <c r="G19" s="65">
        <v>9366</v>
      </c>
      <c r="H19" s="49">
        <v>1</v>
      </c>
      <c r="I19" s="49" t="s">
        <v>3335</v>
      </c>
      <c r="J19" s="49" t="s">
        <v>3336</v>
      </c>
      <c r="K19" s="50">
        <f t="shared" si="6"/>
        <v>12</v>
      </c>
      <c r="L19" s="50">
        <v>1</v>
      </c>
      <c r="M19" s="49">
        <v>5</v>
      </c>
      <c r="N19" s="49">
        <v>2</v>
      </c>
      <c r="O19" s="49"/>
      <c r="P19" s="49">
        <v>2</v>
      </c>
      <c r="Q19" s="49"/>
      <c r="R19" s="49">
        <v>2</v>
      </c>
      <c r="S19" s="49"/>
      <c r="T19" s="49"/>
      <c r="U19" s="49" t="s">
        <v>3340</v>
      </c>
      <c r="V19" s="49"/>
      <c r="W19" s="50">
        <f t="shared" si="7"/>
        <v>23</v>
      </c>
      <c r="X19" s="50">
        <v>1</v>
      </c>
      <c r="Y19" s="49">
        <v>12</v>
      </c>
      <c r="Z19" s="49">
        <v>8</v>
      </c>
      <c r="AA19" s="49"/>
      <c r="AB19" s="49"/>
      <c r="AC19" s="58">
        <v>2</v>
      </c>
      <c r="AD19" s="49"/>
      <c r="AE19" s="49" t="s">
        <v>3341</v>
      </c>
      <c r="AF19" s="49"/>
      <c r="AG19" s="50">
        <f t="shared" si="8"/>
        <v>18</v>
      </c>
      <c r="AH19" s="50">
        <v>1</v>
      </c>
      <c r="AI19" s="50">
        <v>1</v>
      </c>
      <c r="AJ19" s="50">
        <v>5</v>
      </c>
      <c r="AK19" s="50">
        <v>7</v>
      </c>
      <c r="AL19" s="50"/>
      <c r="AM19" s="50">
        <v>1</v>
      </c>
      <c r="AN19" s="50">
        <v>1</v>
      </c>
      <c r="AO19" s="66">
        <v>2</v>
      </c>
      <c r="AP19" s="49" t="s">
        <v>3342</v>
      </c>
      <c r="AQ19" s="49" t="s">
        <v>3343</v>
      </c>
      <c r="AR19" s="50">
        <f t="shared" si="9"/>
        <v>13</v>
      </c>
      <c r="AS19" s="50">
        <v>1</v>
      </c>
      <c r="AT19" s="50">
        <v>1</v>
      </c>
      <c r="AU19" s="50">
        <v>7</v>
      </c>
      <c r="AV19" s="50">
        <v>3</v>
      </c>
      <c r="AW19" s="50">
        <v>1</v>
      </c>
      <c r="AX19" s="50"/>
      <c r="AY19" s="49"/>
      <c r="AZ19" s="49"/>
      <c r="BA19" s="49"/>
      <c r="BB19" s="49"/>
      <c r="BC19" s="50">
        <f t="shared" si="4"/>
        <v>4</v>
      </c>
      <c r="BD19" s="50">
        <v>2</v>
      </c>
      <c r="BE19" s="49">
        <v>2</v>
      </c>
      <c r="BF19" s="49">
        <v>1</v>
      </c>
      <c r="BG19" s="53"/>
      <c r="BH19" s="53">
        <f t="shared" si="10"/>
        <v>71</v>
      </c>
      <c r="BI19" s="54"/>
      <c r="BJ19" s="54"/>
    </row>
    <row r="20" s="28" customFormat="1" customHeight="1" spans="1:62">
      <c r="A20" s="44">
        <f>'2'!A20+1</f>
        <v>46115</v>
      </c>
      <c r="B20" s="45" t="s">
        <v>3344</v>
      </c>
      <c r="C20" s="45" t="s">
        <v>3289</v>
      </c>
      <c r="D20" s="70" t="s">
        <v>3319</v>
      </c>
      <c r="E20" s="47">
        <f>SUMIFS(卸车数据!$J$6:$J$1048576,卸车数据!$R$6:$R$1048576,"&gt;="&amp;A20+TIME(17,0,0),卸车数据!$R$6:$R$1048576,"&lt;"&amp;A20+TIME(18,0,0))</f>
        <v>2985</v>
      </c>
      <c r="F20" s="49">
        <v>2276</v>
      </c>
      <c r="G20" s="65">
        <v>64</v>
      </c>
      <c r="H20" s="49">
        <v>1</v>
      </c>
      <c r="I20" s="49" t="s">
        <v>3335</v>
      </c>
      <c r="J20" s="49" t="s">
        <v>3336</v>
      </c>
      <c r="K20" s="50">
        <f t="shared" si="6"/>
        <v>12</v>
      </c>
      <c r="L20" s="50">
        <v>1</v>
      </c>
      <c r="M20" s="49">
        <v>5</v>
      </c>
      <c r="N20" s="49">
        <v>2</v>
      </c>
      <c r="O20" s="49"/>
      <c r="P20" s="49">
        <v>2</v>
      </c>
      <c r="Q20" s="49"/>
      <c r="R20" s="49">
        <v>2</v>
      </c>
      <c r="S20" s="49"/>
      <c r="T20" s="49"/>
      <c r="U20" s="49" t="s">
        <v>3345</v>
      </c>
      <c r="V20" s="49"/>
      <c r="W20" s="50">
        <f t="shared" si="7"/>
        <v>23</v>
      </c>
      <c r="X20" s="50">
        <v>1</v>
      </c>
      <c r="Y20" s="49">
        <v>12</v>
      </c>
      <c r="Z20" s="49">
        <v>8</v>
      </c>
      <c r="AA20" s="49"/>
      <c r="AB20" s="49"/>
      <c r="AC20" s="58">
        <v>2</v>
      </c>
      <c r="AD20" s="49"/>
      <c r="AE20" s="49" t="s">
        <v>3346</v>
      </c>
      <c r="AF20" s="49"/>
      <c r="AG20" s="50">
        <f t="shared" si="8"/>
        <v>18</v>
      </c>
      <c r="AH20" s="50">
        <v>1</v>
      </c>
      <c r="AI20" s="50">
        <v>1</v>
      </c>
      <c r="AJ20" s="50">
        <v>5</v>
      </c>
      <c r="AK20" s="50">
        <v>7</v>
      </c>
      <c r="AL20" s="50"/>
      <c r="AM20" s="50">
        <v>1</v>
      </c>
      <c r="AN20" s="50">
        <v>1</v>
      </c>
      <c r="AO20" s="66">
        <v>2</v>
      </c>
      <c r="AP20" s="49" t="s">
        <v>3342</v>
      </c>
      <c r="AQ20" s="49" t="s">
        <v>3343</v>
      </c>
      <c r="AR20" s="50">
        <f t="shared" si="9"/>
        <v>13</v>
      </c>
      <c r="AS20" s="50">
        <v>1</v>
      </c>
      <c r="AT20" s="50">
        <v>1</v>
      </c>
      <c r="AU20" s="50">
        <v>7</v>
      </c>
      <c r="AV20" s="50">
        <v>3</v>
      </c>
      <c r="AW20" s="50">
        <v>1</v>
      </c>
      <c r="AX20" s="50"/>
      <c r="AY20" s="49"/>
      <c r="AZ20" s="49"/>
      <c r="BA20" s="49"/>
      <c r="BB20" s="49"/>
      <c r="BC20" s="50">
        <f t="shared" si="4"/>
        <v>4</v>
      </c>
      <c r="BD20" s="50">
        <v>2</v>
      </c>
      <c r="BE20" s="49">
        <v>2</v>
      </c>
      <c r="BF20" s="49">
        <v>1</v>
      </c>
      <c r="BG20" s="53"/>
      <c r="BH20" s="53">
        <f t="shared" si="10"/>
        <v>71</v>
      </c>
      <c r="BI20" s="54"/>
      <c r="BJ20" s="54"/>
    </row>
    <row r="21" s="29" customFormat="1" customHeight="1" spans="1:62">
      <c r="A21" s="44">
        <f>'2'!A21+1</f>
        <v>46115</v>
      </c>
      <c r="B21" s="55" t="s">
        <v>3347</v>
      </c>
      <c r="C21" s="55" t="s">
        <v>3265</v>
      </c>
      <c r="D21" s="70" t="s">
        <v>3319</v>
      </c>
      <c r="E21" s="47">
        <f>SUMIFS(卸车数据!$J$6:$J$1048576,卸车数据!$R$6:$R$1048576,"&gt;="&amp;A21+TIME(18,0,0),卸车数据!$R$6:$R$1048576,"&lt;"&amp;A21+TIME(19,0,0))</f>
        <v>28578</v>
      </c>
      <c r="F21" s="71">
        <v>4568</v>
      </c>
      <c r="G21" s="67">
        <v>3271</v>
      </c>
      <c r="H21" s="49">
        <v>1</v>
      </c>
      <c r="I21" s="51" t="s">
        <v>3348</v>
      </c>
      <c r="J21" s="51"/>
      <c r="K21" s="58">
        <f t="shared" si="6"/>
        <v>24</v>
      </c>
      <c r="L21" s="58">
        <v>1</v>
      </c>
      <c r="M21" s="51">
        <v>8</v>
      </c>
      <c r="N21" s="51">
        <v>3</v>
      </c>
      <c r="O21" s="51"/>
      <c r="P21" s="51">
        <v>6</v>
      </c>
      <c r="Q21" s="51">
        <v>4</v>
      </c>
      <c r="R21" s="51"/>
      <c r="S21" s="51"/>
      <c r="T21" s="66">
        <v>2</v>
      </c>
      <c r="U21" s="51" t="s">
        <v>3349</v>
      </c>
      <c r="V21" s="51"/>
      <c r="W21" s="58">
        <f t="shared" si="7"/>
        <v>15</v>
      </c>
      <c r="X21" s="58">
        <v>1</v>
      </c>
      <c r="Y21" s="51">
        <v>6</v>
      </c>
      <c r="Z21" s="51">
        <v>5</v>
      </c>
      <c r="AA21" s="51">
        <v>1</v>
      </c>
      <c r="AB21" s="51"/>
      <c r="AC21" s="51">
        <v>2</v>
      </c>
      <c r="AD21" s="51"/>
      <c r="AE21" s="51"/>
      <c r="AF21" s="51"/>
      <c r="AG21" s="58">
        <f t="shared" si="8"/>
        <v>39</v>
      </c>
      <c r="AH21" s="58">
        <v>1</v>
      </c>
      <c r="AI21" s="58">
        <v>6</v>
      </c>
      <c r="AJ21" s="51">
        <v>6</v>
      </c>
      <c r="AK21" s="51">
        <v>11</v>
      </c>
      <c r="AL21" s="51"/>
      <c r="AM21" s="51">
        <v>1</v>
      </c>
      <c r="AN21" s="51">
        <v>1</v>
      </c>
      <c r="AO21" s="66">
        <v>13</v>
      </c>
      <c r="AP21" s="51"/>
      <c r="AQ21" s="51" t="s">
        <v>3350</v>
      </c>
      <c r="AR21" s="58">
        <f t="shared" si="9"/>
        <v>18</v>
      </c>
      <c r="AS21" s="58">
        <v>1</v>
      </c>
      <c r="AT21" s="58"/>
      <c r="AU21" s="51">
        <v>9</v>
      </c>
      <c r="AV21" s="51">
        <v>7</v>
      </c>
      <c r="AW21" s="58"/>
      <c r="AX21" s="58">
        <v>1</v>
      </c>
      <c r="AY21" s="51"/>
      <c r="AZ21" s="51"/>
      <c r="BA21" s="52">
        <v>4</v>
      </c>
      <c r="BB21" s="51"/>
      <c r="BC21" s="50">
        <f t="shared" si="4"/>
        <v>3</v>
      </c>
      <c r="BD21" s="58">
        <v>3</v>
      </c>
      <c r="BE21" s="51"/>
      <c r="BF21" s="49">
        <v>1</v>
      </c>
      <c r="BG21" s="69"/>
      <c r="BH21" s="53">
        <f t="shared" si="10"/>
        <v>104</v>
      </c>
      <c r="BI21" s="61" t="s">
        <v>3265</v>
      </c>
      <c r="BJ21" s="61">
        <v>96</v>
      </c>
    </row>
    <row r="22" s="28" customFormat="1" customHeight="1" spans="1:62">
      <c r="A22" s="44">
        <f>'2'!A22+1</f>
        <v>46115</v>
      </c>
      <c r="B22" s="45" t="s">
        <v>3351</v>
      </c>
      <c r="C22" s="45" t="s">
        <v>3265</v>
      </c>
      <c r="D22" s="70" t="s">
        <v>3319</v>
      </c>
      <c r="E22" s="47">
        <f>SUMIFS(卸车数据!$J$6:$J$1048576,卸车数据!$R$6:$R$1048576,"&gt;="&amp;A22+TIME(19,0,0),卸车数据!$R$6:$R$1048576,"&lt;"&amp;A22+TIME(20,0,0))</f>
        <v>22343</v>
      </c>
      <c r="F22" s="71">
        <v>6689</v>
      </c>
      <c r="G22" s="65">
        <v>13631</v>
      </c>
      <c r="H22" s="49">
        <v>1</v>
      </c>
      <c r="I22" s="49"/>
      <c r="J22" s="49"/>
      <c r="K22" s="50">
        <f t="shared" si="6"/>
        <v>22</v>
      </c>
      <c r="L22" s="50">
        <v>1</v>
      </c>
      <c r="M22" s="49">
        <v>8</v>
      </c>
      <c r="N22" s="49">
        <v>3</v>
      </c>
      <c r="O22" s="49"/>
      <c r="P22" s="49">
        <v>6</v>
      </c>
      <c r="Q22" s="49">
        <v>4</v>
      </c>
      <c r="R22" s="49"/>
      <c r="S22" s="49"/>
      <c r="T22" s="49"/>
      <c r="U22" s="49"/>
      <c r="V22" s="49"/>
      <c r="W22" s="50">
        <f t="shared" si="7"/>
        <v>30</v>
      </c>
      <c r="X22" s="50">
        <v>1</v>
      </c>
      <c r="Y22" s="49">
        <v>14</v>
      </c>
      <c r="Z22" s="49">
        <v>12</v>
      </c>
      <c r="AA22" s="49">
        <v>1</v>
      </c>
      <c r="AB22" s="49"/>
      <c r="AC22" s="49">
        <v>2</v>
      </c>
      <c r="AD22" s="49"/>
      <c r="AE22" s="49"/>
      <c r="AF22" s="49"/>
      <c r="AG22" s="50">
        <f t="shared" si="8"/>
        <v>26</v>
      </c>
      <c r="AH22" s="50">
        <v>1</v>
      </c>
      <c r="AI22" s="58">
        <v>6</v>
      </c>
      <c r="AJ22" s="49">
        <v>6</v>
      </c>
      <c r="AK22" s="49">
        <v>11</v>
      </c>
      <c r="AL22" s="49"/>
      <c r="AM22" s="49">
        <v>1</v>
      </c>
      <c r="AN22" s="49">
        <v>1</v>
      </c>
      <c r="AO22" s="49"/>
      <c r="AP22" s="49"/>
      <c r="AQ22" s="49"/>
      <c r="AR22" s="50">
        <f t="shared" si="9"/>
        <v>18</v>
      </c>
      <c r="AS22" s="50">
        <v>1</v>
      </c>
      <c r="AT22" s="50"/>
      <c r="AU22" s="49">
        <v>9</v>
      </c>
      <c r="AV22" s="49">
        <v>7</v>
      </c>
      <c r="AW22" s="50"/>
      <c r="AX22" s="50">
        <v>1</v>
      </c>
      <c r="AY22" s="49"/>
      <c r="AZ22" s="49"/>
      <c r="BA22" s="52">
        <v>4</v>
      </c>
      <c r="BB22" s="49"/>
      <c r="BC22" s="50">
        <f t="shared" si="4"/>
        <v>3</v>
      </c>
      <c r="BD22" s="58">
        <v>3</v>
      </c>
      <c r="BE22" s="49"/>
      <c r="BF22" s="49">
        <v>1</v>
      </c>
      <c r="BG22" s="53"/>
      <c r="BH22" s="53">
        <f t="shared" si="10"/>
        <v>104</v>
      </c>
      <c r="BI22" s="54"/>
      <c r="BJ22" s="54"/>
    </row>
    <row r="23" s="26" customFormat="1" customHeight="1" spans="1:62">
      <c r="A23" s="44">
        <f>'2'!A23+1</f>
        <v>46115</v>
      </c>
      <c r="B23" s="45" t="s">
        <v>3352</v>
      </c>
      <c r="C23" s="45" t="s">
        <v>3265</v>
      </c>
      <c r="D23" s="70" t="s">
        <v>3319</v>
      </c>
      <c r="E23" s="47">
        <f>SUMIFS(卸车数据!$J$6:$J$1048576,卸车数据!$R$6:$R$1048576,"&gt;="&amp;A23+TIME(20,0,0),卸车数据!$R$6:$R$1048576,"&lt;"&amp;A23+TIME(21,0,0))</f>
        <v>18681</v>
      </c>
      <c r="F23" s="71">
        <v>4898</v>
      </c>
      <c r="G23" s="48">
        <v>13159</v>
      </c>
      <c r="H23" s="49">
        <v>1</v>
      </c>
      <c r="I23" s="64" t="s">
        <v>3353</v>
      </c>
      <c r="J23" s="49"/>
      <c r="K23" s="50">
        <f t="shared" si="6"/>
        <v>22</v>
      </c>
      <c r="L23" s="50">
        <v>1</v>
      </c>
      <c r="M23" s="49">
        <v>8</v>
      </c>
      <c r="N23" s="49">
        <v>3</v>
      </c>
      <c r="O23" s="49"/>
      <c r="P23" s="49">
        <v>6</v>
      </c>
      <c r="Q23" s="49">
        <v>4</v>
      </c>
      <c r="R23" s="49"/>
      <c r="S23" s="49"/>
      <c r="T23" s="49"/>
      <c r="U23" s="49"/>
      <c r="V23" s="49"/>
      <c r="W23" s="50">
        <f t="shared" si="7"/>
        <v>30</v>
      </c>
      <c r="X23" s="50">
        <v>1</v>
      </c>
      <c r="Y23" s="49">
        <v>14</v>
      </c>
      <c r="Z23" s="49">
        <v>12</v>
      </c>
      <c r="AA23" s="49">
        <v>1</v>
      </c>
      <c r="AB23" s="49"/>
      <c r="AC23" s="49">
        <v>2</v>
      </c>
      <c r="AD23" s="49"/>
      <c r="AE23" s="49"/>
      <c r="AF23" s="49"/>
      <c r="AG23" s="50">
        <f t="shared" si="8"/>
        <v>26</v>
      </c>
      <c r="AH23" s="50">
        <v>1</v>
      </c>
      <c r="AI23" s="58">
        <v>6</v>
      </c>
      <c r="AJ23" s="49">
        <v>6</v>
      </c>
      <c r="AK23" s="49">
        <v>11</v>
      </c>
      <c r="AL23" s="49"/>
      <c r="AM23" s="49">
        <v>1</v>
      </c>
      <c r="AN23" s="49">
        <v>1</v>
      </c>
      <c r="AO23" s="49"/>
      <c r="AP23" s="49"/>
      <c r="AQ23" s="49"/>
      <c r="AR23" s="50">
        <f t="shared" si="9"/>
        <v>18</v>
      </c>
      <c r="AS23" s="50">
        <v>1</v>
      </c>
      <c r="AT23" s="50"/>
      <c r="AU23" s="49">
        <v>9</v>
      </c>
      <c r="AV23" s="49">
        <v>7</v>
      </c>
      <c r="AW23" s="50"/>
      <c r="AX23" s="50">
        <v>1</v>
      </c>
      <c r="AY23" s="49"/>
      <c r="AZ23" s="49"/>
      <c r="BA23" s="52">
        <v>4</v>
      </c>
      <c r="BB23" s="49"/>
      <c r="BC23" s="50">
        <f t="shared" si="4"/>
        <v>3</v>
      </c>
      <c r="BD23" s="58">
        <v>3</v>
      </c>
      <c r="BE23" s="49"/>
      <c r="BF23" s="49">
        <v>1</v>
      </c>
      <c r="BG23" s="53"/>
      <c r="BH23" s="53">
        <f t="shared" si="10"/>
        <v>104</v>
      </c>
      <c r="BI23" s="54"/>
      <c r="BJ23" s="54"/>
    </row>
    <row r="24" s="26" customFormat="1" customHeight="1" spans="1:62">
      <c r="A24" s="44">
        <f>'2'!A24+1</f>
        <v>46115</v>
      </c>
      <c r="B24" s="45" t="s">
        <v>3354</v>
      </c>
      <c r="C24" s="45" t="s">
        <v>3265</v>
      </c>
      <c r="D24" s="70" t="s">
        <v>3319</v>
      </c>
      <c r="E24" s="47">
        <f>SUMIFS(卸车数据!$J$6:$J$1048576,卸车数据!$R$6:$R$1048576,"&gt;="&amp;A24+TIME(21,0,0),卸车数据!$R$6:$R$1048576,"&lt;"&amp;A24+TIME(22,0,0))</f>
        <v>2</v>
      </c>
      <c r="F24" s="71">
        <v>3744</v>
      </c>
      <c r="G24" s="48">
        <v>12709</v>
      </c>
      <c r="H24" s="49">
        <v>1</v>
      </c>
      <c r="I24" s="49"/>
      <c r="J24" s="49"/>
      <c r="K24" s="50">
        <f t="shared" si="6"/>
        <v>22</v>
      </c>
      <c r="L24" s="50">
        <v>1</v>
      </c>
      <c r="M24" s="49">
        <v>8</v>
      </c>
      <c r="N24" s="49">
        <v>3</v>
      </c>
      <c r="O24" s="49"/>
      <c r="P24" s="49">
        <v>6</v>
      </c>
      <c r="Q24" s="49">
        <v>4</v>
      </c>
      <c r="R24" s="49"/>
      <c r="S24" s="49"/>
      <c r="T24" s="49"/>
      <c r="U24" s="49"/>
      <c r="V24" s="49"/>
      <c r="W24" s="50">
        <f t="shared" si="7"/>
        <v>30</v>
      </c>
      <c r="X24" s="50">
        <v>1</v>
      </c>
      <c r="Y24" s="49">
        <v>14</v>
      </c>
      <c r="Z24" s="49">
        <v>12</v>
      </c>
      <c r="AA24" s="49">
        <v>1</v>
      </c>
      <c r="AB24" s="49"/>
      <c r="AC24" s="49">
        <v>2</v>
      </c>
      <c r="AD24" s="49"/>
      <c r="AE24" s="49"/>
      <c r="AF24" s="49"/>
      <c r="AG24" s="50">
        <f t="shared" si="8"/>
        <v>26</v>
      </c>
      <c r="AH24" s="50">
        <v>1</v>
      </c>
      <c r="AI24" s="58">
        <v>6</v>
      </c>
      <c r="AJ24" s="49">
        <v>6</v>
      </c>
      <c r="AK24" s="49">
        <v>11</v>
      </c>
      <c r="AL24" s="49"/>
      <c r="AM24" s="49">
        <v>1</v>
      </c>
      <c r="AN24" s="49">
        <v>1</v>
      </c>
      <c r="AO24" s="49"/>
      <c r="AP24" s="49"/>
      <c r="AQ24" s="49"/>
      <c r="AR24" s="50">
        <f t="shared" si="9"/>
        <v>18</v>
      </c>
      <c r="AS24" s="50">
        <v>1</v>
      </c>
      <c r="AT24" s="50"/>
      <c r="AU24" s="49">
        <v>9</v>
      </c>
      <c r="AV24" s="49">
        <v>7</v>
      </c>
      <c r="AW24" s="50"/>
      <c r="AX24" s="50">
        <v>1</v>
      </c>
      <c r="AY24" s="49"/>
      <c r="AZ24" s="49"/>
      <c r="BA24" s="52">
        <v>4</v>
      </c>
      <c r="BB24" s="50"/>
      <c r="BC24" s="50">
        <f t="shared" si="4"/>
        <v>3</v>
      </c>
      <c r="BD24" s="58">
        <v>3</v>
      </c>
      <c r="BE24" s="49"/>
      <c r="BF24" s="49">
        <v>1</v>
      </c>
      <c r="BG24" s="53"/>
      <c r="BH24" s="53">
        <f t="shared" si="10"/>
        <v>104</v>
      </c>
      <c r="BI24" s="54"/>
      <c r="BJ24" s="54"/>
    </row>
    <row r="25" s="26" customFormat="1" customHeight="1" spans="1:62">
      <c r="A25" s="44">
        <f>'2'!A25+1</f>
        <v>46115</v>
      </c>
      <c r="B25" s="45" t="s">
        <v>3355</v>
      </c>
      <c r="C25" s="45" t="s">
        <v>3265</v>
      </c>
      <c r="D25" s="70" t="s">
        <v>3319</v>
      </c>
      <c r="E25" s="47">
        <f>SUMIFS(卸车数据!$J$6:$J$1048576,卸车数据!$R$6:$R$1048576,"&gt;="&amp;A25+TIME(22,0,0),卸车数据!$R$6:$R$1048576,"&lt;"&amp;A25+TIME(23,0,0))</f>
        <v>5539</v>
      </c>
      <c r="F25" s="71">
        <v>2604</v>
      </c>
      <c r="G25" s="48">
        <v>10723</v>
      </c>
      <c r="H25" s="49">
        <v>1</v>
      </c>
      <c r="I25" s="64" t="s">
        <v>3356</v>
      </c>
      <c r="J25" s="49"/>
      <c r="K25" s="50">
        <f t="shared" si="6"/>
        <v>22</v>
      </c>
      <c r="L25" s="50">
        <v>1</v>
      </c>
      <c r="M25" s="49">
        <v>8</v>
      </c>
      <c r="N25" s="49">
        <v>3</v>
      </c>
      <c r="O25" s="49"/>
      <c r="P25" s="49">
        <v>6</v>
      </c>
      <c r="Q25" s="49">
        <v>4</v>
      </c>
      <c r="R25" s="49"/>
      <c r="S25" s="49"/>
      <c r="T25" s="49"/>
      <c r="U25" s="49"/>
      <c r="V25" s="49"/>
      <c r="W25" s="50">
        <f t="shared" si="7"/>
        <v>30</v>
      </c>
      <c r="X25" s="50">
        <v>1</v>
      </c>
      <c r="Y25" s="49">
        <v>14</v>
      </c>
      <c r="Z25" s="49">
        <v>12</v>
      </c>
      <c r="AA25" s="49">
        <v>1</v>
      </c>
      <c r="AB25" s="49"/>
      <c r="AC25" s="49">
        <v>2</v>
      </c>
      <c r="AD25" s="49"/>
      <c r="AE25" s="49"/>
      <c r="AF25" s="49"/>
      <c r="AG25" s="50">
        <f t="shared" si="8"/>
        <v>26</v>
      </c>
      <c r="AH25" s="50">
        <v>1</v>
      </c>
      <c r="AI25" s="58">
        <v>6</v>
      </c>
      <c r="AJ25" s="49">
        <v>6</v>
      </c>
      <c r="AK25" s="49">
        <v>11</v>
      </c>
      <c r="AL25" s="49"/>
      <c r="AM25" s="49">
        <v>1</v>
      </c>
      <c r="AN25" s="49">
        <v>1</v>
      </c>
      <c r="AO25" s="49"/>
      <c r="AP25" s="49"/>
      <c r="AQ25" s="49"/>
      <c r="AR25" s="50">
        <f t="shared" si="9"/>
        <v>18</v>
      </c>
      <c r="AS25" s="50">
        <v>1</v>
      </c>
      <c r="AT25" s="50"/>
      <c r="AU25" s="49">
        <v>9</v>
      </c>
      <c r="AV25" s="49">
        <v>7</v>
      </c>
      <c r="AW25" s="50"/>
      <c r="AX25" s="50">
        <v>1</v>
      </c>
      <c r="AY25" s="49"/>
      <c r="AZ25" s="49"/>
      <c r="BA25" s="52">
        <v>4</v>
      </c>
      <c r="BB25" s="50"/>
      <c r="BC25" s="50">
        <f t="shared" si="4"/>
        <v>3</v>
      </c>
      <c r="BD25" s="58">
        <v>3</v>
      </c>
      <c r="BE25" s="49"/>
      <c r="BF25" s="49">
        <v>1</v>
      </c>
      <c r="BG25" s="53"/>
      <c r="BH25" s="53">
        <f t="shared" si="10"/>
        <v>104</v>
      </c>
      <c r="BI25" s="54"/>
      <c r="BJ25" s="54"/>
    </row>
    <row r="26" s="27" customFormat="1" customHeight="1" spans="1:62">
      <c r="A26" s="44">
        <f>'2'!A26+1</f>
        <v>46115</v>
      </c>
      <c r="B26" s="55" t="s">
        <v>3357</v>
      </c>
      <c r="C26" s="55" t="s">
        <v>3265</v>
      </c>
      <c r="D26" s="72" t="s">
        <v>3311</v>
      </c>
      <c r="E26" s="47">
        <f>SUMIFS(卸车数据!$J$6:$J$1048576,卸车数据!$R$6:$R$1048576,"&gt;="&amp;A26+TIME(23,0,0),卸车数据!$R$6:$R$1048576,"&lt;"&amp;A26+TIME(0,0,0))</f>
        <v>0</v>
      </c>
      <c r="F26" s="73">
        <v>1515</v>
      </c>
      <c r="G26" s="57">
        <v>4311</v>
      </c>
      <c r="H26" s="51">
        <v>1</v>
      </c>
      <c r="I26" s="51" t="s">
        <v>3358</v>
      </c>
      <c r="J26" s="51"/>
      <c r="K26" s="58">
        <f t="shared" si="6"/>
        <v>17</v>
      </c>
      <c r="L26" s="58">
        <v>1</v>
      </c>
      <c r="M26" s="51">
        <v>5</v>
      </c>
      <c r="N26" s="51">
        <v>2</v>
      </c>
      <c r="O26" s="51">
        <v>2</v>
      </c>
      <c r="P26" s="51">
        <v>4</v>
      </c>
      <c r="Q26" s="51">
        <v>1</v>
      </c>
      <c r="R26" s="51">
        <v>2</v>
      </c>
      <c r="S26" s="51"/>
      <c r="T26" s="51"/>
      <c r="U26" s="51" t="s">
        <v>3359</v>
      </c>
      <c r="V26" s="51"/>
      <c r="W26" s="58">
        <f t="shared" si="7"/>
        <v>25</v>
      </c>
      <c r="X26" s="58">
        <v>1</v>
      </c>
      <c r="Y26" s="51">
        <v>12</v>
      </c>
      <c r="Z26" s="51">
        <v>9</v>
      </c>
      <c r="AA26" s="51">
        <v>1</v>
      </c>
      <c r="AB26" s="51"/>
      <c r="AC26" s="51">
        <v>2</v>
      </c>
      <c r="AD26" s="51"/>
      <c r="AE26" s="51" t="s">
        <v>3360</v>
      </c>
      <c r="AF26" s="51"/>
      <c r="AG26" s="58">
        <f t="shared" si="8"/>
        <v>26</v>
      </c>
      <c r="AH26" s="58">
        <v>1</v>
      </c>
      <c r="AI26" s="58">
        <v>6</v>
      </c>
      <c r="AJ26" s="58">
        <v>6</v>
      </c>
      <c r="AK26" s="51">
        <v>11</v>
      </c>
      <c r="AL26" s="51"/>
      <c r="AM26" s="51">
        <v>1</v>
      </c>
      <c r="AN26" s="51">
        <v>1</v>
      </c>
      <c r="AO26" s="51"/>
      <c r="AP26" s="51"/>
      <c r="AQ26" s="51"/>
      <c r="AR26" s="58">
        <f t="shared" si="9"/>
        <v>20</v>
      </c>
      <c r="AS26" s="58">
        <v>1</v>
      </c>
      <c r="AT26" s="58"/>
      <c r="AU26" s="51">
        <v>11</v>
      </c>
      <c r="AV26" s="51">
        <v>6</v>
      </c>
      <c r="AW26" s="58"/>
      <c r="AX26" s="58">
        <v>1</v>
      </c>
      <c r="AY26" s="51">
        <v>1</v>
      </c>
      <c r="AZ26" s="51"/>
      <c r="BA26" s="52">
        <v>4</v>
      </c>
      <c r="BB26" s="58"/>
      <c r="BC26" s="50">
        <f t="shared" si="4"/>
        <v>3</v>
      </c>
      <c r="BD26" s="58">
        <v>3</v>
      </c>
      <c r="BE26" s="51"/>
      <c r="BF26" s="49">
        <v>1</v>
      </c>
      <c r="BG26" s="69"/>
      <c r="BH26" s="53">
        <f t="shared" si="10"/>
        <v>96</v>
      </c>
      <c r="BI26" s="61">
        <v>8</v>
      </c>
      <c r="BJ26" s="61" t="s">
        <v>3361</v>
      </c>
    </row>
    <row r="27" s="30" customFormat="1" customHeight="1" spans="1:62">
      <c r="B27" s="74" t="s">
        <v>3362</v>
      </c>
      <c r="C27" s="74"/>
      <c r="D27" s="74"/>
      <c r="E27" s="74"/>
      <c r="F27" s="75"/>
      <c r="G27" s="75"/>
      <c r="H27" s="74"/>
      <c r="P27" s="76"/>
      <c r="Q27" s="76"/>
      <c r="V27" s="77"/>
      <c r="W27" s="77"/>
      <c r="BH27" s="31"/>
    </row>
    <row r="28" s="30" customFormat="1" customHeight="1" spans="1:62">
      <c r="B28" s="78" t="s">
        <v>3363</v>
      </c>
      <c r="C28" s="79"/>
      <c r="D28" s="79"/>
      <c r="E28" s="79"/>
      <c r="F28" s="79"/>
      <c r="G28" s="79"/>
      <c r="H28" s="80"/>
      <c r="I28" s="80"/>
      <c r="J28" s="80"/>
      <c r="K28" s="80"/>
      <c r="L28" s="80"/>
      <c r="M28" s="79"/>
      <c r="N28" s="81" t="s">
        <v>3364</v>
      </c>
      <c r="O28" s="81"/>
      <c r="Q28" s="79" t="s">
        <v>3365</v>
      </c>
      <c r="R28" s="79"/>
      <c r="BC28" s="31"/>
    </row>
    <row r="29" s="30" customFormat="1" customHeight="1" spans="1:62">
      <c r="B29" s="31" t="s">
        <v>3366</v>
      </c>
      <c r="C29" s="31"/>
      <c r="D29" s="82" t="s">
        <v>3367</v>
      </c>
      <c r="E29" s="83"/>
      <c r="F29" s="83"/>
      <c r="G29" s="83"/>
      <c r="H29" s="84"/>
      <c r="I29" s="85" t="s">
        <v>3368</v>
      </c>
      <c r="J29" s="86"/>
      <c r="K29" s="86"/>
      <c r="L29" s="86"/>
      <c r="M29" s="86"/>
      <c r="N29" s="86"/>
      <c r="O29" s="87"/>
      <c r="Q29" s="79"/>
      <c r="R29" s="79"/>
      <c r="BC29" s="31"/>
      <c r="BD29" s="88"/>
    </row>
    <row r="30" s="28" customFormat="1" customHeight="1" spans="1:62">
      <c r="K30" s="89"/>
      <c r="L30" s="89"/>
      <c r="Q30" s="79"/>
      <c r="R30" s="79"/>
      <c r="BC30" s="90"/>
      <c r="BD30" s="91"/>
    </row>
    <row r="31" s="31" customFormat="1" customHeight="1" spans="1:62">
      <c r="B31" s="31" t="s">
        <v>3369</v>
      </c>
      <c r="D31" s="92" t="s">
        <v>3370</v>
      </c>
      <c r="E31" s="93"/>
      <c r="F31" s="94"/>
      <c r="G31" s="94"/>
      <c r="H31" s="94"/>
      <c r="I31" s="95">
        <v>1800</v>
      </c>
      <c r="J31" s="94"/>
      <c r="K31" s="96"/>
      <c r="L31" s="97">
        <v>2330</v>
      </c>
      <c r="M31" s="94"/>
      <c r="N31" s="94"/>
      <c r="O31" s="98" t="s">
        <v>3370</v>
      </c>
      <c r="Q31" s="79"/>
      <c r="R31" s="79"/>
    </row>
  </sheetData>
  <mergeCells count="24">
    <mergeCell ref="I1:T1"/>
    <mergeCell ref="U1:AD1"/>
    <mergeCell ref="AF1:AO1"/>
    <mergeCell ref="AP1:AZ1"/>
    <mergeCell ref="BB1:BG1"/>
    <mergeCell ref="BI6:BJ6"/>
    <mergeCell ref="B27:H27"/>
    <mergeCell ref="V27:W27"/>
    <mergeCell ref="H28:L28"/>
    <mergeCell ref="N28:O28"/>
    <mergeCell ref="D29:H29"/>
    <mergeCell ref="I29:O29"/>
    <mergeCell ref="A1:A2"/>
    <mergeCell ref="B1:B2"/>
    <mergeCell ref="C1:C2"/>
    <mergeCell ref="D1:D2"/>
    <mergeCell ref="E1:E2"/>
    <mergeCell ref="F1:F2"/>
    <mergeCell ref="G1:G2"/>
    <mergeCell ref="H1:H2"/>
    <mergeCell ref="BA1:BA2"/>
    <mergeCell ref="BH1:BH2"/>
    <mergeCell ref="BI1:BJ2"/>
    <mergeCell ref="Q28:R31"/>
  </mergeCells>
  <pageMargins left="0.75" right="0.75" top="1" bottom="1" header="0.5" footer="0.5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J31"/>
  <sheetViews>
    <sheetView zoomScale="70" zoomScaleNormal="70" topLeftCell="AK3" workbookViewId="0">
      <selection activeCell="Z14" sqref="Z14"/>
    </sheetView>
  </sheetViews>
  <sheetFormatPr defaultColWidth="9.55555555555556" defaultRowHeight="40.2" customHeight="1"/>
  <cols>
    <col min="1" max="1" width="9.55555555555556" style="30"/>
    <col min="2" max="2" width="22.1111111111111" style="30" customWidth="1"/>
    <col min="3" max="7" width="9.55555555555556" style="30" customWidth="1"/>
    <col min="8" max="59" width="9" style="30" customWidth="1"/>
    <col min="60" max="60" width="9" style="31" customWidth="1"/>
    <col min="61" max="61" width="11.6666666666667" style="30" customWidth="1"/>
    <col min="62" max="16384" width="9.55555555555556" style="30"/>
  </cols>
  <sheetData>
    <row r="1" s="25" customFormat="1" customHeight="1" spans="1:62">
      <c r="A1" s="32" t="s">
        <v>3222</v>
      </c>
      <c r="B1" s="32" t="s">
        <v>3223</v>
      </c>
      <c r="C1" s="33" t="s">
        <v>3224</v>
      </c>
      <c r="D1" s="33" t="s">
        <v>3225</v>
      </c>
      <c r="E1" s="33" t="s">
        <v>3226</v>
      </c>
      <c r="F1" s="32" t="s">
        <v>3227</v>
      </c>
      <c r="G1" s="32" t="s">
        <v>3228</v>
      </c>
      <c r="H1" s="32" t="s">
        <v>3229</v>
      </c>
      <c r="I1" s="34" t="s">
        <v>3230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6"/>
      <c r="U1" s="32" t="s">
        <v>3231</v>
      </c>
      <c r="V1" s="32"/>
      <c r="W1" s="32"/>
      <c r="X1" s="32"/>
      <c r="Y1" s="32"/>
      <c r="Z1" s="32"/>
      <c r="AA1" s="32"/>
      <c r="AB1" s="32"/>
      <c r="AC1" s="32"/>
      <c r="AD1" s="32"/>
      <c r="AE1" s="35"/>
      <c r="AF1" s="35" t="s">
        <v>3232</v>
      </c>
      <c r="AG1" s="35"/>
      <c r="AH1" s="35"/>
      <c r="AI1" s="35"/>
      <c r="AJ1" s="35"/>
      <c r="AK1" s="35"/>
      <c r="AL1" s="35"/>
      <c r="AM1" s="35"/>
      <c r="AN1" s="35"/>
      <c r="AO1" s="36"/>
      <c r="AP1" s="34" t="s">
        <v>3233</v>
      </c>
      <c r="AQ1" s="35"/>
      <c r="AR1" s="35"/>
      <c r="AS1" s="35"/>
      <c r="AT1" s="35"/>
      <c r="AU1" s="35"/>
      <c r="AV1" s="35"/>
      <c r="AW1" s="35"/>
      <c r="AX1" s="35"/>
      <c r="AY1" s="35"/>
      <c r="AZ1" s="36"/>
      <c r="BA1" s="32" t="s">
        <v>3234</v>
      </c>
      <c r="BB1" s="34" t="s">
        <v>3235</v>
      </c>
      <c r="BC1" s="35"/>
      <c r="BD1" s="35"/>
      <c r="BE1" s="35"/>
      <c r="BF1" s="35"/>
      <c r="BG1" s="36"/>
      <c r="BH1" s="37" t="s">
        <v>1121</v>
      </c>
      <c r="BI1" s="38" t="s">
        <v>3371</v>
      </c>
      <c r="BJ1" s="39"/>
    </row>
    <row r="2" s="25" customFormat="1" ht="63" customHeight="1" spans="1:62">
      <c r="A2" s="32"/>
      <c r="B2" s="32"/>
      <c r="C2" s="40"/>
      <c r="D2" s="40"/>
      <c r="E2" s="40"/>
      <c r="F2" s="41"/>
      <c r="G2" s="41"/>
      <c r="H2" s="32"/>
      <c r="I2" s="42" t="s">
        <v>3237</v>
      </c>
      <c r="J2" s="42" t="s">
        <v>3238</v>
      </c>
      <c r="K2" s="32" t="s">
        <v>1143</v>
      </c>
      <c r="L2" s="32" t="s">
        <v>3239</v>
      </c>
      <c r="M2" s="32" t="s">
        <v>3240</v>
      </c>
      <c r="N2" s="32" t="s">
        <v>3241</v>
      </c>
      <c r="O2" s="32" t="s">
        <v>3242</v>
      </c>
      <c r="P2" s="32" t="s">
        <v>3243</v>
      </c>
      <c r="Q2" s="32" t="s">
        <v>3244</v>
      </c>
      <c r="R2" s="32" t="s">
        <v>3245</v>
      </c>
      <c r="S2" s="32" t="s">
        <v>3246</v>
      </c>
      <c r="T2" s="43" t="s">
        <v>3247</v>
      </c>
      <c r="U2" s="42" t="s">
        <v>3237</v>
      </c>
      <c r="V2" s="42" t="s">
        <v>3238</v>
      </c>
      <c r="W2" s="32" t="s">
        <v>1143</v>
      </c>
      <c r="X2" s="32" t="s">
        <v>3239</v>
      </c>
      <c r="Y2" s="32" t="s">
        <v>3248</v>
      </c>
      <c r="Z2" s="32" t="s">
        <v>3249</v>
      </c>
      <c r="AA2" s="32" t="s">
        <v>3250</v>
      </c>
      <c r="AB2" s="32" t="s">
        <v>3251</v>
      </c>
      <c r="AC2" s="32" t="s">
        <v>3252</v>
      </c>
      <c r="AD2" s="43" t="s">
        <v>3247</v>
      </c>
      <c r="AE2" s="42" t="s">
        <v>3237</v>
      </c>
      <c r="AF2" s="42" t="s">
        <v>3238</v>
      </c>
      <c r="AG2" s="32" t="s">
        <v>1143</v>
      </c>
      <c r="AH2" s="32" t="s">
        <v>3239</v>
      </c>
      <c r="AI2" s="32" t="s">
        <v>3253</v>
      </c>
      <c r="AJ2" s="32" t="s">
        <v>3254</v>
      </c>
      <c r="AK2" s="32" t="s">
        <v>3255</v>
      </c>
      <c r="AL2" s="32" t="s">
        <v>3256</v>
      </c>
      <c r="AM2" s="32" t="s">
        <v>3257</v>
      </c>
      <c r="AN2" s="32" t="s">
        <v>3258</v>
      </c>
      <c r="AO2" s="43" t="s">
        <v>3247</v>
      </c>
      <c r="AP2" s="42" t="s">
        <v>3237</v>
      </c>
      <c r="AQ2" s="42" t="s">
        <v>3238</v>
      </c>
      <c r="AR2" s="32" t="s">
        <v>1143</v>
      </c>
      <c r="AS2" s="32" t="s">
        <v>3239</v>
      </c>
      <c r="AT2" s="32" t="s">
        <v>3253</v>
      </c>
      <c r="AU2" s="32" t="s">
        <v>3254</v>
      </c>
      <c r="AV2" s="32" t="s">
        <v>3255</v>
      </c>
      <c r="AW2" s="32" t="s">
        <v>3256</v>
      </c>
      <c r="AX2" s="32" t="s">
        <v>3257</v>
      </c>
      <c r="AY2" s="32" t="s">
        <v>3258</v>
      </c>
      <c r="AZ2" s="43" t="s">
        <v>3247</v>
      </c>
      <c r="BA2" s="32"/>
      <c r="BB2" s="32" t="s">
        <v>3259</v>
      </c>
      <c r="BC2" s="32" t="s">
        <v>1143</v>
      </c>
      <c r="BD2" s="32" t="s">
        <v>3260</v>
      </c>
      <c r="BE2" s="32" t="s">
        <v>3261</v>
      </c>
      <c r="BF2" s="32" t="s">
        <v>3262</v>
      </c>
      <c r="BG2" s="32" t="s">
        <v>3263</v>
      </c>
      <c r="BH2" s="37"/>
      <c r="BI2" s="38"/>
      <c r="BJ2" s="39"/>
    </row>
    <row r="3" s="26" customFormat="1" customHeight="1" spans="1:62">
      <c r="A3" s="44">
        <f>'3'!A3+1</f>
        <v>46116</v>
      </c>
      <c r="B3" s="45" t="s">
        <v>3264</v>
      </c>
      <c r="C3" s="45" t="s">
        <v>3265</v>
      </c>
      <c r="D3" s="46" t="s">
        <v>22</v>
      </c>
      <c r="E3" s="47">
        <f>SUMIFS(卸车数据!$J$6:$J$1048576,卸车数据!$R$6:$R$1048576,"&gt;="&amp;A3+TIME(0,0,0),卸车数据!$R$6:$R$1048576,"&lt;"&amp;A3+TIME(1,0,0))</f>
        <v>15774</v>
      </c>
      <c r="F3" s="47">
        <v>2253</v>
      </c>
      <c r="G3" s="48">
        <v>6412</v>
      </c>
      <c r="H3" s="49">
        <v>1</v>
      </c>
      <c r="I3" s="49" t="s">
        <v>3266</v>
      </c>
      <c r="J3" s="49"/>
      <c r="K3" s="50">
        <f t="shared" ref="K3:K26" si="0">SUM(L3:T3)</f>
        <v>17</v>
      </c>
      <c r="L3" s="50">
        <v>1</v>
      </c>
      <c r="M3" s="49">
        <v>5</v>
      </c>
      <c r="N3" s="49">
        <v>2</v>
      </c>
      <c r="O3" s="49">
        <v>2</v>
      </c>
      <c r="P3" s="49">
        <v>4</v>
      </c>
      <c r="Q3" s="49">
        <v>1</v>
      </c>
      <c r="R3" s="49">
        <v>2</v>
      </c>
      <c r="S3" s="49"/>
      <c r="T3" s="49"/>
      <c r="U3" s="49"/>
      <c r="V3" s="49"/>
      <c r="W3" s="50">
        <f t="shared" ref="W3:W26" si="1">SUM(X3:AD3)</f>
        <v>25</v>
      </c>
      <c r="X3" s="50">
        <v>1</v>
      </c>
      <c r="Y3" s="49">
        <v>12</v>
      </c>
      <c r="Z3" s="49">
        <v>9</v>
      </c>
      <c r="AA3" s="49">
        <v>1</v>
      </c>
      <c r="AB3" s="49"/>
      <c r="AC3" s="49">
        <v>2</v>
      </c>
      <c r="AD3" s="49"/>
      <c r="AE3" s="49" t="s">
        <v>3267</v>
      </c>
      <c r="AF3" s="49"/>
      <c r="AG3" s="50">
        <f t="shared" ref="AG3:AG26" si="2">SUM(AH3:AO3)</f>
        <v>25</v>
      </c>
      <c r="AH3" s="50">
        <v>1</v>
      </c>
      <c r="AI3" s="50">
        <v>6</v>
      </c>
      <c r="AJ3" s="50">
        <v>6</v>
      </c>
      <c r="AK3" s="49">
        <v>10</v>
      </c>
      <c r="AL3" s="49"/>
      <c r="AM3" s="49">
        <v>1</v>
      </c>
      <c r="AN3" s="49">
        <v>1</v>
      </c>
      <c r="AO3" s="49"/>
      <c r="AP3" s="49"/>
      <c r="AQ3" s="49"/>
      <c r="AR3" s="50">
        <f t="shared" ref="AR3:AR26" si="3">SUM(AS3:AZ3)</f>
        <v>20</v>
      </c>
      <c r="AS3" s="50">
        <v>1</v>
      </c>
      <c r="AT3" s="50"/>
      <c r="AU3" s="49">
        <v>11</v>
      </c>
      <c r="AV3" s="51">
        <v>6</v>
      </c>
      <c r="AW3" s="50"/>
      <c r="AX3" s="50">
        <v>1</v>
      </c>
      <c r="AY3" s="49">
        <v>1</v>
      </c>
      <c r="AZ3" s="49"/>
      <c r="BA3" s="52">
        <v>4</v>
      </c>
      <c r="BB3" s="50"/>
      <c r="BC3" s="50">
        <f>BD3+BE3+BF3</f>
        <v>4</v>
      </c>
      <c r="BD3" s="50">
        <v>3</v>
      </c>
      <c r="BE3" s="49"/>
      <c r="BF3" s="49">
        <v>1</v>
      </c>
      <c r="BG3" s="53"/>
      <c r="BH3" s="53">
        <f>BC3+BA3+AR3+AG3+W3+K3</f>
        <v>95</v>
      </c>
      <c r="BI3" s="54"/>
      <c r="BJ3" s="54"/>
    </row>
    <row r="4" s="26" customFormat="1" customHeight="1" spans="1:62">
      <c r="A4" s="44">
        <f>'3'!A4+1</f>
        <v>46116</v>
      </c>
      <c r="B4" s="45" t="s">
        <v>3268</v>
      </c>
      <c r="C4" s="45" t="s">
        <v>3265</v>
      </c>
      <c r="D4" s="46" t="s">
        <v>22</v>
      </c>
      <c r="E4" s="47">
        <f>SUMIFS(卸车数据!$J$6:$J$1048576,卸车数据!$R$6:$R$1048576,"&gt;="&amp;A4+TIME(1,0,0),卸车数据!$R$6:$R$1048576,"&lt;"&amp;A4+TIME(2,0,0))</f>
        <v>5539</v>
      </c>
      <c r="F4" s="47">
        <v>4752</v>
      </c>
      <c r="G4" s="48">
        <v>12376</v>
      </c>
      <c r="H4" s="49">
        <v>1</v>
      </c>
      <c r="I4" s="49"/>
      <c r="J4" s="49"/>
      <c r="K4" s="50">
        <f t="shared" si="0"/>
        <v>17</v>
      </c>
      <c r="L4" s="50">
        <v>1</v>
      </c>
      <c r="M4" s="49">
        <v>5</v>
      </c>
      <c r="N4" s="49">
        <v>2</v>
      </c>
      <c r="O4" s="49">
        <v>2</v>
      </c>
      <c r="P4" s="49">
        <v>4</v>
      </c>
      <c r="Q4" s="49">
        <v>1</v>
      </c>
      <c r="R4" s="49">
        <v>2</v>
      </c>
      <c r="S4" s="49"/>
      <c r="T4" s="50"/>
      <c r="U4" s="49"/>
      <c r="V4" s="49"/>
      <c r="W4" s="50">
        <f t="shared" si="1"/>
        <v>25</v>
      </c>
      <c r="X4" s="50">
        <v>1</v>
      </c>
      <c r="Y4" s="49">
        <v>12</v>
      </c>
      <c r="Z4" s="49">
        <v>9</v>
      </c>
      <c r="AA4" s="49">
        <v>1</v>
      </c>
      <c r="AB4" s="49"/>
      <c r="AC4" s="49">
        <v>2</v>
      </c>
      <c r="AD4" s="49"/>
      <c r="AE4" s="49" t="s">
        <v>3269</v>
      </c>
      <c r="AF4" s="49"/>
      <c r="AG4" s="50">
        <f t="shared" si="2"/>
        <v>25</v>
      </c>
      <c r="AH4" s="50">
        <v>1</v>
      </c>
      <c r="AI4" s="50">
        <v>6</v>
      </c>
      <c r="AJ4" s="50">
        <v>6</v>
      </c>
      <c r="AK4" s="49">
        <v>10</v>
      </c>
      <c r="AL4" s="49"/>
      <c r="AM4" s="49">
        <v>1</v>
      </c>
      <c r="AN4" s="49">
        <v>1</v>
      </c>
      <c r="AO4" s="50"/>
      <c r="AP4" s="49"/>
      <c r="AQ4" s="49"/>
      <c r="AR4" s="50">
        <f t="shared" si="3"/>
        <v>20</v>
      </c>
      <c r="AS4" s="50">
        <v>1</v>
      </c>
      <c r="AT4" s="50"/>
      <c r="AU4" s="49">
        <v>11</v>
      </c>
      <c r="AV4" s="51">
        <v>6</v>
      </c>
      <c r="AW4" s="50"/>
      <c r="AX4" s="50">
        <v>1</v>
      </c>
      <c r="AY4" s="49">
        <v>1</v>
      </c>
      <c r="AZ4" s="50"/>
      <c r="BA4" s="52">
        <v>4</v>
      </c>
      <c r="BB4" s="50"/>
      <c r="BC4" s="50">
        <f t="shared" ref="BC4:BC26" si="4">BD4+BE4+BF4</f>
        <v>4</v>
      </c>
      <c r="BD4" s="50">
        <v>3</v>
      </c>
      <c r="BE4" s="49"/>
      <c r="BF4" s="49">
        <v>1</v>
      </c>
      <c r="BG4" s="53"/>
      <c r="BH4" s="53">
        <f t="shared" ref="BH4:BH26" si="5">BC4+BA4+AR4+AG4+W4+K4</f>
        <v>95</v>
      </c>
      <c r="BI4" s="54"/>
      <c r="BJ4" s="54"/>
    </row>
    <row r="5" s="26" customFormat="1" customHeight="1" spans="1:62">
      <c r="A5" s="44">
        <f>'3'!A5+1</f>
        <v>46116</v>
      </c>
      <c r="B5" s="45" t="s">
        <v>3270</v>
      </c>
      <c r="C5" s="45" t="s">
        <v>3265</v>
      </c>
      <c r="D5" s="46" t="s">
        <v>22</v>
      </c>
      <c r="E5" s="47">
        <f>SUMIFS(卸车数据!$J$6:$J$1048576,卸车数据!$R$6:$R$1048576,"&gt;="&amp;A5+TIME(2,0,0),卸车数据!$R$6:$R$1048576,"&lt;"&amp;A5+TIME(3,0,0))</f>
        <v>0</v>
      </c>
      <c r="F5" s="47">
        <v>4442</v>
      </c>
      <c r="G5" s="48">
        <v>14209</v>
      </c>
      <c r="H5" s="49">
        <v>1</v>
      </c>
      <c r="I5" s="49" t="s">
        <v>3271</v>
      </c>
      <c r="J5" s="49"/>
      <c r="K5" s="50">
        <f t="shared" si="0"/>
        <v>17</v>
      </c>
      <c r="L5" s="50">
        <v>1</v>
      </c>
      <c r="M5" s="49">
        <v>5</v>
      </c>
      <c r="N5" s="49">
        <v>2</v>
      </c>
      <c r="O5" s="49">
        <v>2</v>
      </c>
      <c r="P5" s="49">
        <v>4</v>
      </c>
      <c r="Q5" s="49">
        <v>1</v>
      </c>
      <c r="R5" s="49">
        <v>2</v>
      </c>
      <c r="S5" s="49"/>
      <c r="T5" s="50"/>
      <c r="U5" s="49" t="s">
        <v>3272</v>
      </c>
      <c r="V5" s="49"/>
      <c r="W5" s="50">
        <f t="shared" si="1"/>
        <v>25</v>
      </c>
      <c r="X5" s="50">
        <v>1</v>
      </c>
      <c r="Y5" s="49">
        <v>12</v>
      </c>
      <c r="Z5" s="49">
        <v>9</v>
      </c>
      <c r="AA5" s="49">
        <v>1</v>
      </c>
      <c r="AB5" s="49"/>
      <c r="AC5" s="49">
        <v>2</v>
      </c>
      <c r="AD5" s="49"/>
      <c r="AE5" s="49"/>
      <c r="AF5" s="49"/>
      <c r="AG5" s="50">
        <f t="shared" si="2"/>
        <v>25</v>
      </c>
      <c r="AH5" s="50">
        <v>1</v>
      </c>
      <c r="AI5" s="50">
        <v>6</v>
      </c>
      <c r="AJ5" s="50">
        <v>6</v>
      </c>
      <c r="AK5" s="49">
        <v>10</v>
      </c>
      <c r="AL5" s="49"/>
      <c r="AM5" s="49">
        <v>1</v>
      </c>
      <c r="AN5" s="49">
        <v>1</v>
      </c>
      <c r="AO5" s="50"/>
      <c r="AP5" s="49"/>
      <c r="AQ5" s="49"/>
      <c r="AR5" s="50">
        <f t="shared" si="3"/>
        <v>20</v>
      </c>
      <c r="AS5" s="50">
        <v>1</v>
      </c>
      <c r="AT5" s="50"/>
      <c r="AU5" s="49">
        <v>11</v>
      </c>
      <c r="AV5" s="51">
        <v>6</v>
      </c>
      <c r="AW5" s="50"/>
      <c r="AX5" s="50">
        <v>1</v>
      </c>
      <c r="AY5" s="49">
        <v>1</v>
      </c>
      <c r="AZ5" s="50"/>
      <c r="BA5" s="52">
        <v>4</v>
      </c>
      <c r="BB5" s="50"/>
      <c r="BC5" s="50">
        <f t="shared" si="4"/>
        <v>4</v>
      </c>
      <c r="BD5" s="50">
        <v>3</v>
      </c>
      <c r="BE5" s="49"/>
      <c r="BF5" s="49">
        <v>1</v>
      </c>
      <c r="BG5" s="49"/>
      <c r="BH5" s="53">
        <f t="shared" si="5"/>
        <v>95</v>
      </c>
      <c r="BI5" s="54"/>
      <c r="BJ5" s="54"/>
    </row>
    <row r="6" s="27" customFormat="1" customHeight="1" spans="1:62">
      <c r="A6" s="44">
        <f>'3'!A6+1</f>
        <v>46116</v>
      </c>
      <c r="B6" s="55" t="s">
        <v>3273</v>
      </c>
      <c r="C6" s="55" t="s">
        <v>3265</v>
      </c>
      <c r="D6" s="46" t="s">
        <v>22</v>
      </c>
      <c r="E6" s="47">
        <f>SUMIFS(卸车数据!$J$6:$J$1048576,卸车数据!$R$6:$R$1048576,"&gt;="&amp;A6+TIME(3,0,0),卸车数据!$R$6:$R$1048576,"&lt;"&amp;A6+TIME(4,0,0))</f>
        <v>5155</v>
      </c>
      <c r="F6" s="56">
        <v>4011</v>
      </c>
      <c r="G6" s="57">
        <v>12712</v>
      </c>
      <c r="H6" s="51">
        <v>1</v>
      </c>
      <c r="I6" s="51" t="s">
        <v>3274</v>
      </c>
      <c r="J6" s="51"/>
      <c r="K6" s="58">
        <f t="shared" si="0"/>
        <v>17</v>
      </c>
      <c r="L6" s="58">
        <v>1</v>
      </c>
      <c r="M6" s="51">
        <v>5</v>
      </c>
      <c r="N6" s="51">
        <v>2</v>
      </c>
      <c r="O6" s="51">
        <v>2</v>
      </c>
      <c r="P6" s="51">
        <v>4</v>
      </c>
      <c r="Q6" s="51">
        <v>1</v>
      </c>
      <c r="R6" s="51">
        <v>2</v>
      </c>
      <c r="S6" s="51"/>
      <c r="T6" s="58"/>
      <c r="U6" s="51" t="s">
        <v>3275</v>
      </c>
      <c r="V6" s="51" t="s">
        <v>3276</v>
      </c>
      <c r="W6" s="58">
        <f t="shared" si="1"/>
        <v>18</v>
      </c>
      <c r="X6" s="58">
        <v>1</v>
      </c>
      <c r="Y6" s="51">
        <v>5</v>
      </c>
      <c r="Z6" s="51">
        <v>9</v>
      </c>
      <c r="AA6" s="51">
        <v>1</v>
      </c>
      <c r="AB6" s="49"/>
      <c r="AC6" s="51">
        <v>2</v>
      </c>
      <c r="AD6" s="51"/>
      <c r="AE6" s="51"/>
      <c r="AF6" s="51"/>
      <c r="AG6" s="58">
        <f t="shared" si="2"/>
        <v>29</v>
      </c>
      <c r="AH6" s="58">
        <v>1</v>
      </c>
      <c r="AI6" s="58">
        <v>6</v>
      </c>
      <c r="AJ6" s="58">
        <v>6</v>
      </c>
      <c r="AK6" s="49">
        <v>10</v>
      </c>
      <c r="AL6" s="51"/>
      <c r="AM6" s="51">
        <v>1</v>
      </c>
      <c r="AN6" s="51">
        <v>1</v>
      </c>
      <c r="AO6" s="59">
        <v>4</v>
      </c>
      <c r="AP6" s="51" t="s">
        <v>3277</v>
      </c>
      <c r="AQ6" s="51" t="s">
        <v>3278</v>
      </c>
      <c r="AR6" s="58">
        <f t="shared" si="3"/>
        <v>23</v>
      </c>
      <c r="AS6" s="58">
        <v>1</v>
      </c>
      <c r="AT6" s="58"/>
      <c r="AU6" s="51">
        <v>11</v>
      </c>
      <c r="AV6" s="51">
        <v>6</v>
      </c>
      <c r="AW6" s="58"/>
      <c r="AX6" s="58">
        <v>1</v>
      </c>
      <c r="AY6" s="51">
        <v>1</v>
      </c>
      <c r="AZ6" s="59">
        <v>3</v>
      </c>
      <c r="BA6" s="52">
        <v>4</v>
      </c>
      <c r="BB6" s="58"/>
      <c r="BC6" s="50">
        <f t="shared" si="4"/>
        <v>4</v>
      </c>
      <c r="BD6" s="58">
        <v>3</v>
      </c>
      <c r="BE6" s="51"/>
      <c r="BF6" s="49">
        <v>1</v>
      </c>
      <c r="BG6" s="51"/>
      <c r="BH6" s="53">
        <f t="shared" si="5"/>
        <v>95</v>
      </c>
      <c r="BI6" s="60" t="s">
        <v>3279</v>
      </c>
      <c r="BJ6" s="61"/>
    </row>
    <row r="7" s="26" customFormat="1" customHeight="1" spans="1:62">
      <c r="A7" s="44">
        <f>'3'!A7+1</f>
        <v>46116</v>
      </c>
      <c r="B7" s="45" t="s">
        <v>3280</v>
      </c>
      <c r="C7" s="45" t="s">
        <v>3265</v>
      </c>
      <c r="D7" s="46" t="s">
        <v>22</v>
      </c>
      <c r="E7" s="47">
        <f>SUMIFS(卸车数据!$J$6:$J$1048576,卸车数据!$R$6:$R$1048576,"&gt;="&amp;A7+TIME(4,0,0),卸车数据!$R$6:$R$1048576,"&lt;"&amp;A7+TIME(5,0,0))</f>
        <v>0</v>
      </c>
      <c r="F7" s="47">
        <v>4033</v>
      </c>
      <c r="G7" s="48">
        <v>12683</v>
      </c>
      <c r="H7" s="49">
        <v>1</v>
      </c>
      <c r="I7" s="49" t="s">
        <v>3281</v>
      </c>
      <c r="J7" s="49"/>
      <c r="K7" s="50">
        <f t="shared" si="0"/>
        <v>17</v>
      </c>
      <c r="L7" s="50">
        <v>1</v>
      </c>
      <c r="M7" s="49">
        <v>5</v>
      </c>
      <c r="N7" s="49">
        <v>2</v>
      </c>
      <c r="O7" s="49">
        <v>2</v>
      </c>
      <c r="P7" s="49">
        <v>4</v>
      </c>
      <c r="Q7" s="49">
        <v>1</v>
      </c>
      <c r="R7" s="49">
        <v>2</v>
      </c>
      <c r="S7" s="49"/>
      <c r="T7" s="50"/>
      <c r="U7" s="49"/>
      <c r="V7" s="49"/>
      <c r="W7" s="50">
        <f t="shared" si="1"/>
        <v>25</v>
      </c>
      <c r="X7" s="50">
        <v>1</v>
      </c>
      <c r="Y7" s="49">
        <v>12</v>
      </c>
      <c r="Z7" s="49">
        <v>9</v>
      </c>
      <c r="AA7" s="49">
        <v>1</v>
      </c>
      <c r="AB7" s="49"/>
      <c r="AC7" s="49">
        <v>2</v>
      </c>
      <c r="AD7" s="49"/>
      <c r="AE7" s="49" t="s">
        <v>3282</v>
      </c>
      <c r="AF7" s="49"/>
      <c r="AG7" s="50">
        <f t="shared" si="2"/>
        <v>25</v>
      </c>
      <c r="AH7" s="50">
        <v>1</v>
      </c>
      <c r="AI7" s="50">
        <v>6</v>
      </c>
      <c r="AJ7" s="50">
        <v>6</v>
      </c>
      <c r="AK7" s="49">
        <v>10</v>
      </c>
      <c r="AL7" s="49"/>
      <c r="AM7" s="49">
        <v>1</v>
      </c>
      <c r="AN7" s="49">
        <v>1</v>
      </c>
      <c r="AO7" s="50"/>
      <c r="AP7" s="49"/>
      <c r="AQ7" s="49"/>
      <c r="AR7" s="50">
        <f t="shared" si="3"/>
        <v>20</v>
      </c>
      <c r="AS7" s="50">
        <v>1</v>
      </c>
      <c r="AT7" s="50"/>
      <c r="AU7" s="49">
        <v>11</v>
      </c>
      <c r="AV7" s="51">
        <v>6</v>
      </c>
      <c r="AW7" s="50"/>
      <c r="AX7" s="50">
        <v>1</v>
      </c>
      <c r="AY7" s="49">
        <v>1</v>
      </c>
      <c r="AZ7" s="50"/>
      <c r="BA7" s="52">
        <v>4</v>
      </c>
      <c r="BB7" s="50"/>
      <c r="BC7" s="50">
        <f t="shared" si="4"/>
        <v>4</v>
      </c>
      <c r="BD7" s="50">
        <v>3</v>
      </c>
      <c r="BE7" s="49"/>
      <c r="BF7" s="49">
        <v>1</v>
      </c>
      <c r="BG7" s="49"/>
      <c r="BH7" s="53">
        <f t="shared" si="5"/>
        <v>95</v>
      </c>
      <c r="BI7" s="54"/>
      <c r="BJ7" s="54"/>
    </row>
    <row r="8" s="26" customFormat="1" customHeight="1" spans="1:62">
      <c r="A8" s="44">
        <f>'3'!A8+1</f>
        <v>46116</v>
      </c>
      <c r="B8" s="45" t="s">
        <v>3283</v>
      </c>
      <c r="C8" s="45" t="s">
        <v>3265</v>
      </c>
      <c r="D8" s="46" t="s">
        <v>22</v>
      </c>
      <c r="E8" s="47">
        <f>SUMIFS(卸车数据!$J$6:$J$1048576,卸车数据!$R$6:$R$1048576,"&gt;="&amp;A8+TIME(5,0,0),卸车数据!$R$6:$R$1048576,"&lt;"&amp;A8+TIME(6,0,0))</f>
        <v>3884</v>
      </c>
      <c r="F8" s="47">
        <v>2079</v>
      </c>
      <c r="G8" s="48">
        <v>249</v>
      </c>
      <c r="H8" s="49">
        <v>1</v>
      </c>
      <c r="I8" s="49" t="s">
        <v>3284</v>
      </c>
      <c r="J8" s="49"/>
      <c r="K8" s="50">
        <f t="shared" si="0"/>
        <v>17</v>
      </c>
      <c r="L8" s="50">
        <v>1</v>
      </c>
      <c r="M8" s="49">
        <v>5</v>
      </c>
      <c r="N8" s="49">
        <v>2</v>
      </c>
      <c r="O8" s="49">
        <v>2</v>
      </c>
      <c r="P8" s="49">
        <v>4</v>
      </c>
      <c r="Q8" s="49">
        <v>1</v>
      </c>
      <c r="R8" s="49">
        <v>2</v>
      </c>
      <c r="S8" s="50"/>
      <c r="T8" s="50"/>
      <c r="U8" s="49"/>
      <c r="V8" s="49"/>
      <c r="W8" s="50">
        <f t="shared" si="1"/>
        <v>25</v>
      </c>
      <c r="X8" s="50">
        <v>1</v>
      </c>
      <c r="Y8" s="49">
        <v>12</v>
      </c>
      <c r="Z8" s="49">
        <v>9</v>
      </c>
      <c r="AA8" s="49">
        <v>1</v>
      </c>
      <c r="AB8" s="49"/>
      <c r="AC8" s="49">
        <v>2</v>
      </c>
      <c r="AD8" s="50"/>
      <c r="AE8" s="49" t="s">
        <v>3285</v>
      </c>
      <c r="AF8" s="49"/>
      <c r="AG8" s="50">
        <f t="shared" si="2"/>
        <v>25</v>
      </c>
      <c r="AH8" s="50">
        <v>1</v>
      </c>
      <c r="AI8" s="50">
        <v>6</v>
      </c>
      <c r="AJ8" s="50">
        <v>6</v>
      </c>
      <c r="AK8" s="49">
        <v>10</v>
      </c>
      <c r="AL8" s="49"/>
      <c r="AM8" s="49">
        <v>1</v>
      </c>
      <c r="AN8" s="49">
        <v>1</v>
      </c>
      <c r="AO8" s="50"/>
      <c r="AP8" s="49"/>
      <c r="AQ8" s="49"/>
      <c r="AR8" s="50">
        <f t="shared" si="3"/>
        <v>20</v>
      </c>
      <c r="AS8" s="50">
        <v>1</v>
      </c>
      <c r="AT8" s="50"/>
      <c r="AU8" s="49">
        <v>11</v>
      </c>
      <c r="AV8" s="51">
        <v>6</v>
      </c>
      <c r="AW8" s="50"/>
      <c r="AX8" s="50">
        <v>1</v>
      </c>
      <c r="AY8" s="49">
        <v>1</v>
      </c>
      <c r="AZ8" s="50"/>
      <c r="BA8" s="52">
        <v>4</v>
      </c>
      <c r="BB8" s="50"/>
      <c r="BC8" s="50">
        <f t="shared" si="4"/>
        <v>4</v>
      </c>
      <c r="BD8" s="50">
        <v>3</v>
      </c>
      <c r="BE8" s="49"/>
      <c r="BF8" s="49">
        <v>1</v>
      </c>
      <c r="BG8" s="49"/>
      <c r="BH8" s="53">
        <f t="shared" si="5"/>
        <v>95</v>
      </c>
      <c r="BI8" s="54"/>
      <c r="BJ8" s="54"/>
    </row>
    <row r="9" s="26" customFormat="1" customHeight="1" spans="1:62">
      <c r="A9" s="44">
        <f>'3'!A9+1</f>
        <v>46116</v>
      </c>
      <c r="B9" s="45" t="s">
        <v>3286</v>
      </c>
      <c r="C9" s="45" t="s">
        <v>3265</v>
      </c>
      <c r="D9" s="46" t="s">
        <v>22</v>
      </c>
      <c r="E9" s="47">
        <f>SUMIFS(卸车数据!$J$6:$J$1048576,卸车数据!$R$6:$R$1048576,"&gt;="&amp;A9+TIME(6,0,0),卸车数据!$R$6:$R$1048576,"&lt;"&amp;A9+TIME(7,0,0))</f>
        <v>772</v>
      </c>
      <c r="F9" s="47">
        <v>1996</v>
      </c>
      <c r="G9" s="48">
        <v>3811</v>
      </c>
      <c r="H9" s="49">
        <v>1</v>
      </c>
      <c r="I9" s="49" t="s">
        <v>3287</v>
      </c>
      <c r="J9" s="49"/>
      <c r="K9" s="50">
        <f t="shared" si="0"/>
        <v>17</v>
      </c>
      <c r="L9" s="50">
        <v>1</v>
      </c>
      <c r="M9" s="49">
        <v>5</v>
      </c>
      <c r="N9" s="49">
        <v>2</v>
      </c>
      <c r="O9" s="49">
        <v>2</v>
      </c>
      <c r="P9" s="49">
        <v>4</v>
      </c>
      <c r="Q9" s="49">
        <v>1</v>
      </c>
      <c r="R9" s="49">
        <v>2</v>
      </c>
      <c r="S9" s="50"/>
      <c r="T9" s="50"/>
      <c r="U9" s="49"/>
      <c r="V9" s="49"/>
      <c r="W9" s="50">
        <f t="shared" si="1"/>
        <v>25</v>
      </c>
      <c r="X9" s="50">
        <v>1</v>
      </c>
      <c r="Y9" s="49">
        <v>12</v>
      </c>
      <c r="Z9" s="49">
        <v>9</v>
      </c>
      <c r="AA9" s="49">
        <v>1</v>
      </c>
      <c r="AB9" s="49"/>
      <c r="AC9" s="49">
        <v>2</v>
      </c>
      <c r="AD9" s="50"/>
      <c r="AE9" s="49"/>
      <c r="AF9" s="49"/>
      <c r="AG9" s="50">
        <f t="shared" si="2"/>
        <v>25</v>
      </c>
      <c r="AH9" s="50">
        <v>1</v>
      </c>
      <c r="AI9" s="50">
        <v>6</v>
      </c>
      <c r="AJ9" s="50">
        <v>6</v>
      </c>
      <c r="AK9" s="49">
        <v>10</v>
      </c>
      <c r="AL9" s="49"/>
      <c r="AM9" s="49">
        <v>1</v>
      </c>
      <c r="AN9" s="49">
        <v>1</v>
      </c>
      <c r="AO9" s="50"/>
      <c r="AP9" s="49"/>
      <c r="AQ9" s="49"/>
      <c r="AR9" s="50">
        <f t="shared" si="3"/>
        <v>20</v>
      </c>
      <c r="AS9" s="50">
        <v>1</v>
      </c>
      <c r="AT9" s="50"/>
      <c r="AU9" s="49">
        <v>11</v>
      </c>
      <c r="AV9" s="51">
        <v>6</v>
      </c>
      <c r="AW9" s="50"/>
      <c r="AX9" s="50">
        <v>1</v>
      </c>
      <c r="AY9" s="49">
        <v>1</v>
      </c>
      <c r="AZ9" s="50"/>
      <c r="BA9" s="52">
        <v>4</v>
      </c>
      <c r="BB9" s="50"/>
      <c r="BC9" s="50">
        <f t="shared" si="4"/>
        <v>4</v>
      </c>
      <c r="BD9" s="50">
        <v>3</v>
      </c>
      <c r="BE9" s="49"/>
      <c r="BF9" s="49">
        <v>1</v>
      </c>
      <c r="BG9" s="49"/>
      <c r="BH9" s="53">
        <f t="shared" si="5"/>
        <v>95</v>
      </c>
      <c r="BI9" s="54"/>
      <c r="BJ9" s="54"/>
    </row>
    <row r="10" s="26" customFormat="1" customHeight="1" spans="1:62">
      <c r="A10" s="44">
        <f>'3'!A10+1</f>
        <v>46116</v>
      </c>
      <c r="B10" s="45" t="s">
        <v>3288</v>
      </c>
      <c r="C10" s="45" t="s">
        <v>3289</v>
      </c>
      <c r="D10" s="46" t="s">
        <v>22</v>
      </c>
      <c r="E10" s="47">
        <f>SUMIFS(卸车数据!$J$6:$J$1048576,卸车数据!$R$6:$R$1048576,"&gt;="&amp;A10+TIME(7,0,0),卸车数据!$R$6:$R$1048576,"&lt;"&amp;A10+TIME(8,0,0))</f>
        <v>2303</v>
      </c>
      <c r="F10" s="62">
        <v>3383</v>
      </c>
      <c r="G10" s="63">
        <v>815</v>
      </c>
      <c r="H10" s="49">
        <v>1</v>
      </c>
      <c r="I10" s="49" t="s">
        <v>3290</v>
      </c>
      <c r="J10" s="49" t="s">
        <v>3291</v>
      </c>
      <c r="K10" s="50">
        <f t="shared" si="0"/>
        <v>9</v>
      </c>
      <c r="L10" s="50">
        <v>1</v>
      </c>
      <c r="M10" s="50">
        <v>2</v>
      </c>
      <c r="N10" s="50">
        <v>1</v>
      </c>
      <c r="O10" s="50">
        <v>1</v>
      </c>
      <c r="P10" s="50">
        <v>2</v>
      </c>
      <c r="Q10" s="50"/>
      <c r="R10" s="50">
        <v>1</v>
      </c>
      <c r="S10" s="50">
        <v>1</v>
      </c>
      <c r="T10" s="49"/>
      <c r="U10" s="49" t="s">
        <v>3292</v>
      </c>
      <c r="V10" s="49"/>
      <c r="W10" s="50">
        <f t="shared" si="1"/>
        <v>11</v>
      </c>
      <c r="X10" s="50">
        <v>1</v>
      </c>
      <c r="Y10" s="50">
        <v>5</v>
      </c>
      <c r="Z10" s="50">
        <v>4</v>
      </c>
      <c r="AA10" s="50"/>
      <c r="AB10" s="50"/>
      <c r="AC10" s="50">
        <v>1</v>
      </c>
      <c r="AD10" s="50"/>
      <c r="AE10" s="64" t="s">
        <v>3293</v>
      </c>
      <c r="AF10" s="49" t="s">
        <v>3294</v>
      </c>
      <c r="AG10" s="50">
        <f t="shared" si="2"/>
        <v>16</v>
      </c>
      <c r="AH10" s="50">
        <v>1</v>
      </c>
      <c r="AI10" s="50">
        <v>1</v>
      </c>
      <c r="AJ10" s="50">
        <v>6</v>
      </c>
      <c r="AK10" s="50">
        <v>3</v>
      </c>
      <c r="AL10" s="50"/>
      <c r="AM10" s="50">
        <v>1</v>
      </c>
      <c r="AN10" s="50">
        <v>1</v>
      </c>
      <c r="AO10" s="59">
        <v>3</v>
      </c>
      <c r="AP10" s="49" t="s">
        <v>3295</v>
      </c>
      <c r="AQ10" s="49"/>
      <c r="AR10" s="50">
        <f t="shared" si="3"/>
        <v>16</v>
      </c>
      <c r="AS10" s="50">
        <v>1</v>
      </c>
      <c r="AT10" s="50">
        <v>1</v>
      </c>
      <c r="AU10" s="50">
        <v>7</v>
      </c>
      <c r="AV10" s="50">
        <v>3</v>
      </c>
      <c r="AW10" s="50">
        <v>1</v>
      </c>
      <c r="AX10" s="50">
        <v>1</v>
      </c>
      <c r="AY10" s="50"/>
      <c r="AZ10" s="59">
        <v>2</v>
      </c>
      <c r="BA10" s="50"/>
      <c r="BB10" s="50"/>
      <c r="BC10" s="50">
        <f t="shared" si="4"/>
        <v>5</v>
      </c>
      <c r="BD10" s="50">
        <v>2</v>
      </c>
      <c r="BE10" s="49">
        <v>2</v>
      </c>
      <c r="BF10" s="49">
        <v>1</v>
      </c>
      <c r="BG10" s="49"/>
      <c r="BH10" s="53">
        <f t="shared" si="5"/>
        <v>57</v>
      </c>
      <c r="BI10" s="61" t="s">
        <v>3296</v>
      </c>
      <c r="BJ10" s="61">
        <v>58</v>
      </c>
    </row>
    <row r="11" s="28" customFormat="1" customHeight="1" spans="1:62">
      <c r="A11" s="44">
        <f>'3'!A11+1</f>
        <v>46116</v>
      </c>
      <c r="B11" s="45" t="s">
        <v>3297</v>
      </c>
      <c r="C11" s="45" t="s">
        <v>3289</v>
      </c>
      <c r="D11" s="46" t="s">
        <v>22</v>
      </c>
      <c r="E11" s="47">
        <f>SUMIFS(卸车数据!$J$6:$J$1048576,卸车数据!$R$6:$R$1048576,"&gt;="&amp;A11+TIME(8,0,0),卸车数据!$R$6:$R$1048576,"&lt;"&amp;A11+TIME(9,0,0))</f>
        <v>2687</v>
      </c>
      <c r="F11" s="62">
        <v>1405</v>
      </c>
      <c r="G11" s="65">
        <v>9420</v>
      </c>
      <c r="H11" s="49">
        <v>1</v>
      </c>
      <c r="I11" s="49" t="s">
        <v>3290</v>
      </c>
      <c r="J11" s="49" t="s">
        <v>3291</v>
      </c>
      <c r="K11" s="50">
        <f t="shared" si="0"/>
        <v>9</v>
      </c>
      <c r="L11" s="50">
        <v>1</v>
      </c>
      <c r="M11" s="50">
        <v>2</v>
      </c>
      <c r="N11" s="50">
        <v>1</v>
      </c>
      <c r="O11" s="50">
        <v>1</v>
      </c>
      <c r="P11" s="50">
        <v>2</v>
      </c>
      <c r="Q11" s="50"/>
      <c r="R11" s="50">
        <v>1</v>
      </c>
      <c r="S11" s="49">
        <v>1</v>
      </c>
      <c r="T11" s="49"/>
      <c r="U11" s="49" t="s">
        <v>3298</v>
      </c>
      <c r="V11" s="49"/>
      <c r="W11" s="50">
        <f t="shared" si="1"/>
        <v>11</v>
      </c>
      <c r="X11" s="50">
        <v>1</v>
      </c>
      <c r="Y11" s="50">
        <v>5</v>
      </c>
      <c r="Z11" s="50">
        <v>4</v>
      </c>
      <c r="AA11" s="50"/>
      <c r="AB11" s="50"/>
      <c r="AC11" s="50">
        <v>1</v>
      </c>
      <c r="AD11" s="50"/>
      <c r="AE11" s="64" t="s">
        <v>3299</v>
      </c>
      <c r="AF11" s="49"/>
      <c r="AG11" s="50">
        <f t="shared" si="2"/>
        <v>16</v>
      </c>
      <c r="AH11" s="50">
        <v>1</v>
      </c>
      <c r="AI11" s="50">
        <v>1</v>
      </c>
      <c r="AJ11" s="50">
        <v>6</v>
      </c>
      <c r="AK11" s="50">
        <v>3</v>
      </c>
      <c r="AL11" s="50"/>
      <c r="AM11" s="50">
        <v>1</v>
      </c>
      <c r="AN11" s="50">
        <v>1</v>
      </c>
      <c r="AO11" s="59">
        <v>3</v>
      </c>
      <c r="AP11" s="49" t="s">
        <v>3300</v>
      </c>
      <c r="AQ11" s="49" t="s">
        <v>3301</v>
      </c>
      <c r="AR11" s="50">
        <f t="shared" si="3"/>
        <v>16</v>
      </c>
      <c r="AS11" s="50">
        <v>1</v>
      </c>
      <c r="AT11" s="50">
        <v>1</v>
      </c>
      <c r="AU11" s="50">
        <v>7</v>
      </c>
      <c r="AV11" s="50">
        <v>3</v>
      </c>
      <c r="AW11" s="50">
        <v>1</v>
      </c>
      <c r="AX11" s="50">
        <v>1</v>
      </c>
      <c r="AY11" s="49"/>
      <c r="AZ11" s="66">
        <v>2</v>
      </c>
      <c r="BA11" s="49"/>
      <c r="BB11" s="49"/>
      <c r="BC11" s="50">
        <f t="shared" si="4"/>
        <v>5</v>
      </c>
      <c r="BD11" s="50">
        <v>2</v>
      </c>
      <c r="BE11" s="49">
        <v>2</v>
      </c>
      <c r="BF11" s="49">
        <v>1</v>
      </c>
      <c r="BG11" s="53"/>
      <c r="BH11" s="53">
        <f t="shared" si="5"/>
        <v>57</v>
      </c>
      <c r="BI11" s="54"/>
      <c r="BJ11" s="54"/>
    </row>
    <row r="12" s="28" customFormat="1" customHeight="1" spans="1:62">
      <c r="A12" s="44">
        <f>'3'!A12+1</f>
        <v>46116</v>
      </c>
      <c r="B12" s="45" t="s">
        <v>3302</v>
      </c>
      <c r="C12" s="45" t="s">
        <v>3289</v>
      </c>
      <c r="D12" s="46" t="s">
        <v>22</v>
      </c>
      <c r="E12" s="47">
        <f>SUMIFS(卸车数据!$J$6:$J$1048576,卸车数据!$R$6:$R$1048576,"&gt;="&amp;A12+TIME(9,0,0),卸车数据!$R$6:$R$1048576,"&lt;"&amp;A12+TIME(10,0,0))</f>
        <v>243</v>
      </c>
      <c r="F12" s="47">
        <v>2362</v>
      </c>
      <c r="G12" s="65">
        <v>8845</v>
      </c>
      <c r="H12" s="49">
        <v>1</v>
      </c>
      <c r="I12" s="49" t="s">
        <v>3303</v>
      </c>
      <c r="J12" s="49"/>
      <c r="K12" s="50">
        <f t="shared" si="0"/>
        <v>12</v>
      </c>
      <c r="L12" s="50">
        <v>1</v>
      </c>
      <c r="M12" s="50">
        <v>4</v>
      </c>
      <c r="N12" s="50">
        <v>2</v>
      </c>
      <c r="O12" s="50">
        <v>1</v>
      </c>
      <c r="P12" s="50">
        <v>2</v>
      </c>
      <c r="Q12" s="50">
        <v>1</v>
      </c>
      <c r="R12" s="50">
        <v>1</v>
      </c>
      <c r="S12" s="49"/>
      <c r="T12" s="49"/>
      <c r="U12" s="49" t="s">
        <v>3304</v>
      </c>
      <c r="V12" s="49"/>
      <c r="W12" s="50">
        <f t="shared" si="1"/>
        <v>13</v>
      </c>
      <c r="X12" s="50">
        <v>1</v>
      </c>
      <c r="Y12" s="50">
        <v>7</v>
      </c>
      <c r="Z12" s="50">
        <v>4</v>
      </c>
      <c r="AA12" s="50"/>
      <c r="AB12" s="50"/>
      <c r="AC12" s="50">
        <v>1</v>
      </c>
      <c r="AD12" s="50"/>
      <c r="AE12" s="64" t="s">
        <v>3305</v>
      </c>
      <c r="AF12" s="49"/>
      <c r="AG12" s="50">
        <f t="shared" si="2"/>
        <v>13</v>
      </c>
      <c r="AH12" s="50">
        <v>1</v>
      </c>
      <c r="AI12" s="50">
        <v>1</v>
      </c>
      <c r="AJ12" s="50">
        <v>6</v>
      </c>
      <c r="AK12" s="50">
        <v>3</v>
      </c>
      <c r="AL12" s="50"/>
      <c r="AM12" s="50">
        <v>1</v>
      </c>
      <c r="AN12" s="50">
        <v>1</v>
      </c>
      <c r="AO12" s="50"/>
      <c r="AP12" s="49" t="s">
        <v>3300</v>
      </c>
      <c r="AQ12" s="49" t="s">
        <v>3301</v>
      </c>
      <c r="AR12" s="50">
        <f t="shared" si="3"/>
        <v>14</v>
      </c>
      <c r="AS12" s="50">
        <v>1</v>
      </c>
      <c r="AT12" s="50">
        <v>1</v>
      </c>
      <c r="AU12" s="50">
        <v>7</v>
      </c>
      <c r="AV12" s="50">
        <v>3</v>
      </c>
      <c r="AW12" s="50">
        <v>1</v>
      </c>
      <c r="AX12" s="50">
        <v>1</v>
      </c>
      <c r="AY12" s="49"/>
      <c r="AZ12" s="49"/>
      <c r="BA12" s="49"/>
      <c r="BB12" s="49"/>
      <c r="BC12" s="50">
        <f t="shared" si="4"/>
        <v>5</v>
      </c>
      <c r="BD12" s="50">
        <v>2</v>
      </c>
      <c r="BE12" s="49">
        <v>2</v>
      </c>
      <c r="BF12" s="49">
        <v>1</v>
      </c>
      <c r="BG12" s="53"/>
      <c r="BH12" s="53">
        <f t="shared" si="5"/>
        <v>57</v>
      </c>
      <c r="BI12" s="54"/>
      <c r="BJ12" s="54"/>
    </row>
    <row r="13" s="28" customFormat="1" customHeight="1" spans="1:62">
      <c r="A13" s="44">
        <f>'3'!A13+1</f>
        <v>46116</v>
      </c>
      <c r="B13" s="45" t="s">
        <v>3306</v>
      </c>
      <c r="C13" s="45" t="s">
        <v>3289</v>
      </c>
      <c r="D13" s="46" t="s">
        <v>22</v>
      </c>
      <c r="E13" s="47">
        <f>SUMIFS(卸车数据!$J$6:$J$1048576,卸车数据!$R$6:$R$1048576,"&gt;="&amp;A13+TIME(10,0,0),卸车数据!$R$6:$R$1048576,"&lt;"&amp;A13+TIME(11,0,0))</f>
        <v>0</v>
      </c>
      <c r="F13" s="47">
        <v>270</v>
      </c>
      <c r="G13" s="65">
        <v>57</v>
      </c>
      <c r="H13" s="49">
        <v>1</v>
      </c>
      <c r="I13" s="64" t="s">
        <v>3307</v>
      </c>
      <c r="J13" s="49"/>
      <c r="K13" s="50">
        <f t="shared" si="0"/>
        <v>12</v>
      </c>
      <c r="L13" s="50">
        <v>1</v>
      </c>
      <c r="M13" s="50">
        <v>4</v>
      </c>
      <c r="N13" s="50">
        <v>2</v>
      </c>
      <c r="O13" s="50">
        <v>1</v>
      </c>
      <c r="P13" s="50">
        <v>2</v>
      </c>
      <c r="Q13" s="50">
        <v>1</v>
      </c>
      <c r="R13" s="50">
        <v>1</v>
      </c>
      <c r="S13" s="49"/>
      <c r="T13" s="49"/>
      <c r="U13" s="49" t="s">
        <v>3308</v>
      </c>
      <c r="V13" s="49"/>
      <c r="W13" s="50">
        <f t="shared" si="1"/>
        <v>13</v>
      </c>
      <c r="X13" s="50">
        <v>1</v>
      </c>
      <c r="Y13" s="50">
        <v>7</v>
      </c>
      <c r="Z13" s="50">
        <v>4</v>
      </c>
      <c r="AA13" s="50"/>
      <c r="AB13" s="50"/>
      <c r="AC13" s="50">
        <v>1</v>
      </c>
      <c r="AD13" s="50"/>
      <c r="AE13" s="64" t="s">
        <v>3309</v>
      </c>
      <c r="AF13" s="49"/>
      <c r="AG13" s="50">
        <f t="shared" si="2"/>
        <v>13</v>
      </c>
      <c r="AH13" s="50">
        <v>1</v>
      </c>
      <c r="AI13" s="50">
        <v>1</v>
      </c>
      <c r="AJ13" s="50">
        <v>6</v>
      </c>
      <c r="AK13" s="50">
        <v>3</v>
      </c>
      <c r="AL13" s="50"/>
      <c r="AM13" s="50">
        <v>1</v>
      </c>
      <c r="AN13" s="50">
        <v>1</v>
      </c>
      <c r="AO13" s="50"/>
      <c r="AP13" s="49" t="s">
        <v>3300</v>
      </c>
      <c r="AQ13" s="49" t="s">
        <v>3301</v>
      </c>
      <c r="AR13" s="50">
        <f t="shared" si="3"/>
        <v>14</v>
      </c>
      <c r="AS13" s="50">
        <v>1</v>
      </c>
      <c r="AT13" s="50">
        <v>1</v>
      </c>
      <c r="AU13" s="50">
        <v>7</v>
      </c>
      <c r="AV13" s="50">
        <v>3</v>
      </c>
      <c r="AW13" s="50">
        <v>1</v>
      </c>
      <c r="AX13" s="50">
        <v>1</v>
      </c>
      <c r="AY13" s="49"/>
      <c r="AZ13" s="49"/>
      <c r="BA13" s="49"/>
      <c r="BB13" s="49"/>
      <c r="BC13" s="50">
        <f t="shared" si="4"/>
        <v>5</v>
      </c>
      <c r="BD13" s="50">
        <v>2</v>
      </c>
      <c r="BE13" s="49">
        <v>2</v>
      </c>
      <c r="BF13" s="49">
        <v>1</v>
      </c>
      <c r="BG13" s="53"/>
      <c r="BH13" s="53">
        <f t="shared" si="5"/>
        <v>57</v>
      </c>
      <c r="BI13" s="54"/>
      <c r="BJ13" s="54"/>
    </row>
    <row r="14" s="29" customFormat="1" customHeight="1" spans="1:62">
      <c r="A14" s="44">
        <f>'3'!A14+1</f>
        <v>46116</v>
      </c>
      <c r="B14" s="55" t="s">
        <v>3310</v>
      </c>
      <c r="C14" s="55" t="s">
        <v>3289</v>
      </c>
      <c r="D14" s="55" t="s">
        <v>3311</v>
      </c>
      <c r="E14" s="47">
        <f>SUMIFS(卸车数据!$J$6:$J$1048576,卸车数据!$R$6:$R$1048576,"&gt;="&amp;A14+TIME(11,0,0),卸车数据!$R$6:$R$1048576,"&lt;"&amp;A14+TIME(12,0,0))</f>
        <v>11573</v>
      </c>
      <c r="F14" s="47">
        <v>2666</v>
      </c>
      <c r="G14" s="67">
        <v>27</v>
      </c>
      <c r="H14" s="51">
        <v>1</v>
      </c>
      <c r="I14" s="68" t="s">
        <v>3312</v>
      </c>
      <c r="J14" s="51"/>
      <c r="K14" s="58">
        <f t="shared" si="0"/>
        <v>15</v>
      </c>
      <c r="L14" s="58">
        <v>1</v>
      </c>
      <c r="M14" s="51">
        <v>5</v>
      </c>
      <c r="N14" s="51">
        <v>5</v>
      </c>
      <c r="O14" s="51"/>
      <c r="P14" s="51">
        <v>4</v>
      </c>
      <c r="Q14" s="51"/>
      <c r="R14" s="51"/>
      <c r="S14" s="51"/>
      <c r="T14" s="51"/>
      <c r="U14" s="51" t="s">
        <v>3313</v>
      </c>
      <c r="V14" s="51"/>
      <c r="W14" s="58">
        <f t="shared" si="1"/>
        <v>20</v>
      </c>
      <c r="X14" s="58">
        <v>1</v>
      </c>
      <c r="Y14" s="58">
        <v>10</v>
      </c>
      <c r="Z14" s="58">
        <v>7</v>
      </c>
      <c r="AA14" s="58"/>
      <c r="AB14" s="58"/>
      <c r="AC14" s="58">
        <v>2</v>
      </c>
      <c r="AD14" s="58"/>
      <c r="AE14" s="68" t="s">
        <v>3314</v>
      </c>
      <c r="AF14" s="51"/>
      <c r="AG14" s="58">
        <f t="shared" si="2"/>
        <v>16</v>
      </c>
      <c r="AH14" s="58">
        <v>1</v>
      </c>
      <c r="AI14" s="58">
        <v>1</v>
      </c>
      <c r="AJ14" s="58">
        <v>5</v>
      </c>
      <c r="AK14" s="50">
        <v>7</v>
      </c>
      <c r="AL14" s="58"/>
      <c r="AM14" s="58">
        <v>1</v>
      </c>
      <c r="AN14" s="58">
        <v>1</v>
      </c>
      <c r="AO14" s="58"/>
      <c r="AP14" s="51" t="s">
        <v>3315</v>
      </c>
      <c r="AQ14" s="51" t="s">
        <v>3316</v>
      </c>
      <c r="AR14" s="58">
        <f t="shared" si="3"/>
        <v>19</v>
      </c>
      <c r="AS14" s="58">
        <v>1</v>
      </c>
      <c r="AT14" s="58">
        <v>1</v>
      </c>
      <c r="AU14" s="58">
        <v>10</v>
      </c>
      <c r="AV14" s="58">
        <v>5</v>
      </c>
      <c r="AW14" s="58">
        <v>1</v>
      </c>
      <c r="AX14" s="58">
        <v>1</v>
      </c>
      <c r="AY14" s="51"/>
      <c r="AZ14" s="51"/>
      <c r="BA14" s="51"/>
      <c r="BB14" s="51"/>
      <c r="BC14" s="50">
        <f t="shared" si="4"/>
        <v>5</v>
      </c>
      <c r="BD14" s="58">
        <v>2</v>
      </c>
      <c r="BE14" s="49">
        <v>2</v>
      </c>
      <c r="BF14" s="49">
        <v>1</v>
      </c>
      <c r="BG14" s="69"/>
      <c r="BH14" s="53">
        <f t="shared" si="5"/>
        <v>75</v>
      </c>
      <c r="BI14" s="61" t="s">
        <v>3317</v>
      </c>
      <c r="BJ14" s="61">
        <v>8</v>
      </c>
    </row>
    <row r="15" s="28" customFormat="1" customHeight="1" spans="1:62">
      <c r="A15" s="44">
        <f>'3'!A15+1</f>
        <v>46116</v>
      </c>
      <c r="B15" s="45" t="s">
        <v>3318</v>
      </c>
      <c r="C15" s="45" t="s">
        <v>3289</v>
      </c>
      <c r="D15" s="70" t="s">
        <v>3319</v>
      </c>
      <c r="E15" s="47">
        <f>SUMIFS(卸车数据!$J$6:$J$1048576,卸车数据!$R$6:$R$1048576,"&gt;="&amp;A15+TIME(12,0,0),卸车数据!$R$6:$R$1048576,"&lt;"&amp;A15+TIME(13,0,0))</f>
        <v>8878</v>
      </c>
      <c r="F15" s="49">
        <v>4923</v>
      </c>
      <c r="G15" s="65">
        <v>12</v>
      </c>
      <c r="H15" s="49">
        <v>1</v>
      </c>
      <c r="I15" s="49" t="s">
        <v>3320</v>
      </c>
      <c r="J15" s="49" t="s">
        <v>3321</v>
      </c>
      <c r="K15" s="50">
        <f t="shared" si="0"/>
        <v>19</v>
      </c>
      <c r="L15" s="50">
        <v>1</v>
      </c>
      <c r="M15" s="49">
        <v>5</v>
      </c>
      <c r="N15" s="49">
        <v>5</v>
      </c>
      <c r="O15" s="49"/>
      <c r="P15" s="49">
        <v>3</v>
      </c>
      <c r="Q15" s="49"/>
      <c r="R15" s="49"/>
      <c r="S15" s="49"/>
      <c r="T15" s="66">
        <v>5</v>
      </c>
      <c r="U15" s="49" t="s">
        <v>3322</v>
      </c>
      <c r="V15" s="49" t="s">
        <v>3323</v>
      </c>
      <c r="W15" s="50">
        <f t="shared" si="1"/>
        <v>4</v>
      </c>
      <c r="X15" s="50">
        <v>1</v>
      </c>
      <c r="Y15" s="49"/>
      <c r="Z15" s="49"/>
      <c r="AA15" s="49">
        <v>1</v>
      </c>
      <c r="AB15" s="49"/>
      <c r="AC15" s="58">
        <v>2</v>
      </c>
      <c r="AD15" s="49"/>
      <c r="AE15" s="64" t="s">
        <v>3324</v>
      </c>
      <c r="AF15" s="49"/>
      <c r="AG15" s="50">
        <f t="shared" si="2"/>
        <v>25</v>
      </c>
      <c r="AH15" s="50">
        <v>1</v>
      </c>
      <c r="AI15" s="50">
        <v>3</v>
      </c>
      <c r="AJ15" s="49">
        <v>5</v>
      </c>
      <c r="AK15" s="50">
        <v>7</v>
      </c>
      <c r="AL15" s="49"/>
      <c r="AM15" s="49"/>
      <c r="AN15" s="49"/>
      <c r="AO15" s="66">
        <v>9</v>
      </c>
      <c r="AP15" s="49" t="s">
        <v>3325</v>
      </c>
      <c r="AQ15" s="49" t="s">
        <v>3326</v>
      </c>
      <c r="AR15" s="50">
        <f t="shared" si="3"/>
        <v>22</v>
      </c>
      <c r="AS15" s="50">
        <v>1</v>
      </c>
      <c r="AT15" s="50">
        <v>1</v>
      </c>
      <c r="AU15" s="50">
        <v>10</v>
      </c>
      <c r="AV15" s="50">
        <v>5</v>
      </c>
      <c r="AW15" s="50">
        <v>1</v>
      </c>
      <c r="AX15" s="50"/>
      <c r="AY15" s="49"/>
      <c r="AZ15" s="66">
        <v>4</v>
      </c>
      <c r="BA15" s="49"/>
      <c r="BB15" s="49"/>
      <c r="BC15" s="50">
        <f t="shared" si="4"/>
        <v>5</v>
      </c>
      <c r="BD15" s="50">
        <v>2</v>
      </c>
      <c r="BE15" s="49">
        <v>2</v>
      </c>
      <c r="BF15" s="49">
        <v>1</v>
      </c>
      <c r="BG15" s="53"/>
      <c r="BH15" s="53">
        <f t="shared" si="5"/>
        <v>75</v>
      </c>
      <c r="BI15" s="54"/>
      <c r="BJ15" s="54"/>
    </row>
    <row r="16" s="28" customFormat="1" customHeight="1" spans="1:62">
      <c r="A16" s="44">
        <f>'3'!A16+1</f>
        <v>46116</v>
      </c>
      <c r="B16" s="45" t="s">
        <v>3327</v>
      </c>
      <c r="C16" s="45" t="s">
        <v>3289</v>
      </c>
      <c r="D16" s="70" t="s">
        <v>3319</v>
      </c>
      <c r="E16" s="47">
        <f>SUMIFS(卸车数据!$J$6:$J$1048576,卸车数据!$R$6:$R$1048576,"&gt;="&amp;A16+TIME(13,0,0),卸车数据!$R$6:$R$1048576,"&lt;"&amp;A16+TIME(14,0,0))</f>
        <v>7321</v>
      </c>
      <c r="F16" s="49">
        <v>2440</v>
      </c>
      <c r="G16" s="65">
        <v>2721</v>
      </c>
      <c r="H16" s="49">
        <v>1</v>
      </c>
      <c r="I16" s="49" t="s">
        <v>3320</v>
      </c>
      <c r="J16" s="49" t="s">
        <v>3328</v>
      </c>
      <c r="K16" s="50">
        <f t="shared" si="0"/>
        <v>12</v>
      </c>
      <c r="L16" s="50">
        <v>1</v>
      </c>
      <c r="M16" s="49">
        <v>3</v>
      </c>
      <c r="N16" s="49">
        <v>5</v>
      </c>
      <c r="O16" s="49"/>
      <c r="P16" s="49">
        <v>3</v>
      </c>
      <c r="Q16" s="49"/>
      <c r="R16" s="49"/>
      <c r="S16" s="49"/>
      <c r="T16" s="49"/>
      <c r="U16" s="49" t="s">
        <v>3329</v>
      </c>
      <c r="V16" s="49"/>
      <c r="W16" s="50">
        <f t="shared" si="1"/>
        <v>22</v>
      </c>
      <c r="X16" s="50">
        <v>1</v>
      </c>
      <c r="Y16" s="49">
        <v>12</v>
      </c>
      <c r="Z16" s="49">
        <v>7</v>
      </c>
      <c r="AA16" s="49"/>
      <c r="AB16" s="49"/>
      <c r="AC16" s="58">
        <v>2</v>
      </c>
      <c r="AD16" s="49"/>
      <c r="AE16" s="49" t="s">
        <v>3330</v>
      </c>
      <c r="AF16" s="49"/>
      <c r="AG16" s="50">
        <f t="shared" si="2"/>
        <v>18</v>
      </c>
      <c r="AH16" s="50">
        <v>1</v>
      </c>
      <c r="AI16" s="50">
        <v>1</v>
      </c>
      <c r="AJ16" s="50">
        <v>5</v>
      </c>
      <c r="AK16" s="50">
        <v>7</v>
      </c>
      <c r="AL16" s="50"/>
      <c r="AM16" s="50">
        <v>1</v>
      </c>
      <c r="AN16" s="50">
        <v>1</v>
      </c>
      <c r="AO16" s="66">
        <v>2</v>
      </c>
      <c r="AP16" s="49" t="s">
        <v>3325</v>
      </c>
      <c r="AQ16" s="49" t="s">
        <v>3326</v>
      </c>
      <c r="AR16" s="50">
        <f t="shared" si="3"/>
        <v>18</v>
      </c>
      <c r="AS16" s="50">
        <v>1</v>
      </c>
      <c r="AT16" s="50">
        <v>1</v>
      </c>
      <c r="AU16" s="50">
        <v>10</v>
      </c>
      <c r="AV16" s="50">
        <v>5</v>
      </c>
      <c r="AW16" s="50">
        <v>1</v>
      </c>
      <c r="AX16" s="50"/>
      <c r="AY16" s="49"/>
      <c r="AZ16" s="49"/>
      <c r="BA16" s="49"/>
      <c r="BB16" s="49"/>
      <c r="BC16" s="50">
        <f t="shared" si="4"/>
        <v>5</v>
      </c>
      <c r="BD16" s="50">
        <v>2</v>
      </c>
      <c r="BE16" s="49">
        <v>2</v>
      </c>
      <c r="BF16" s="49">
        <v>1</v>
      </c>
      <c r="BG16" s="53"/>
      <c r="BH16" s="53">
        <f t="shared" si="5"/>
        <v>75</v>
      </c>
      <c r="BI16" s="54"/>
      <c r="BJ16" s="54"/>
    </row>
    <row r="17" s="28" customFormat="1" customHeight="1" spans="1:62">
      <c r="A17" s="44">
        <f>'3'!A17+1</f>
        <v>46116</v>
      </c>
      <c r="B17" s="45" t="s">
        <v>3331</v>
      </c>
      <c r="C17" s="45" t="s">
        <v>3289</v>
      </c>
      <c r="D17" s="70" t="s">
        <v>3319</v>
      </c>
      <c r="E17" s="47">
        <f>SUMIFS(卸车数据!$J$6:$J$1048576,卸车数据!$R$6:$R$1048576,"&gt;="&amp;A17+TIME(14,0,0),卸车数据!$R$6:$R$1048576,"&lt;"&amp;A17+TIME(15,0,0))</f>
        <v>5762</v>
      </c>
      <c r="F17" s="49">
        <v>1110</v>
      </c>
      <c r="G17" s="65">
        <v>12871</v>
      </c>
      <c r="H17" s="49">
        <v>1</v>
      </c>
      <c r="I17" s="49" t="s">
        <v>3332</v>
      </c>
      <c r="J17" s="49" t="s">
        <v>3333</v>
      </c>
      <c r="K17" s="50">
        <f t="shared" si="0"/>
        <v>12</v>
      </c>
      <c r="L17" s="50">
        <v>1</v>
      </c>
      <c r="M17" s="49">
        <v>3</v>
      </c>
      <c r="N17" s="49">
        <v>5</v>
      </c>
      <c r="O17" s="49"/>
      <c r="P17" s="49">
        <v>3</v>
      </c>
      <c r="Q17" s="49"/>
      <c r="R17" s="49"/>
      <c r="S17" s="49"/>
      <c r="T17" s="49"/>
      <c r="U17" s="49" t="s">
        <v>3329</v>
      </c>
      <c r="V17" s="49"/>
      <c r="W17" s="50">
        <f t="shared" si="1"/>
        <v>22</v>
      </c>
      <c r="X17" s="50">
        <v>1</v>
      </c>
      <c r="Y17" s="49">
        <v>12</v>
      </c>
      <c r="Z17" s="49">
        <v>7</v>
      </c>
      <c r="AA17" s="49"/>
      <c r="AB17" s="49"/>
      <c r="AC17" s="58">
        <v>2</v>
      </c>
      <c r="AD17" s="49"/>
      <c r="AE17" s="49"/>
      <c r="AF17" s="49"/>
      <c r="AG17" s="50">
        <f t="shared" si="2"/>
        <v>18</v>
      </c>
      <c r="AH17" s="50">
        <v>1</v>
      </c>
      <c r="AI17" s="50">
        <v>1</v>
      </c>
      <c r="AJ17" s="50">
        <v>5</v>
      </c>
      <c r="AK17" s="50">
        <v>7</v>
      </c>
      <c r="AL17" s="50"/>
      <c r="AM17" s="50">
        <v>1</v>
      </c>
      <c r="AN17" s="50">
        <v>1</v>
      </c>
      <c r="AO17" s="66">
        <v>2</v>
      </c>
      <c r="AP17" s="49" t="s">
        <v>3325</v>
      </c>
      <c r="AQ17" s="49" t="s">
        <v>3326</v>
      </c>
      <c r="AR17" s="50">
        <f t="shared" si="3"/>
        <v>18</v>
      </c>
      <c r="AS17" s="50">
        <v>1</v>
      </c>
      <c r="AT17" s="50">
        <v>1</v>
      </c>
      <c r="AU17" s="50">
        <v>10</v>
      </c>
      <c r="AV17" s="50">
        <v>5</v>
      </c>
      <c r="AW17" s="50">
        <v>1</v>
      </c>
      <c r="AX17" s="50"/>
      <c r="AY17" s="49"/>
      <c r="AZ17" s="49"/>
      <c r="BA17" s="49"/>
      <c r="BB17" s="49"/>
      <c r="BC17" s="50">
        <f t="shared" si="4"/>
        <v>5</v>
      </c>
      <c r="BD17" s="50">
        <v>2</v>
      </c>
      <c r="BE17" s="49">
        <v>2</v>
      </c>
      <c r="BF17" s="49">
        <v>1</v>
      </c>
      <c r="BG17" s="53"/>
      <c r="BH17" s="53">
        <f t="shared" si="5"/>
        <v>75</v>
      </c>
      <c r="BI17" s="54"/>
      <c r="BJ17" s="54"/>
    </row>
    <row r="18" s="28" customFormat="1" customHeight="1" spans="1:62">
      <c r="A18" s="44">
        <f>'3'!A18+1</f>
        <v>46116</v>
      </c>
      <c r="B18" s="45" t="s">
        <v>3334</v>
      </c>
      <c r="C18" s="45" t="s">
        <v>3289</v>
      </c>
      <c r="D18" s="46" t="s">
        <v>22</v>
      </c>
      <c r="E18" s="47">
        <f>SUMIFS(卸车数据!$J$6:$J$1048576,卸车数据!$R$6:$R$1048576,"&gt;="&amp;A18+TIME(15,0,0),卸车数据!$R$6:$R$1048576,"&lt;"&amp;A18+TIME(16,0,0))</f>
        <v>0</v>
      </c>
      <c r="F18" s="49">
        <v>2650</v>
      </c>
      <c r="G18" s="65">
        <v>5215</v>
      </c>
      <c r="H18" s="49">
        <v>1</v>
      </c>
      <c r="I18" s="49" t="s">
        <v>3335</v>
      </c>
      <c r="J18" s="49" t="s">
        <v>3336</v>
      </c>
      <c r="K18" s="50">
        <f t="shared" si="0"/>
        <v>12</v>
      </c>
      <c r="L18" s="50">
        <v>1</v>
      </c>
      <c r="M18" s="49">
        <v>5</v>
      </c>
      <c r="N18" s="49">
        <v>2</v>
      </c>
      <c r="O18" s="49"/>
      <c r="P18" s="49">
        <v>2</v>
      </c>
      <c r="Q18" s="49"/>
      <c r="R18" s="49">
        <v>2</v>
      </c>
      <c r="S18" s="49"/>
      <c r="T18" s="49"/>
      <c r="U18" s="49" t="s">
        <v>3337</v>
      </c>
      <c r="V18" s="49"/>
      <c r="W18" s="50">
        <f t="shared" si="1"/>
        <v>22</v>
      </c>
      <c r="X18" s="50">
        <v>1</v>
      </c>
      <c r="Y18" s="49">
        <v>12</v>
      </c>
      <c r="Z18" s="49">
        <v>7</v>
      </c>
      <c r="AA18" s="49"/>
      <c r="AB18" s="49"/>
      <c r="AC18" s="58">
        <v>2</v>
      </c>
      <c r="AD18" s="49"/>
      <c r="AE18" s="49" t="s">
        <v>3338</v>
      </c>
      <c r="AF18" s="49"/>
      <c r="AG18" s="50">
        <f t="shared" si="2"/>
        <v>18</v>
      </c>
      <c r="AH18" s="50">
        <v>1</v>
      </c>
      <c r="AI18" s="50">
        <v>1</v>
      </c>
      <c r="AJ18" s="50">
        <v>5</v>
      </c>
      <c r="AK18" s="50">
        <v>7</v>
      </c>
      <c r="AL18" s="50"/>
      <c r="AM18" s="50">
        <v>1</v>
      </c>
      <c r="AN18" s="50">
        <v>1</v>
      </c>
      <c r="AO18" s="66">
        <v>2</v>
      </c>
      <c r="AP18" s="49" t="s">
        <v>3325</v>
      </c>
      <c r="AQ18" s="49" t="s">
        <v>3326</v>
      </c>
      <c r="AR18" s="50">
        <f t="shared" si="3"/>
        <v>18</v>
      </c>
      <c r="AS18" s="50">
        <v>1</v>
      </c>
      <c r="AT18" s="50">
        <v>1</v>
      </c>
      <c r="AU18" s="50">
        <v>10</v>
      </c>
      <c r="AV18" s="50">
        <v>5</v>
      </c>
      <c r="AW18" s="50">
        <v>1</v>
      </c>
      <c r="AX18" s="50"/>
      <c r="AY18" s="49"/>
      <c r="AZ18" s="49"/>
      <c r="BA18" s="49"/>
      <c r="BB18" s="49"/>
      <c r="BC18" s="50">
        <f t="shared" si="4"/>
        <v>5</v>
      </c>
      <c r="BD18" s="50">
        <v>2</v>
      </c>
      <c r="BE18" s="49">
        <v>2</v>
      </c>
      <c r="BF18" s="49">
        <v>1</v>
      </c>
      <c r="BG18" s="53"/>
      <c r="BH18" s="53">
        <f t="shared" si="5"/>
        <v>75</v>
      </c>
      <c r="BI18" s="54"/>
      <c r="BJ18" s="54"/>
    </row>
    <row r="19" s="28" customFormat="1" customHeight="1" spans="1:62">
      <c r="A19" s="44">
        <f>'3'!A19+1</f>
        <v>46116</v>
      </c>
      <c r="B19" s="45" t="s">
        <v>3339</v>
      </c>
      <c r="C19" s="45" t="s">
        <v>3289</v>
      </c>
      <c r="D19" s="46" t="s">
        <v>22</v>
      </c>
      <c r="E19" s="47">
        <f>SUMIFS(卸车数据!$J$6:$J$1048576,卸车数据!$R$6:$R$1048576,"&gt;="&amp;A19+TIME(16,0,0),卸车数据!$R$6:$R$1048576,"&lt;"&amp;A19+TIME(17,0,0))</f>
        <v>0</v>
      </c>
      <c r="F19" s="49">
        <v>3299</v>
      </c>
      <c r="G19" s="65">
        <v>10391</v>
      </c>
      <c r="H19" s="49">
        <v>1</v>
      </c>
      <c r="I19" s="49" t="s">
        <v>3335</v>
      </c>
      <c r="J19" s="49" t="s">
        <v>3336</v>
      </c>
      <c r="K19" s="50">
        <f t="shared" si="0"/>
        <v>12</v>
      </c>
      <c r="L19" s="50">
        <v>1</v>
      </c>
      <c r="M19" s="49">
        <v>5</v>
      </c>
      <c r="N19" s="49">
        <v>2</v>
      </c>
      <c r="O19" s="49"/>
      <c r="P19" s="49">
        <v>2</v>
      </c>
      <c r="Q19" s="49"/>
      <c r="R19" s="49">
        <v>2</v>
      </c>
      <c r="S19" s="49"/>
      <c r="T19" s="49"/>
      <c r="U19" s="49" t="s">
        <v>3340</v>
      </c>
      <c r="V19" s="49"/>
      <c r="W19" s="50">
        <f t="shared" si="1"/>
        <v>22</v>
      </c>
      <c r="X19" s="50">
        <v>1</v>
      </c>
      <c r="Y19" s="49">
        <v>12</v>
      </c>
      <c r="Z19" s="49">
        <v>7</v>
      </c>
      <c r="AA19" s="49"/>
      <c r="AB19" s="49"/>
      <c r="AC19" s="58">
        <v>2</v>
      </c>
      <c r="AD19" s="49"/>
      <c r="AE19" s="49" t="s">
        <v>3341</v>
      </c>
      <c r="AF19" s="49"/>
      <c r="AG19" s="50">
        <f t="shared" si="2"/>
        <v>18</v>
      </c>
      <c r="AH19" s="50">
        <v>1</v>
      </c>
      <c r="AI19" s="50">
        <v>1</v>
      </c>
      <c r="AJ19" s="50">
        <v>5</v>
      </c>
      <c r="AK19" s="50">
        <v>7</v>
      </c>
      <c r="AL19" s="50"/>
      <c r="AM19" s="50">
        <v>1</v>
      </c>
      <c r="AN19" s="50">
        <v>1</v>
      </c>
      <c r="AO19" s="66">
        <v>2</v>
      </c>
      <c r="AP19" s="49" t="s">
        <v>3342</v>
      </c>
      <c r="AQ19" s="49" t="s">
        <v>3343</v>
      </c>
      <c r="AR19" s="50">
        <f t="shared" si="3"/>
        <v>18</v>
      </c>
      <c r="AS19" s="50">
        <v>1</v>
      </c>
      <c r="AT19" s="50">
        <v>1</v>
      </c>
      <c r="AU19" s="50">
        <v>10</v>
      </c>
      <c r="AV19" s="50">
        <v>5</v>
      </c>
      <c r="AW19" s="50">
        <v>1</v>
      </c>
      <c r="AX19" s="50"/>
      <c r="AY19" s="49"/>
      <c r="AZ19" s="49"/>
      <c r="BA19" s="49"/>
      <c r="BB19" s="49"/>
      <c r="BC19" s="50">
        <f t="shared" si="4"/>
        <v>5</v>
      </c>
      <c r="BD19" s="50">
        <v>2</v>
      </c>
      <c r="BE19" s="49">
        <v>2</v>
      </c>
      <c r="BF19" s="49">
        <v>1</v>
      </c>
      <c r="BG19" s="53"/>
      <c r="BH19" s="53">
        <f t="shared" si="5"/>
        <v>75</v>
      </c>
      <c r="BI19" s="54"/>
      <c r="BJ19" s="54"/>
    </row>
    <row r="20" s="28" customFormat="1" customHeight="1" spans="1:62">
      <c r="A20" s="44">
        <f>'3'!A20+1</f>
        <v>46116</v>
      </c>
      <c r="B20" s="45" t="s">
        <v>3344</v>
      </c>
      <c r="C20" s="45" t="s">
        <v>3289</v>
      </c>
      <c r="D20" s="70" t="s">
        <v>3319</v>
      </c>
      <c r="E20" s="47">
        <f>SUMIFS(卸车数据!$J$6:$J$1048576,卸车数据!$R$6:$R$1048576,"&gt;="&amp;A20+TIME(17,0,0),卸车数据!$R$6:$R$1048576,"&lt;"&amp;A20+TIME(18,0,0))</f>
        <v>3827</v>
      </c>
      <c r="F20" s="49">
        <v>2580</v>
      </c>
      <c r="G20" s="65">
        <v>4797</v>
      </c>
      <c r="H20" s="49">
        <v>1</v>
      </c>
      <c r="I20" s="49" t="s">
        <v>3335</v>
      </c>
      <c r="J20" s="49" t="s">
        <v>3336</v>
      </c>
      <c r="K20" s="50">
        <f t="shared" si="0"/>
        <v>12</v>
      </c>
      <c r="L20" s="50">
        <v>1</v>
      </c>
      <c r="M20" s="49">
        <v>5</v>
      </c>
      <c r="N20" s="49">
        <v>2</v>
      </c>
      <c r="O20" s="49"/>
      <c r="P20" s="49">
        <v>2</v>
      </c>
      <c r="Q20" s="49"/>
      <c r="R20" s="49">
        <v>2</v>
      </c>
      <c r="S20" s="49"/>
      <c r="T20" s="49"/>
      <c r="U20" s="49" t="s">
        <v>3345</v>
      </c>
      <c r="V20" s="49"/>
      <c r="W20" s="50">
        <f t="shared" si="1"/>
        <v>22</v>
      </c>
      <c r="X20" s="50">
        <v>1</v>
      </c>
      <c r="Y20" s="49">
        <v>12</v>
      </c>
      <c r="Z20" s="49">
        <v>7</v>
      </c>
      <c r="AA20" s="49"/>
      <c r="AB20" s="49"/>
      <c r="AC20" s="58">
        <v>2</v>
      </c>
      <c r="AD20" s="49"/>
      <c r="AE20" s="49" t="s">
        <v>3346</v>
      </c>
      <c r="AF20" s="49"/>
      <c r="AG20" s="50">
        <f t="shared" si="2"/>
        <v>18</v>
      </c>
      <c r="AH20" s="50">
        <v>1</v>
      </c>
      <c r="AI20" s="50">
        <v>1</v>
      </c>
      <c r="AJ20" s="50">
        <v>5</v>
      </c>
      <c r="AK20" s="50">
        <v>7</v>
      </c>
      <c r="AL20" s="50"/>
      <c r="AM20" s="50">
        <v>1</v>
      </c>
      <c r="AN20" s="50">
        <v>1</v>
      </c>
      <c r="AO20" s="66">
        <v>2</v>
      </c>
      <c r="AP20" s="49" t="s">
        <v>3342</v>
      </c>
      <c r="AQ20" s="49" t="s">
        <v>3343</v>
      </c>
      <c r="AR20" s="50">
        <f t="shared" si="3"/>
        <v>18</v>
      </c>
      <c r="AS20" s="50">
        <v>1</v>
      </c>
      <c r="AT20" s="50">
        <v>1</v>
      </c>
      <c r="AU20" s="50">
        <v>10</v>
      </c>
      <c r="AV20" s="50">
        <v>5</v>
      </c>
      <c r="AW20" s="50">
        <v>1</v>
      </c>
      <c r="AX20" s="50"/>
      <c r="AY20" s="49"/>
      <c r="AZ20" s="49"/>
      <c r="BA20" s="49"/>
      <c r="BB20" s="49"/>
      <c r="BC20" s="50">
        <f t="shared" si="4"/>
        <v>5</v>
      </c>
      <c r="BD20" s="50">
        <v>2</v>
      </c>
      <c r="BE20" s="49">
        <v>2</v>
      </c>
      <c r="BF20" s="49">
        <v>1</v>
      </c>
      <c r="BG20" s="53"/>
      <c r="BH20" s="53">
        <f t="shared" si="5"/>
        <v>75</v>
      </c>
      <c r="BI20" s="54"/>
      <c r="BJ20" s="54"/>
    </row>
    <row r="21" s="29" customFormat="1" customHeight="1" spans="1:62">
      <c r="A21" s="44">
        <f>'3'!A21+1</f>
        <v>46116</v>
      </c>
      <c r="B21" s="55" t="s">
        <v>3347</v>
      </c>
      <c r="C21" s="55" t="s">
        <v>3265</v>
      </c>
      <c r="D21" s="70" t="s">
        <v>3319</v>
      </c>
      <c r="E21" s="47">
        <f>SUMIFS(卸车数据!$J$6:$J$1048576,卸车数据!$R$6:$R$1048576,"&gt;="&amp;A21+TIME(18,0,0),卸车数据!$R$6:$R$1048576,"&lt;"&amp;A21+TIME(19,0,0))</f>
        <v>18493</v>
      </c>
      <c r="F21" s="71">
        <v>3058</v>
      </c>
      <c r="G21" s="67">
        <v>745</v>
      </c>
      <c r="H21" s="49">
        <v>1</v>
      </c>
      <c r="I21" s="51" t="s">
        <v>3348</v>
      </c>
      <c r="J21" s="51"/>
      <c r="K21" s="58">
        <f t="shared" si="0"/>
        <v>28</v>
      </c>
      <c r="L21" s="58">
        <v>1</v>
      </c>
      <c r="M21" s="51">
        <v>10</v>
      </c>
      <c r="N21" s="51">
        <v>5</v>
      </c>
      <c r="O21" s="51"/>
      <c r="P21" s="51">
        <v>6</v>
      </c>
      <c r="Q21" s="51">
        <v>4</v>
      </c>
      <c r="R21" s="51"/>
      <c r="S21" s="51"/>
      <c r="T21" s="66">
        <v>2</v>
      </c>
      <c r="U21" s="51" t="s">
        <v>3349</v>
      </c>
      <c r="V21" s="51"/>
      <c r="W21" s="58">
        <f t="shared" si="1"/>
        <v>21</v>
      </c>
      <c r="X21" s="58">
        <v>1</v>
      </c>
      <c r="Y21" s="51">
        <v>12</v>
      </c>
      <c r="Z21" s="51">
        <v>5</v>
      </c>
      <c r="AA21" s="51">
        <v>1</v>
      </c>
      <c r="AB21" s="51"/>
      <c r="AC21" s="51">
        <v>2</v>
      </c>
      <c r="AD21" s="51"/>
      <c r="AE21" s="51"/>
      <c r="AF21" s="51"/>
      <c r="AG21" s="58">
        <f t="shared" si="2"/>
        <v>39</v>
      </c>
      <c r="AH21" s="58">
        <v>1</v>
      </c>
      <c r="AI21" s="58">
        <v>6</v>
      </c>
      <c r="AJ21" s="51">
        <v>6</v>
      </c>
      <c r="AK21" s="51">
        <v>11</v>
      </c>
      <c r="AL21" s="51"/>
      <c r="AM21" s="51">
        <v>1</v>
      </c>
      <c r="AN21" s="51">
        <v>1</v>
      </c>
      <c r="AO21" s="66">
        <v>13</v>
      </c>
      <c r="AP21" s="51"/>
      <c r="AQ21" s="51" t="s">
        <v>3350</v>
      </c>
      <c r="AR21" s="58">
        <f t="shared" si="3"/>
        <v>19</v>
      </c>
      <c r="AS21" s="58">
        <v>1</v>
      </c>
      <c r="AT21" s="58"/>
      <c r="AU21" s="51">
        <v>10</v>
      </c>
      <c r="AV21" s="51">
        <v>7</v>
      </c>
      <c r="AW21" s="58"/>
      <c r="AX21" s="58">
        <v>1</v>
      </c>
      <c r="AY21" s="51"/>
      <c r="AZ21" s="51"/>
      <c r="BA21" s="52">
        <v>4</v>
      </c>
      <c r="BB21" s="51"/>
      <c r="BC21" s="50">
        <f t="shared" si="4"/>
        <v>4</v>
      </c>
      <c r="BD21" s="58">
        <v>3</v>
      </c>
      <c r="BE21" s="51"/>
      <c r="BF21" s="49">
        <v>1</v>
      </c>
      <c r="BG21" s="69"/>
      <c r="BH21" s="53">
        <f t="shared" si="5"/>
        <v>115</v>
      </c>
      <c r="BI21" s="61" t="s">
        <v>3265</v>
      </c>
      <c r="BJ21" s="61">
        <v>98</v>
      </c>
    </row>
    <row r="22" s="28" customFormat="1" customHeight="1" spans="1:62">
      <c r="A22" s="44">
        <f>'3'!A22+1</f>
        <v>46116</v>
      </c>
      <c r="B22" s="45" t="s">
        <v>3351</v>
      </c>
      <c r="C22" s="45" t="s">
        <v>3265</v>
      </c>
      <c r="D22" s="70" t="s">
        <v>3319</v>
      </c>
      <c r="E22" s="47">
        <f>SUMIFS(卸车数据!$J$6:$J$1048576,卸车数据!$R$6:$R$1048576,"&gt;="&amp;A22+TIME(19,0,0),卸车数据!$R$6:$R$1048576,"&lt;"&amp;A22+TIME(20,0,0))</f>
        <v>21324</v>
      </c>
      <c r="F22" s="71">
        <v>6711</v>
      </c>
      <c r="G22" s="65">
        <v>11504</v>
      </c>
      <c r="H22" s="49">
        <v>1</v>
      </c>
      <c r="I22" s="49"/>
      <c r="J22" s="49"/>
      <c r="K22" s="50">
        <f t="shared" si="0"/>
        <v>28</v>
      </c>
      <c r="L22" s="50">
        <v>1</v>
      </c>
      <c r="M22" s="51">
        <v>10</v>
      </c>
      <c r="N22" s="51">
        <v>5</v>
      </c>
      <c r="O22" s="51">
        <v>2</v>
      </c>
      <c r="P22" s="49">
        <v>6</v>
      </c>
      <c r="Q22" s="49">
        <v>4</v>
      </c>
      <c r="R22" s="49"/>
      <c r="S22" s="49"/>
      <c r="T22" s="49"/>
      <c r="U22" s="49"/>
      <c r="V22" s="49"/>
      <c r="W22" s="50">
        <f t="shared" si="1"/>
        <v>31</v>
      </c>
      <c r="X22" s="50">
        <v>1</v>
      </c>
      <c r="Y22" s="49">
        <v>14</v>
      </c>
      <c r="Z22" s="49">
        <v>13</v>
      </c>
      <c r="AA22" s="49">
        <v>1</v>
      </c>
      <c r="AB22" s="49"/>
      <c r="AC22" s="49">
        <v>2</v>
      </c>
      <c r="AD22" s="49"/>
      <c r="AE22" s="49"/>
      <c r="AF22" s="49"/>
      <c r="AG22" s="50">
        <f t="shared" si="2"/>
        <v>26</v>
      </c>
      <c r="AH22" s="50">
        <v>1</v>
      </c>
      <c r="AI22" s="58">
        <v>6</v>
      </c>
      <c r="AJ22" s="49">
        <v>6</v>
      </c>
      <c r="AK22" s="49">
        <v>11</v>
      </c>
      <c r="AL22" s="49"/>
      <c r="AM22" s="49">
        <v>1</v>
      </c>
      <c r="AN22" s="49">
        <v>1</v>
      </c>
      <c r="AO22" s="49"/>
      <c r="AP22" s="49"/>
      <c r="AQ22" s="49"/>
      <c r="AR22" s="50">
        <f t="shared" si="3"/>
        <v>22</v>
      </c>
      <c r="AS22" s="50">
        <v>1</v>
      </c>
      <c r="AT22" s="50">
        <v>2</v>
      </c>
      <c r="AU22" s="49">
        <v>11</v>
      </c>
      <c r="AV22" s="49">
        <v>7</v>
      </c>
      <c r="AW22" s="50"/>
      <c r="AX22" s="50">
        <v>1</v>
      </c>
      <c r="AY22" s="49"/>
      <c r="AZ22" s="49"/>
      <c r="BA22" s="52">
        <v>4</v>
      </c>
      <c r="BB22" s="49"/>
      <c r="BC22" s="50">
        <f t="shared" si="4"/>
        <v>4</v>
      </c>
      <c r="BD22" s="58">
        <v>3</v>
      </c>
      <c r="BE22" s="49"/>
      <c r="BF22" s="49">
        <v>1</v>
      </c>
      <c r="BG22" s="53"/>
      <c r="BH22" s="53">
        <f t="shared" si="5"/>
        <v>115</v>
      </c>
      <c r="BI22" s="54"/>
      <c r="BJ22" s="54"/>
    </row>
    <row r="23" s="26" customFormat="1" customHeight="1" spans="1:62">
      <c r="A23" s="44">
        <f>'3'!A23+1</f>
        <v>46116</v>
      </c>
      <c r="B23" s="45" t="s">
        <v>3352</v>
      </c>
      <c r="C23" s="45" t="s">
        <v>3265</v>
      </c>
      <c r="D23" s="70" t="s">
        <v>3319</v>
      </c>
      <c r="E23" s="47">
        <f>SUMIFS(卸车数据!$J$6:$J$1048576,卸车数据!$R$6:$R$1048576,"&gt;="&amp;A23+TIME(20,0,0),卸车数据!$R$6:$R$1048576,"&lt;"&amp;A23+TIME(21,0,0))</f>
        <v>17178</v>
      </c>
      <c r="F23" s="71">
        <v>5183</v>
      </c>
      <c r="G23" s="48">
        <v>14881</v>
      </c>
      <c r="H23" s="49">
        <v>1</v>
      </c>
      <c r="I23" s="64" t="s">
        <v>3353</v>
      </c>
      <c r="J23" s="49"/>
      <c r="K23" s="50">
        <f t="shared" si="0"/>
        <v>28</v>
      </c>
      <c r="L23" s="50">
        <v>1</v>
      </c>
      <c r="M23" s="51">
        <v>10</v>
      </c>
      <c r="N23" s="51">
        <v>5</v>
      </c>
      <c r="O23" s="51">
        <v>2</v>
      </c>
      <c r="P23" s="49">
        <v>6</v>
      </c>
      <c r="Q23" s="49">
        <v>4</v>
      </c>
      <c r="R23" s="49"/>
      <c r="S23" s="49"/>
      <c r="T23" s="49"/>
      <c r="U23" s="49"/>
      <c r="V23" s="49"/>
      <c r="W23" s="50">
        <f t="shared" si="1"/>
        <v>31</v>
      </c>
      <c r="X23" s="50">
        <v>1</v>
      </c>
      <c r="Y23" s="49">
        <v>14</v>
      </c>
      <c r="Z23" s="49">
        <v>13</v>
      </c>
      <c r="AA23" s="49">
        <v>1</v>
      </c>
      <c r="AB23" s="49"/>
      <c r="AC23" s="49">
        <v>2</v>
      </c>
      <c r="AD23" s="49"/>
      <c r="AE23" s="49"/>
      <c r="AF23" s="49"/>
      <c r="AG23" s="50">
        <f t="shared" si="2"/>
        <v>26</v>
      </c>
      <c r="AH23" s="50">
        <v>1</v>
      </c>
      <c r="AI23" s="58">
        <v>6</v>
      </c>
      <c r="AJ23" s="49">
        <v>6</v>
      </c>
      <c r="AK23" s="49">
        <v>11</v>
      </c>
      <c r="AL23" s="49"/>
      <c r="AM23" s="49">
        <v>1</v>
      </c>
      <c r="AN23" s="49">
        <v>1</v>
      </c>
      <c r="AO23" s="49"/>
      <c r="AP23" s="49"/>
      <c r="AQ23" s="49"/>
      <c r="AR23" s="50">
        <f t="shared" si="3"/>
        <v>22</v>
      </c>
      <c r="AS23" s="50">
        <v>1</v>
      </c>
      <c r="AT23" s="50">
        <v>2</v>
      </c>
      <c r="AU23" s="49">
        <v>11</v>
      </c>
      <c r="AV23" s="49">
        <v>7</v>
      </c>
      <c r="AW23" s="50"/>
      <c r="AX23" s="50">
        <v>1</v>
      </c>
      <c r="AY23" s="49"/>
      <c r="AZ23" s="49"/>
      <c r="BA23" s="52">
        <v>4</v>
      </c>
      <c r="BB23" s="49"/>
      <c r="BC23" s="50">
        <f t="shared" si="4"/>
        <v>4</v>
      </c>
      <c r="BD23" s="58">
        <v>3</v>
      </c>
      <c r="BE23" s="49"/>
      <c r="BF23" s="49">
        <v>1</v>
      </c>
      <c r="BG23" s="53"/>
      <c r="BH23" s="53">
        <f t="shared" si="5"/>
        <v>115</v>
      </c>
      <c r="BI23" s="54"/>
      <c r="BJ23" s="54"/>
    </row>
    <row r="24" s="26" customFormat="1" customHeight="1" spans="1:62">
      <c r="A24" s="44">
        <f>'3'!A24+1</f>
        <v>46116</v>
      </c>
      <c r="B24" s="45" t="s">
        <v>3354</v>
      </c>
      <c r="C24" s="45" t="s">
        <v>3265</v>
      </c>
      <c r="D24" s="70" t="s">
        <v>3319</v>
      </c>
      <c r="E24" s="47">
        <f>SUMIFS(卸车数据!$J$6:$J$1048576,卸车数据!$R$6:$R$1048576,"&gt;="&amp;A24+TIME(21,0,0),卸车数据!$R$6:$R$1048576,"&lt;"&amp;A24+TIME(22,0,0))</f>
        <v>6540</v>
      </c>
      <c r="F24" s="71">
        <v>3849</v>
      </c>
      <c r="G24" s="48">
        <v>13353</v>
      </c>
      <c r="H24" s="49">
        <v>1</v>
      </c>
      <c r="I24" s="49"/>
      <c r="J24" s="49"/>
      <c r="K24" s="50">
        <f t="shared" si="0"/>
        <v>28</v>
      </c>
      <c r="L24" s="50">
        <v>1</v>
      </c>
      <c r="M24" s="51">
        <v>10</v>
      </c>
      <c r="N24" s="51">
        <v>5</v>
      </c>
      <c r="O24" s="51">
        <v>2</v>
      </c>
      <c r="P24" s="49">
        <v>6</v>
      </c>
      <c r="Q24" s="49">
        <v>4</v>
      </c>
      <c r="R24" s="49"/>
      <c r="S24" s="49"/>
      <c r="T24" s="49"/>
      <c r="U24" s="49"/>
      <c r="V24" s="49"/>
      <c r="W24" s="50">
        <f t="shared" si="1"/>
        <v>31</v>
      </c>
      <c r="X24" s="50">
        <v>1</v>
      </c>
      <c r="Y24" s="49">
        <v>14</v>
      </c>
      <c r="Z24" s="49">
        <v>13</v>
      </c>
      <c r="AA24" s="49">
        <v>1</v>
      </c>
      <c r="AB24" s="49"/>
      <c r="AC24" s="49">
        <v>2</v>
      </c>
      <c r="AD24" s="49"/>
      <c r="AE24" s="49"/>
      <c r="AF24" s="49"/>
      <c r="AG24" s="50">
        <f t="shared" si="2"/>
        <v>26</v>
      </c>
      <c r="AH24" s="50">
        <v>1</v>
      </c>
      <c r="AI24" s="58">
        <v>6</v>
      </c>
      <c r="AJ24" s="49">
        <v>6</v>
      </c>
      <c r="AK24" s="49">
        <v>11</v>
      </c>
      <c r="AL24" s="49"/>
      <c r="AM24" s="49">
        <v>1</v>
      </c>
      <c r="AN24" s="49">
        <v>1</v>
      </c>
      <c r="AO24" s="49"/>
      <c r="AP24" s="49"/>
      <c r="AQ24" s="49"/>
      <c r="AR24" s="50">
        <f t="shared" si="3"/>
        <v>22</v>
      </c>
      <c r="AS24" s="50">
        <v>1</v>
      </c>
      <c r="AT24" s="50">
        <v>2</v>
      </c>
      <c r="AU24" s="49">
        <v>11</v>
      </c>
      <c r="AV24" s="49">
        <v>7</v>
      </c>
      <c r="AW24" s="50"/>
      <c r="AX24" s="50">
        <v>1</v>
      </c>
      <c r="AY24" s="49"/>
      <c r="AZ24" s="49"/>
      <c r="BA24" s="52">
        <v>4</v>
      </c>
      <c r="BB24" s="50"/>
      <c r="BC24" s="50">
        <f t="shared" si="4"/>
        <v>4</v>
      </c>
      <c r="BD24" s="58">
        <v>3</v>
      </c>
      <c r="BE24" s="49"/>
      <c r="BF24" s="49">
        <v>1</v>
      </c>
      <c r="BG24" s="53"/>
      <c r="BH24" s="53">
        <f t="shared" si="5"/>
        <v>115</v>
      </c>
      <c r="BI24" s="54"/>
      <c r="BJ24" s="54"/>
    </row>
    <row r="25" s="26" customFormat="1" customHeight="1" spans="1:62">
      <c r="A25" s="44">
        <f>'3'!A25+1</f>
        <v>46116</v>
      </c>
      <c r="B25" s="45" t="s">
        <v>3355</v>
      </c>
      <c r="C25" s="45" t="s">
        <v>3265</v>
      </c>
      <c r="D25" s="70" t="s">
        <v>3319</v>
      </c>
      <c r="E25" s="47">
        <f>SUMIFS(卸车数据!$J$6:$J$1048576,卸车数据!$R$6:$R$1048576,"&gt;="&amp;A25+TIME(22,0,0),卸车数据!$R$6:$R$1048576,"&lt;"&amp;A25+TIME(23,0,0))</f>
        <v>0</v>
      </c>
      <c r="F25" s="71">
        <v>1056</v>
      </c>
      <c r="G25" s="48">
        <v>7040</v>
      </c>
      <c r="H25" s="49">
        <v>1</v>
      </c>
      <c r="I25" s="64" t="s">
        <v>3356</v>
      </c>
      <c r="J25" s="49"/>
      <c r="K25" s="50">
        <f t="shared" si="0"/>
        <v>28</v>
      </c>
      <c r="L25" s="50">
        <v>1</v>
      </c>
      <c r="M25" s="51">
        <v>10</v>
      </c>
      <c r="N25" s="51">
        <v>5</v>
      </c>
      <c r="O25" s="51">
        <v>2</v>
      </c>
      <c r="P25" s="49">
        <v>6</v>
      </c>
      <c r="Q25" s="49">
        <v>4</v>
      </c>
      <c r="R25" s="49"/>
      <c r="S25" s="49"/>
      <c r="T25" s="49"/>
      <c r="U25" s="49"/>
      <c r="V25" s="49"/>
      <c r="W25" s="50">
        <f t="shared" si="1"/>
        <v>31</v>
      </c>
      <c r="X25" s="50">
        <v>1</v>
      </c>
      <c r="Y25" s="49">
        <v>14</v>
      </c>
      <c r="Z25" s="49">
        <v>13</v>
      </c>
      <c r="AA25" s="49">
        <v>1</v>
      </c>
      <c r="AB25" s="49"/>
      <c r="AC25" s="49">
        <v>2</v>
      </c>
      <c r="AD25" s="49"/>
      <c r="AE25" s="49"/>
      <c r="AF25" s="49"/>
      <c r="AG25" s="50">
        <f t="shared" si="2"/>
        <v>26</v>
      </c>
      <c r="AH25" s="50">
        <v>1</v>
      </c>
      <c r="AI25" s="58">
        <v>6</v>
      </c>
      <c r="AJ25" s="49">
        <v>6</v>
      </c>
      <c r="AK25" s="49">
        <v>11</v>
      </c>
      <c r="AL25" s="49"/>
      <c r="AM25" s="49">
        <v>1</v>
      </c>
      <c r="AN25" s="49">
        <v>1</v>
      </c>
      <c r="AO25" s="49"/>
      <c r="AP25" s="49"/>
      <c r="AQ25" s="49"/>
      <c r="AR25" s="50">
        <f t="shared" si="3"/>
        <v>22</v>
      </c>
      <c r="AS25" s="50">
        <v>1</v>
      </c>
      <c r="AT25" s="50">
        <v>2</v>
      </c>
      <c r="AU25" s="49">
        <v>11</v>
      </c>
      <c r="AV25" s="49">
        <v>7</v>
      </c>
      <c r="AW25" s="50"/>
      <c r="AX25" s="50">
        <v>1</v>
      </c>
      <c r="AY25" s="49"/>
      <c r="AZ25" s="49"/>
      <c r="BA25" s="52">
        <v>4</v>
      </c>
      <c r="BB25" s="50"/>
      <c r="BC25" s="50">
        <f t="shared" si="4"/>
        <v>4</v>
      </c>
      <c r="BD25" s="58">
        <v>3</v>
      </c>
      <c r="BE25" s="49"/>
      <c r="BF25" s="49">
        <v>1</v>
      </c>
      <c r="BG25" s="53"/>
      <c r="BH25" s="53">
        <f t="shared" si="5"/>
        <v>115</v>
      </c>
      <c r="BI25" s="54"/>
      <c r="BJ25" s="54"/>
    </row>
    <row r="26" s="27" customFormat="1" customHeight="1" spans="1:62">
      <c r="A26" s="44">
        <f>'3'!A26+1</f>
        <v>46116</v>
      </c>
      <c r="B26" s="55" t="s">
        <v>3357</v>
      </c>
      <c r="C26" s="55" t="s">
        <v>3265</v>
      </c>
      <c r="D26" s="72" t="s">
        <v>3311</v>
      </c>
      <c r="E26" s="47">
        <f>SUMIFS(卸车数据!$J$6:$J$1048576,卸车数据!$R$6:$R$1048576,"&gt;="&amp;A26+TIME(23,0,0),卸车数据!$R$6:$R$1048576,"&lt;"&amp;A26+TIME(0,0,0))</f>
        <v>0</v>
      </c>
      <c r="F26" s="73">
        <v>5213</v>
      </c>
      <c r="G26" s="57">
        <v>9877</v>
      </c>
      <c r="H26" s="51">
        <v>1</v>
      </c>
      <c r="I26" s="51" t="s">
        <v>3358</v>
      </c>
      <c r="J26" s="51"/>
      <c r="K26" s="58">
        <f t="shared" si="0"/>
        <v>27</v>
      </c>
      <c r="L26" s="58">
        <v>1</v>
      </c>
      <c r="M26" s="51">
        <v>8</v>
      </c>
      <c r="N26" s="51">
        <v>5</v>
      </c>
      <c r="O26" s="51"/>
      <c r="P26" s="51">
        <v>6</v>
      </c>
      <c r="Q26" s="51">
        <v>5</v>
      </c>
      <c r="R26" s="51">
        <v>2</v>
      </c>
      <c r="S26" s="51"/>
      <c r="T26" s="51"/>
      <c r="U26" s="51" t="s">
        <v>3359</v>
      </c>
      <c r="V26" s="51"/>
      <c r="W26" s="58">
        <f t="shared" si="1"/>
        <v>31</v>
      </c>
      <c r="X26" s="58">
        <v>1</v>
      </c>
      <c r="Y26" s="51">
        <v>14</v>
      </c>
      <c r="Z26" s="51">
        <v>13</v>
      </c>
      <c r="AA26" s="51">
        <v>1</v>
      </c>
      <c r="AB26" s="51"/>
      <c r="AC26" s="51">
        <v>2</v>
      </c>
      <c r="AD26" s="51"/>
      <c r="AE26" s="51" t="s">
        <v>3360</v>
      </c>
      <c r="AF26" s="51"/>
      <c r="AG26" s="58">
        <f t="shared" si="2"/>
        <v>26</v>
      </c>
      <c r="AH26" s="58">
        <v>1</v>
      </c>
      <c r="AI26" s="58">
        <v>6</v>
      </c>
      <c r="AJ26" s="58">
        <v>6</v>
      </c>
      <c r="AK26" s="51">
        <v>11</v>
      </c>
      <c r="AL26" s="51"/>
      <c r="AM26" s="51">
        <v>1</v>
      </c>
      <c r="AN26" s="51">
        <v>1</v>
      </c>
      <c r="AO26" s="51"/>
      <c r="AP26" s="51"/>
      <c r="AQ26" s="51"/>
      <c r="AR26" s="58">
        <f t="shared" si="3"/>
        <v>23</v>
      </c>
      <c r="AS26" s="58">
        <v>1</v>
      </c>
      <c r="AT26" s="50">
        <v>2</v>
      </c>
      <c r="AU26" s="51">
        <v>11</v>
      </c>
      <c r="AV26" s="51">
        <v>7</v>
      </c>
      <c r="AW26" s="58"/>
      <c r="AX26" s="58">
        <v>1</v>
      </c>
      <c r="AY26" s="51">
        <v>1</v>
      </c>
      <c r="AZ26" s="51"/>
      <c r="BA26" s="52">
        <v>4</v>
      </c>
      <c r="BB26" s="58"/>
      <c r="BC26" s="50">
        <f t="shared" si="4"/>
        <v>4</v>
      </c>
      <c r="BD26" s="58">
        <v>3</v>
      </c>
      <c r="BE26" s="51"/>
      <c r="BF26" s="49">
        <v>1</v>
      </c>
      <c r="BG26" s="69"/>
      <c r="BH26" s="53">
        <f t="shared" si="5"/>
        <v>115</v>
      </c>
      <c r="BI26" s="61">
        <v>8</v>
      </c>
      <c r="BJ26" s="61" t="s">
        <v>3361</v>
      </c>
    </row>
    <row r="27" s="30" customFormat="1" customHeight="1" spans="1:62">
      <c r="B27" s="74" t="s">
        <v>3362</v>
      </c>
      <c r="C27" s="74"/>
      <c r="D27" s="74"/>
      <c r="E27" s="74"/>
      <c r="F27" s="75"/>
      <c r="G27" s="75"/>
      <c r="H27" s="74"/>
      <c r="P27" s="76"/>
      <c r="Q27" s="76"/>
      <c r="V27" s="77"/>
      <c r="W27" s="77"/>
      <c r="BH27" s="31"/>
    </row>
    <row r="28" s="30" customFormat="1" customHeight="1" spans="1:62">
      <c r="B28" s="78" t="s">
        <v>3363</v>
      </c>
      <c r="C28" s="79"/>
      <c r="D28" s="79"/>
      <c r="E28" s="79"/>
      <c r="F28" s="79"/>
      <c r="G28" s="79"/>
      <c r="H28" s="80"/>
      <c r="I28" s="80"/>
      <c r="J28" s="80"/>
      <c r="K28" s="80"/>
      <c r="L28" s="80"/>
      <c r="M28" s="79"/>
      <c r="N28" s="81" t="s">
        <v>3364</v>
      </c>
      <c r="O28" s="81"/>
      <c r="Q28" s="79" t="s">
        <v>3365</v>
      </c>
      <c r="R28" s="79"/>
      <c r="BC28" s="31"/>
    </row>
    <row r="29" s="30" customFormat="1" customHeight="1" spans="1:62">
      <c r="B29" s="31" t="s">
        <v>3366</v>
      </c>
      <c r="C29" s="31"/>
      <c r="D29" s="82" t="s">
        <v>3367</v>
      </c>
      <c r="E29" s="83"/>
      <c r="F29" s="83"/>
      <c r="G29" s="83"/>
      <c r="H29" s="84"/>
      <c r="I29" s="85" t="s">
        <v>3368</v>
      </c>
      <c r="J29" s="86"/>
      <c r="K29" s="86"/>
      <c r="L29" s="86"/>
      <c r="M29" s="86"/>
      <c r="N29" s="86"/>
      <c r="O29" s="87"/>
      <c r="Q29" s="79"/>
      <c r="R29" s="79"/>
      <c r="BC29" s="31"/>
      <c r="BD29" s="88"/>
    </row>
    <row r="30" s="28" customFormat="1" customHeight="1" spans="1:62">
      <c r="K30" s="89"/>
      <c r="L30" s="89"/>
      <c r="Q30" s="79"/>
      <c r="R30" s="79"/>
      <c r="BC30" s="90"/>
      <c r="BD30" s="91"/>
    </row>
    <row r="31" s="31" customFormat="1" customHeight="1" spans="1:62">
      <c r="B31" s="31" t="s">
        <v>3369</v>
      </c>
      <c r="D31" s="92" t="s">
        <v>3370</v>
      </c>
      <c r="E31" s="93"/>
      <c r="F31" s="94"/>
      <c r="G31" s="94"/>
      <c r="H31" s="94"/>
      <c r="I31" s="95">
        <v>1800</v>
      </c>
      <c r="J31" s="94"/>
      <c r="K31" s="96"/>
      <c r="L31" s="97">
        <v>2330</v>
      </c>
      <c r="M31" s="94"/>
      <c r="N31" s="94"/>
      <c r="O31" s="98" t="s">
        <v>3370</v>
      </c>
      <c r="Q31" s="79"/>
      <c r="R31" s="79"/>
    </row>
  </sheetData>
  <mergeCells count="24">
    <mergeCell ref="I1:T1"/>
    <mergeCell ref="U1:AD1"/>
    <mergeCell ref="AF1:AO1"/>
    <mergeCell ref="AP1:AZ1"/>
    <mergeCell ref="BB1:BG1"/>
    <mergeCell ref="BI6:BJ6"/>
    <mergeCell ref="B27:H27"/>
    <mergeCell ref="V27:W27"/>
    <mergeCell ref="H28:L28"/>
    <mergeCell ref="N28:O28"/>
    <mergeCell ref="D29:H29"/>
    <mergeCell ref="I29:O29"/>
    <mergeCell ref="A1:A2"/>
    <mergeCell ref="B1:B2"/>
    <mergeCell ref="C1:C2"/>
    <mergeCell ref="D1:D2"/>
    <mergeCell ref="E1:E2"/>
    <mergeCell ref="F1:F2"/>
    <mergeCell ref="G1:G2"/>
    <mergeCell ref="H1:H2"/>
    <mergeCell ref="BA1:BA2"/>
    <mergeCell ref="BH1:BH2"/>
    <mergeCell ref="BI1:BJ2"/>
    <mergeCell ref="Q28:R31"/>
  </mergeCells>
  <pageMargins left="0.75" right="0.75" top="1" bottom="1" header="0.5" footer="0.5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J31"/>
  <sheetViews>
    <sheetView workbookViewId="0">
      <pane ySplit="2" topLeftCell="A18" activePane="bottomLeft" state="frozen"/>
      <selection/>
      <selection pane="bottomLeft" activeCell="Z14" sqref="Z14"/>
    </sheetView>
  </sheetViews>
  <sheetFormatPr defaultColWidth="9.55555555555556" defaultRowHeight="40.2" customHeight="1"/>
  <cols>
    <col min="1" max="1" width="9.55555555555556" style="30"/>
    <col min="2" max="2" width="22.1111111111111" style="30" customWidth="1"/>
    <col min="3" max="7" width="9.55555555555556" style="30" customWidth="1"/>
    <col min="8" max="59" width="9" style="30" customWidth="1"/>
    <col min="60" max="60" width="9" style="31" customWidth="1"/>
    <col min="61" max="61" width="11.6666666666667" style="30" customWidth="1"/>
    <col min="62" max="16384" width="9.55555555555556" style="30"/>
  </cols>
  <sheetData>
    <row r="1" s="25" customFormat="1" customHeight="1" spans="1:62">
      <c r="A1" s="32" t="s">
        <v>3222</v>
      </c>
      <c r="B1" s="32" t="s">
        <v>3223</v>
      </c>
      <c r="C1" s="33" t="s">
        <v>3224</v>
      </c>
      <c r="D1" s="33" t="s">
        <v>3225</v>
      </c>
      <c r="E1" s="33" t="s">
        <v>3226</v>
      </c>
      <c r="F1" s="32" t="s">
        <v>3227</v>
      </c>
      <c r="G1" s="32" t="s">
        <v>3228</v>
      </c>
      <c r="H1" s="32" t="s">
        <v>3229</v>
      </c>
      <c r="I1" s="34" t="s">
        <v>3230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6"/>
      <c r="U1" s="32" t="s">
        <v>3231</v>
      </c>
      <c r="V1" s="32"/>
      <c r="W1" s="32"/>
      <c r="X1" s="32"/>
      <c r="Y1" s="32"/>
      <c r="Z1" s="32"/>
      <c r="AA1" s="32"/>
      <c r="AB1" s="32"/>
      <c r="AC1" s="32"/>
      <c r="AD1" s="32"/>
      <c r="AE1" s="35"/>
      <c r="AF1" s="35" t="s">
        <v>3232</v>
      </c>
      <c r="AG1" s="35"/>
      <c r="AH1" s="35"/>
      <c r="AI1" s="35"/>
      <c r="AJ1" s="35"/>
      <c r="AK1" s="35"/>
      <c r="AL1" s="35"/>
      <c r="AM1" s="35"/>
      <c r="AN1" s="35"/>
      <c r="AO1" s="36"/>
      <c r="AP1" s="34" t="s">
        <v>3233</v>
      </c>
      <c r="AQ1" s="35"/>
      <c r="AR1" s="35"/>
      <c r="AS1" s="35"/>
      <c r="AT1" s="35"/>
      <c r="AU1" s="35"/>
      <c r="AV1" s="35"/>
      <c r="AW1" s="35"/>
      <c r="AX1" s="35"/>
      <c r="AY1" s="35"/>
      <c r="AZ1" s="36"/>
      <c r="BA1" s="32" t="s">
        <v>3234</v>
      </c>
      <c r="BB1" s="34" t="s">
        <v>3235</v>
      </c>
      <c r="BC1" s="35"/>
      <c r="BD1" s="35"/>
      <c r="BE1" s="35"/>
      <c r="BF1" s="35"/>
      <c r="BG1" s="36"/>
      <c r="BH1" s="37" t="s">
        <v>1121</v>
      </c>
      <c r="BI1" s="38" t="s">
        <v>3371</v>
      </c>
      <c r="BJ1" s="39"/>
    </row>
    <row r="2" s="25" customFormat="1" ht="63" customHeight="1" spans="1:62">
      <c r="A2" s="32"/>
      <c r="B2" s="32"/>
      <c r="C2" s="40"/>
      <c r="D2" s="40"/>
      <c r="E2" s="40"/>
      <c r="F2" s="41"/>
      <c r="G2" s="41"/>
      <c r="H2" s="32"/>
      <c r="I2" s="42" t="s">
        <v>3237</v>
      </c>
      <c r="J2" s="42" t="s">
        <v>3238</v>
      </c>
      <c r="K2" s="32" t="s">
        <v>1143</v>
      </c>
      <c r="L2" s="32" t="s">
        <v>3239</v>
      </c>
      <c r="M2" s="32" t="s">
        <v>3240</v>
      </c>
      <c r="N2" s="32" t="s">
        <v>3241</v>
      </c>
      <c r="O2" s="32" t="s">
        <v>3242</v>
      </c>
      <c r="P2" s="32" t="s">
        <v>3243</v>
      </c>
      <c r="Q2" s="32" t="s">
        <v>3244</v>
      </c>
      <c r="R2" s="32" t="s">
        <v>3245</v>
      </c>
      <c r="S2" s="32" t="s">
        <v>3246</v>
      </c>
      <c r="T2" s="43" t="s">
        <v>3247</v>
      </c>
      <c r="U2" s="42" t="s">
        <v>3237</v>
      </c>
      <c r="V2" s="42" t="s">
        <v>3238</v>
      </c>
      <c r="W2" s="32" t="s">
        <v>1143</v>
      </c>
      <c r="X2" s="32" t="s">
        <v>3239</v>
      </c>
      <c r="Y2" s="32" t="s">
        <v>3248</v>
      </c>
      <c r="Z2" s="32" t="s">
        <v>3249</v>
      </c>
      <c r="AA2" s="32" t="s">
        <v>3250</v>
      </c>
      <c r="AB2" s="32" t="s">
        <v>3251</v>
      </c>
      <c r="AC2" s="32" t="s">
        <v>3252</v>
      </c>
      <c r="AD2" s="43" t="s">
        <v>3247</v>
      </c>
      <c r="AE2" s="42" t="s">
        <v>3237</v>
      </c>
      <c r="AF2" s="42" t="s">
        <v>3238</v>
      </c>
      <c r="AG2" s="32" t="s">
        <v>1143</v>
      </c>
      <c r="AH2" s="32" t="s">
        <v>3239</v>
      </c>
      <c r="AI2" s="32" t="s">
        <v>3253</v>
      </c>
      <c r="AJ2" s="32" t="s">
        <v>3254</v>
      </c>
      <c r="AK2" s="32" t="s">
        <v>3255</v>
      </c>
      <c r="AL2" s="32" t="s">
        <v>3256</v>
      </c>
      <c r="AM2" s="32" t="s">
        <v>3257</v>
      </c>
      <c r="AN2" s="32" t="s">
        <v>3258</v>
      </c>
      <c r="AO2" s="43" t="s">
        <v>3247</v>
      </c>
      <c r="AP2" s="42" t="s">
        <v>3237</v>
      </c>
      <c r="AQ2" s="42" t="s">
        <v>3238</v>
      </c>
      <c r="AR2" s="32" t="s">
        <v>1143</v>
      </c>
      <c r="AS2" s="32" t="s">
        <v>3239</v>
      </c>
      <c r="AT2" s="32" t="s">
        <v>3253</v>
      </c>
      <c r="AU2" s="32" t="s">
        <v>3254</v>
      </c>
      <c r="AV2" s="32" t="s">
        <v>3255</v>
      </c>
      <c r="AW2" s="32" t="s">
        <v>3256</v>
      </c>
      <c r="AX2" s="32" t="s">
        <v>3257</v>
      </c>
      <c r="AY2" s="32" t="s">
        <v>3258</v>
      </c>
      <c r="AZ2" s="43" t="s">
        <v>3247</v>
      </c>
      <c r="BA2" s="32"/>
      <c r="BB2" s="32" t="s">
        <v>3259</v>
      </c>
      <c r="BC2" s="32" t="s">
        <v>1143</v>
      </c>
      <c r="BD2" s="32" t="s">
        <v>3260</v>
      </c>
      <c r="BE2" s="32" t="s">
        <v>3261</v>
      </c>
      <c r="BF2" s="32" t="s">
        <v>3262</v>
      </c>
      <c r="BG2" s="32" t="s">
        <v>3263</v>
      </c>
      <c r="BH2" s="37"/>
      <c r="BI2" s="38"/>
      <c r="BJ2" s="39"/>
    </row>
    <row r="3" s="26" customFormat="1" customHeight="1" spans="1:62">
      <c r="A3" s="44">
        <f>'4'!A3+1</f>
        <v>46117</v>
      </c>
      <c r="B3" s="45" t="s">
        <v>3264</v>
      </c>
      <c r="C3" s="45" t="s">
        <v>3265</v>
      </c>
      <c r="D3" s="46" t="s">
        <v>22</v>
      </c>
      <c r="E3" s="47">
        <f>SUMIFS(卸车数据!$J$6:$J$1048576,卸车数据!$R$6:$R$1048576,"&gt;="&amp;A3+TIME(0,0,0),卸车数据!$R$6:$R$1048576,"&lt;"&amp;A3+TIME(1,0,0))</f>
        <v>15241</v>
      </c>
      <c r="F3" s="47">
        <v>1723</v>
      </c>
      <c r="G3" s="48">
        <v>6477</v>
      </c>
      <c r="H3" s="49">
        <v>1</v>
      </c>
      <c r="I3" s="49" t="s">
        <v>3266</v>
      </c>
      <c r="J3" s="49"/>
      <c r="K3" s="50">
        <f t="shared" ref="K3:K26" si="0">SUM(L3:T3)</f>
        <v>17</v>
      </c>
      <c r="L3" s="50">
        <v>1</v>
      </c>
      <c r="M3" s="49">
        <v>5</v>
      </c>
      <c r="N3" s="49">
        <v>2</v>
      </c>
      <c r="O3" s="49">
        <v>2</v>
      </c>
      <c r="P3" s="49">
        <v>4</v>
      </c>
      <c r="Q3" s="49">
        <v>1</v>
      </c>
      <c r="R3" s="49">
        <v>2</v>
      </c>
      <c r="S3" s="49"/>
      <c r="T3" s="49"/>
      <c r="U3" s="49"/>
      <c r="V3" s="49"/>
      <c r="W3" s="50">
        <f t="shared" ref="W3:W26" si="1">SUM(X3:AD3)</f>
        <v>25</v>
      </c>
      <c r="X3" s="50">
        <v>1</v>
      </c>
      <c r="Y3" s="49">
        <v>12</v>
      </c>
      <c r="Z3" s="49">
        <v>9</v>
      </c>
      <c r="AA3" s="49">
        <v>1</v>
      </c>
      <c r="AB3" s="49"/>
      <c r="AC3" s="49">
        <v>2</v>
      </c>
      <c r="AD3" s="49"/>
      <c r="AE3" s="49" t="s">
        <v>3267</v>
      </c>
      <c r="AF3" s="49"/>
      <c r="AG3" s="50">
        <f t="shared" ref="AG3:AG26" si="2">SUM(AH3:AO3)</f>
        <v>25</v>
      </c>
      <c r="AH3" s="50">
        <v>1</v>
      </c>
      <c r="AI3" s="50">
        <v>6</v>
      </c>
      <c r="AJ3" s="50">
        <v>6</v>
      </c>
      <c r="AK3" s="49">
        <v>10</v>
      </c>
      <c r="AL3" s="49"/>
      <c r="AM3" s="49">
        <v>1</v>
      </c>
      <c r="AN3" s="49">
        <v>1</v>
      </c>
      <c r="AO3" s="49"/>
      <c r="AP3" s="49"/>
      <c r="AQ3" s="49"/>
      <c r="AR3" s="50">
        <f t="shared" ref="AR3:AR26" si="3">SUM(AS3:AZ3)</f>
        <v>20</v>
      </c>
      <c r="AS3" s="50">
        <v>1</v>
      </c>
      <c r="AT3" s="50"/>
      <c r="AU3" s="49">
        <v>11</v>
      </c>
      <c r="AV3" s="51">
        <v>6</v>
      </c>
      <c r="AW3" s="50"/>
      <c r="AX3" s="50">
        <v>1</v>
      </c>
      <c r="AY3" s="49">
        <v>1</v>
      </c>
      <c r="AZ3" s="49"/>
      <c r="BA3" s="52">
        <v>4</v>
      </c>
      <c r="BB3" s="50"/>
      <c r="BC3" s="50">
        <f t="shared" ref="BC3:BC26" si="4">BD3+BE3+BF3</f>
        <v>4</v>
      </c>
      <c r="BD3" s="50">
        <v>3</v>
      </c>
      <c r="BE3" s="49"/>
      <c r="BF3" s="49">
        <v>1</v>
      </c>
      <c r="BG3" s="53"/>
      <c r="BH3" s="53">
        <f t="shared" ref="BH3:BH26" si="5">BC3+BA3+AR3+AG3+W3+K3</f>
        <v>95</v>
      </c>
      <c r="BI3" s="54"/>
      <c r="BJ3" s="54"/>
    </row>
    <row r="4" s="26" customFormat="1" customHeight="1" spans="1:62">
      <c r="A4" s="44">
        <f>'4'!A4+1</f>
        <v>46117</v>
      </c>
      <c r="B4" s="45" t="s">
        <v>3268</v>
      </c>
      <c r="C4" s="45" t="s">
        <v>3265</v>
      </c>
      <c r="D4" s="46" t="s">
        <v>22</v>
      </c>
      <c r="E4" s="47">
        <f>SUMIFS(卸车数据!$J$6:$J$1048576,卸车数据!$R$6:$R$1048576,"&gt;="&amp;A4+TIME(1,0,0),卸车数据!$R$6:$R$1048576,"&lt;"&amp;A4+TIME(2,0,0))</f>
        <v>0</v>
      </c>
      <c r="F4" s="47">
        <v>4004</v>
      </c>
      <c r="G4" s="48">
        <v>11576</v>
      </c>
      <c r="H4" s="49">
        <v>1</v>
      </c>
      <c r="I4" s="49"/>
      <c r="J4" s="49"/>
      <c r="K4" s="50">
        <f t="shared" si="0"/>
        <v>17</v>
      </c>
      <c r="L4" s="50">
        <v>1</v>
      </c>
      <c r="M4" s="49">
        <v>5</v>
      </c>
      <c r="N4" s="49">
        <v>2</v>
      </c>
      <c r="O4" s="49">
        <v>2</v>
      </c>
      <c r="P4" s="49">
        <v>4</v>
      </c>
      <c r="Q4" s="49">
        <v>1</v>
      </c>
      <c r="R4" s="49">
        <v>2</v>
      </c>
      <c r="S4" s="49"/>
      <c r="T4" s="50"/>
      <c r="U4" s="49"/>
      <c r="V4" s="49"/>
      <c r="W4" s="50">
        <f t="shared" si="1"/>
        <v>25</v>
      </c>
      <c r="X4" s="50">
        <v>1</v>
      </c>
      <c r="Y4" s="49">
        <v>12</v>
      </c>
      <c r="Z4" s="49">
        <v>9</v>
      </c>
      <c r="AA4" s="49">
        <v>1</v>
      </c>
      <c r="AB4" s="49"/>
      <c r="AC4" s="49">
        <v>2</v>
      </c>
      <c r="AD4" s="49"/>
      <c r="AE4" s="49" t="s">
        <v>3269</v>
      </c>
      <c r="AF4" s="49"/>
      <c r="AG4" s="50">
        <f t="shared" si="2"/>
        <v>25</v>
      </c>
      <c r="AH4" s="50">
        <v>1</v>
      </c>
      <c r="AI4" s="50">
        <v>6</v>
      </c>
      <c r="AJ4" s="50">
        <v>6</v>
      </c>
      <c r="AK4" s="49">
        <v>10</v>
      </c>
      <c r="AL4" s="49"/>
      <c r="AM4" s="49">
        <v>1</v>
      </c>
      <c r="AN4" s="49">
        <v>1</v>
      </c>
      <c r="AO4" s="50"/>
      <c r="AP4" s="49"/>
      <c r="AQ4" s="49"/>
      <c r="AR4" s="50">
        <f t="shared" si="3"/>
        <v>20</v>
      </c>
      <c r="AS4" s="50">
        <v>1</v>
      </c>
      <c r="AT4" s="50"/>
      <c r="AU4" s="49">
        <v>11</v>
      </c>
      <c r="AV4" s="51">
        <v>6</v>
      </c>
      <c r="AW4" s="50"/>
      <c r="AX4" s="50">
        <v>1</v>
      </c>
      <c r="AY4" s="49">
        <v>1</v>
      </c>
      <c r="AZ4" s="50"/>
      <c r="BA4" s="52">
        <v>4</v>
      </c>
      <c r="BB4" s="50"/>
      <c r="BC4" s="50">
        <f t="shared" si="4"/>
        <v>4</v>
      </c>
      <c r="BD4" s="50">
        <v>3</v>
      </c>
      <c r="BE4" s="49"/>
      <c r="BF4" s="49">
        <v>1</v>
      </c>
      <c r="BG4" s="53"/>
      <c r="BH4" s="53">
        <f t="shared" si="5"/>
        <v>95</v>
      </c>
      <c r="BI4" s="54"/>
      <c r="BJ4" s="54"/>
    </row>
    <row r="5" s="26" customFormat="1" customHeight="1" spans="1:62">
      <c r="A5" s="44">
        <f>'4'!A5+1</f>
        <v>46117</v>
      </c>
      <c r="B5" s="45" t="s">
        <v>3270</v>
      </c>
      <c r="C5" s="45" t="s">
        <v>3265</v>
      </c>
      <c r="D5" s="46" t="s">
        <v>22</v>
      </c>
      <c r="E5" s="47">
        <f>SUMIFS(卸车数据!$J$6:$J$1048576,卸车数据!$R$6:$R$1048576,"&gt;="&amp;A5+TIME(2,0,0),卸车数据!$R$6:$R$1048576,"&lt;"&amp;A5+TIME(3,0,0))</f>
        <v>0</v>
      </c>
      <c r="F5" s="47">
        <v>1770</v>
      </c>
      <c r="G5" s="48">
        <v>12721</v>
      </c>
      <c r="H5" s="49">
        <v>1</v>
      </c>
      <c r="I5" s="49" t="s">
        <v>3271</v>
      </c>
      <c r="J5" s="49"/>
      <c r="K5" s="50">
        <f t="shared" si="0"/>
        <v>17</v>
      </c>
      <c r="L5" s="50">
        <v>1</v>
      </c>
      <c r="M5" s="49">
        <v>5</v>
      </c>
      <c r="N5" s="49">
        <v>2</v>
      </c>
      <c r="O5" s="49">
        <v>2</v>
      </c>
      <c r="P5" s="49">
        <v>4</v>
      </c>
      <c r="Q5" s="49">
        <v>1</v>
      </c>
      <c r="R5" s="49">
        <v>2</v>
      </c>
      <c r="S5" s="49"/>
      <c r="T5" s="50"/>
      <c r="U5" s="49" t="s">
        <v>3272</v>
      </c>
      <c r="V5" s="49"/>
      <c r="W5" s="50">
        <f t="shared" si="1"/>
        <v>25</v>
      </c>
      <c r="X5" s="50">
        <v>1</v>
      </c>
      <c r="Y5" s="49">
        <v>12</v>
      </c>
      <c r="Z5" s="49">
        <v>9</v>
      </c>
      <c r="AA5" s="49">
        <v>1</v>
      </c>
      <c r="AB5" s="49"/>
      <c r="AC5" s="49">
        <v>2</v>
      </c>
      <c r="AD5" s="49"/>
      <c r="AE5" s="49"/>
      <c r="AF5" s="49"/>
      <c r="AG5" s="50">
        <f t="shared" si="2"/>
        <v>25</v>
      </c>
      <c r="AH5" s="50">
        <v>1</v>
      </c>
      <c r="AI5" s="50">
        <v>6</v>
      </c>
      <c r="AJ5" s="50">
        <v>6</v>
      </c>
      <c r="AK5" s="49">
        <v>10</v>
      </c>
      <c r="AL5" s="49"/>
      <c r="AM5" s="49">
        <v>1</v>
      </c>
      <c r="AN5" s="49">
        <v>1</v>
      </c>
      <c r="AO5" s="50"/>
      <c r="AP5" s="49"/>
      <c r="AQ5" s="49"/>
      <c r="AR5" s="50">
        <f t="shared" si="3"/>
        <v>20</v>
      </c>
      <c r="AS5" s="50">
        <v>1</v>
      </c>
      <c r="AT5" s="50"/>
      <c r="AU5" s="49">
        <v>11</v>
      </c>
      <c r="AV5" s="51">
        <v>6</v>
      </c>
      <c r="AW5" s="50"/>
      <c r="AX5" s="50">
        <v>1</v>
      </c>
      <c r="AY5" s="49">
        <v>1</v>
      </c>
      <c r="AZ5" s="50"/>
      <c r="BA5" s="52">
        <v>4</v>
      </c>
      <c r="BB5" s="50"/>
      <c r="BC5" s="50">
        <f t="shared" si="4"/>
        <v>4</v>
      </c>
      <c r="BD5" s="50">
        <v>3</v>
      </c>
      <c r="BE5" s="49"/>
      <c r="BF5" s="49">
        <v>1</v>
      </c>
      <c r="BG5" s="49"/>
      <c r="BH5" s="53">
        <f t="shared" si="5"/>
        <v>95</v>
      </c>
      <c r="BI5" s="54"/>
      <c r="BJ5" s="54"/>
    </row>
    <row r="6" s="27" customFormat="1" customHeight="1" spans="1:62">
      <c r="A6" s="44">
        <f>'4'!A6+1</f>
        <v>46117</v>
      </c>
      <c r="B6" s="55" t="s">
        <v>3273</v>
      </c>
      <c r="C6" s="55" t="s">
        <v>3265</v>
      </c>
      <c r="D6" s="46" t="s">
        <v>22</v>
      </c>
      <c r="E6" s="47">
        <f>SUMIFS(卸车数据!$J$6:$J$1048576,卸车数据!$R$6:$R$1048576,"&gt;="&amp;A6+TIME(3,0,0),卸车数据!$R$6:$R$1048576,"&lt;"&amp;A6+TIME(4,0,0))</f>
        <v>2140</v>
      </c>
      <c r="F6" s="56">
        <v>3000</v>
      </c>
      <c r="G6" s="57">
        <v>14974</v>
      </c>
      <c r="H6" s="51">
        <v>1</v>
      </c>
      <c r="I6" s="51" t="s">
        <v>3274</v>
      </c>
      <c r="J6" s="51"/>
      <c r="K6" s="58">
        <f t="shared" si="0"/>
        <v>17</v>
      </c>
      <c r="L6" s="58">
        <v>1</v>
      </c>
      <c r="M6" s="51">
        <v>5</v>
      </c>
      <c r="N6" s="51">
        <v>2</v>
      </c>
      <c r="O6" s="51">
        <v>2</v>
      </c>
      <c r="P6" s="51">
        <v>4</v>
      </c>
      <c r="Q6" s="51">
        <v>1</v>
      </c>
      <c r="R6" s="51">
        <v>2</v>
      </c>
      <c r="S6" s="51"/>
      <c r="T6" s="58"/>
      <c r="U6" s="51" t="s">
        <v>3275</v>
      </c>
      <c r="V6" s="51" t="s">
        <v>3276</v>
      </c>
      <c r="W6" s="58">
        <f t="shared" si="1"/>
        <v>18</v>
      </c>
      <c r="X6" s="58">
        <v>1</v>
      </c>
      <c r="Y6" s="51">
        <v>5</v>
      </c>
      <c r="Z6" s="51">
        <v>9</v>
      </c>
      <c r="AA6" s="51">
        <v>1</v>
      </c>
      <c r="AB6" s="49"/>
      <c r="AC6" s="51">
        <v>2</v>
      </c>
      <c r="AD6" s="51"/>
      <c r="AE6" s="51"/>
      <c r="AF6" s="51"/>
      <c r="AG6" s="58">
        <f t="shared" si="2"/>
        <v>29</v>
      </c>
      <c r="AH6" s="58">
        <v>1</v>
      </c>
      <c r="AI6" s="58">
        <v>6</v>
      </c>
      <c r="AJ6" s="58">
        <v>6</v>
      </c>
      <c r="AK6" s="49">
        <v>10</v>
      </c>
      <c r="AL6" s="51"/>
      <c r="AM6" s="51">
        <v>1</v>
      </c>
      <c r="AN6" s="51">
        <v>1</v>
      </c>
      <c r="AO6" s="59">
        <v>4</v>
      </c>
      <c r="AP6" s="51" t="s">
        <v>3277</v>
      </c>
      <c r="AQ6" s="51" t="s">
        <v>3278</v>
      </c>
      <c r="AR6" s="58">
        <f t="shared" si="3"/>
        <v>23</v>
      </c>
      <c r="AS6" s="58">
        <v>1</v>
      </c>
      <c r="AT6" s="58"/>
      <c r="AU6" s="51">
        <v>11</v>
      </c>
      <c r="AV6" s="51">
        <v>6</v>
      </c>
      <c r="AW6" s="58"/>
      <c r="AX6" s="58">
        <v>1</v>
      </c>
      <c r="AY6" s="51">
        <v>1</v>
      </c>
      <c r="AZ6" s="59">
        <v>3</v>
      </c>
      <c r="BA6" s="52">
        <v>4</v>
      </c>
      <c r="BB6" s="58"/>
      <c r="BC6" s="50">
        <f t="shared" si="4"/>
        <v>4</v>
      </c>
      <c r="BD6" s="58">
        <v>3</v>
      </c>
      <c r="BE6" s="51"/>
      <c r="BF6" s="49">
        <v>1</v>
      </c>
      <c r="BG6" s="51"/>
      <c r="BH6" s="53">
        <f t="shared" si="5"/>
        <v>95</v>
      </c>
      <c r="BI6" s="60" t="s">
        <v>3279</v>
      </c>
      <c r="BJ6" s="61"/>
    </row>
    <row r="7" s="26" customFormat="1" customHeight="1" spans="1:62">
      <c r="A7" s="44">
        <f>'4'!A7+1</f>
        <v>46117</v>
      </c>
      <c r="B7" s="45" t="s">
        <v>3280</v>
      </c>
      <c r="C7" s="45" t="s">
        <v>3265</v>
      </c>
      <c r="D7" s="46" t="s">
        <v>22</v>
      </c>
      <c r="E7" s="47">
        <f>SUMIFS(卸车数据!$J$6:$J$1048576,卸车数据!$R$6:$R$1048576,"&gt;="&amp;A7+TIME(4,0,0),卸车数据!$R$6:$R$1048576,"&lt;"&amp;A7+TIME(5,0,0))</f>
        <v>4026</v>
      </c>
      <c r="F7" s="47">
        <v>2691</v>
      </c>
      <c r="G7" s="48">
        <v>142</v>
      </c>
      <c r="H7" s="49">
        <v>1</v>
      </c>
      <c r="I7" s="49" t="s">
        <v>3281</v>
      </c>
      <c r="J7" s="49"/>
      <c r="K7" s="50">
        <f t="shared" si="0"/>
        <v>17</v>
      </c>
      <c r="L7" s="50">
        <v>1</v>
      </c>
      <c r="M7" s="49">
        <v>5</v>
      </c>
      <c r="N7" s="49">
        <v>2</v>
      </c>
      <c r="O7" s="49">
        <v>2</v>
      </c>
      <c r="P7" s="49">
        <v>4</v>
      </c>
      <c r="Q7" s="49">
        <v>1</v>
      </c>
      <c r="R7" s="49">
        <v>2</v>
      </c>
      <c r="S7" s="49"/>
      <c r="T7" s="50"/>
      <c r="U7" s="49"/>
      <c r="V7" s="49"/>
      <c r="W7" s="50">
        <f t="shared" si="1"/>
        <v>25</v>
      </c>
      <c r="X7" s="50">
        <v>1</v>
      </c>
      <c r="Y7" s="49">
        <v>12</v>
      </c>
      <c r="Z7" s="49">
        <v>9</v>
      </c>
      <c r="AA7" s="49">
        <v>1</v>
      </c>
      <c r="AB7" s="49"/>
      <c r="AC7" s="49">
        <v>2</v>
      </c>
      <c r="AD7" s="49"/>
      <c r="AE7" s="49" t="s">
        <v>3282</v>
      </c>
      <c r="AF7" s="49"/>
      <c r="AG7" s="50">
        <f t="shared" si="2"/>
        <v>25</v>
      </c>
      <c r="AH7" s="50">
        <v>1</v>
      </c>
      <c r="AI7" s="50">
        <v>6</v>
      </c>
      <c r="AJ7" s="50">
        <v>6</v>
      </c>
      <c r="AK7" s="49">
        <v>10</v>
      </c>
      <c r="AL7" s="49"/>
      <c r="AM7" s="49">
        <v>1</v>
      </c>
      <c r="AN7" s="49">
        <v>1</v>
      </c>
      <c r="AO7" s="50"/>
      <c r="AP7" s="49"/>
      <c r="AQ7" s="49"/>
      <c r="AR7" s="50">
        <f t="shared" si="3"/>
        <v>20</v>
      </c>
      <c r="AS7" s="50">
        <v>1</v>
      </c>
      <c r="AT7" s="50"/>
      <c r="AU7" s="49">
        <v>11</v>
      </c>
      <c r="AV7" s="51">
        <v>6</v>
      </c>
      <c r="AW7" s="50"/>
      <c r="AX7" s="50">
        <v>1</v>
      </c>
      <c r="AY7" s="49">
        <v>1</v>
      </c>
      <c r="AZ7" s="50"/>
      <c r="BA7" s="52">
        <v>4</v>
      </c>
      <c r="BB7" s="50"/>
      <c r="BC7" s="50">
        <f t="shared" si="4"/>
        <v>4</v>
      </c>
      <c r="BD7" s="50">
        <v>3</v>
      </c>
      <c r="BE7" s="49"/>
      <c r="BF7" s="49">
        <v>1</v>
      </c>
      <c r="BG7" s="49"/>
      <c r="BH7" s="53">
        <f t="shared" si="5"/>
        <v>95</v>
      </c>
      <c r="BI7" s="54"/>
      <c r="BJ7" s="54"/>
    </row>
    <row r="8" s="26" customFormat="1" customHeight="1" spans="1:62">
      <c r="A8" s="44">
        <f>'4'!A8+1</f>
        <v>46117</v>
      </c>
      <c r="B8" s="45" t="s">
        <v>3283</v>
      </c>
      <c r="C8" s="45" t="s">
        <v>3265</v>
      </c>
      <c r="D8" s="46" t="s">
        <v>22</v>
      </c>
      <c r="E8" s="47">
        <f>SUMIFS(卸车数据!$J$6:$J$1048576,卸车数据!$R$6:$R$1048576,"&gt;="&amp;A8+TIME(5,0,0),卸车数据!$R$6:$R$1048576,"&lt;"&amp;A8+TIME(6,0,0))</f>
        <v>122</v>
      </c>
      <c r="F8" s="47">
        <v>2996</v>
      </c>
      <c r="G8" s="48">
        <v>4735</v>
      </c>
      <c r="H8" s="49">
        <v>1</v>
      </c>
      <c r="I8" s="49" t="s">
        <v>3284</v>
      </c>
      <c r="J8" s="49"/>
      <c r="K8" s="50">
        <f t="shared" si="0"/>
        <v>17</v>
      </c>
      <c r="L8" s="50">
        <v>1</v>
      </c>
      <c r="M8" s="49">
        <v>5</v>
      </c>
      <c r="N8" s="49">
        <v>2</v>
      </c>
      <c r="O8" s="49">
        <v>2</v>
      </c>
      <c r="P8" s="49">
        <v>4</v>
      </c>
      <c r="Q8" s="49">
        <v>1</v>
      </c>
      <c r="R8" s="49">
        <v>2</v>
      </c>
      <c r="S8" s="50"/>
      <c r="T8" s="50"/>
      <c r="U8" s="49"/>
      <c r="V8" s="49"/>
      <c r="W8" s="50">
        <f t="shared" si="1"/>
        <v>25</v>
      </c>
      <c r="X8" s="50">
        <v>1</v>
      </c>
      <c r="Y8" s="49">
        <v>12</v>
      </c>
      <c r="Z8" s="49">
        <v>9</v>
      </c>
      <c r="AA8" s="49">
        <v>1</v>
      </c>
      <c r="AB8" s="49"/>
      <c r="AC8" s="49">
        <v>2</v>
      </c>
      <c r="AD8" s="50"/>
      <c r="AE8" s="49" t="s">
        <v>3285</v>
      </c>
      <c r="AF8" s="49"/>
      <c r="AG8" s="50">
        <f t="shared" si="2"/>
        <v>25</v>
      </c>
      <c r="AH8" s="50">
        <v>1</v>
      </c>
      <c r="AI8" s="50">
        <v>6</v>
      </c>
      <c r="AJ8" s="50">
        <v>6</v>
      </c>
      <c r="AK8" s="49">
        <v>10</v>
      </c>
      <c r="AL8" s="49"/>
      <c r="AM8" s="49">
        <v>1</v>
      </c>
      <c r="AN8" s="49">
        <v>1</v>
      </c>
      <c r="AO8" s="50"/>
      <c r="AP8" s="49"/>
      <c r="AQ8" s="49"/>
      <c r="AR8" s="50">
        <f t="shared" si="3"/>
        <v>20</v>
      </c>
      <c r="AS8" s="50">
        <v>1</v>
      </c>
      <c r="AT8" s="50"/>
      <c r="AU8" s="49">
        <v>11</v>
      </c>
      <c r="AV8" s="51">
        <v>6</v>
      </c>
      <c r="AW8" s="50"/>
      <c r="AX8" s="50">
        <v>1</v>
      </c>
      <c r="AY8" s="49">
        <v>1</v>
      </c>
      <c r="AZ8" s="50"/>
      <c r="BA8" s="52">
        <v>4</v>
      </c>
      <c r="BB8" s="50"/>
      <c r="BC8" s="50">
        <f t="shared" si="4"/>
        <v>4</v>
      </c>
      <c r="BD8" s="50">
        <v>3</v>
      </c>
      <c r="BE8" s="49"/>
      <c r="BF8" s="49">
        <v>1</v>
      </c>
      <c r="BG8" s="49"/>
      <c r="BH8" s="53">
        <f t="shared" si="5"/>
        <v>95</v>
      </c>
      <c r="BI8" s="54"/>
      <c r="BJ8" s="54"/>
    </row>
    <row r="9" s="26" customFormat="1" customHeight="1" spans="1:62">
      <c r="A9" s="44">
        <f>'4'!A9+1</f>
        <v>46117</v>
      </c>
      <c r="B9" s="45" t="s">
        <v>3286</v>
      </c>
      <c r="C9" s="45" t="s">
        <v>3265</v>
      </c>
      <c r="D9" s="46" t="s">
        <v>22</v>
      </c>
      <c r="E9" s="47">
        <f>SUMIFS(卸车数据!$J$6:$J$1048576,卸车数据!$R$6:$R$1048576,"&gt;="&amp;A9+TIME(6,0,0),卸车数据!$R$6:$R$1048576,"&lt;"&amp;A9+TIME(7,0,0))</f>
        <v>502</v>
      </c>
      <c r="F9" s="47">
        <v>1665</v>
      </c>
      <c r="G9" s="48">
        <v>5719</v>
      </c>
      <c r="H9" s="49">
        <v>1</v>
      </c>
      <c r="I9" s="49" t="s">
        <v>3287</v>
      </c>
      <c r="J9" s="49"/>
      <c r="K9" s="50">
        <f t="shared" si="0"/>
        <v>17</v>
      </c>
      <c r="L9" s="50">
        <v>1</v>
      </c>
      <c r="M9" s="49">
        <v>5</v>
      </c>
      <c r="N9" s="49">
        <v>2</v>
      </c>
      <c r="O9" s="49">
        <v>2</v>
      </c>
      <c r="P9" s="49">
        <v>4</v>
      </c>
      <c r="Q9" s="49">
        <v>1</v>
      </c>
      <c r="R9" s="49">
        <v>2</v>
      </c>
      <c r="S9" s="50"/>
      <c r="T9" s="50"/>
      <c r="U9" s="49"/>
      <c r="V9" s="49"/>
      <c r="W9" s="50">
        <f t="shared" si="1"/>
        <v>25</v>
      </c>
      <c r="X9" s="50">
        <v>1</v>
      </c>
      <c r="Y9" s="49">
        <v>12</v>
      </c>
      <c r="Z9" s="49">
        <v>9</v>
      </c>
      <c r="AA9" s="49">
        <v>1</v>
      </c>
      <c r="AB9" s="49"/>
      <c r="AC9" s="49">
        <v>2</v>
      </c>
      <c r="AD9" s="50"/>
      <c r="AE9" s="49"/>
      <c r="AF9" s="49"/>
      <c r="AG9" s="50">
        <f t="shared" si="2"/>
        <v>25</v>
      </c>
      <c r="AH9" s="50">
        <v>1</v>
      </c>
      <c r="AI9" s="50">
        <v>6</v>
      </c>
      <c r="AJ9" s="50">
        <v>6</v>
      </c>
      <c r="AK9" s="49">
        <v>10</v>
      </c>
      <c r="AL9" s="49"/>
      <c r="AM9" s="49">
        <v>1</v>
      </c>
      <c r="AN9" s="49">
        <v>1</v>
      </c>
      <c r="AO9" s="50"/>
      <c r="AP9" s="49"/>
      <c r="AQ9" s="49"/>
      <c r="AR9" s="50">
        <f t="shared" si="3"/>
        <v>20</v>
      </c>
      <c r="AS9" s="50">
        <v>1</v>
      </c>
      <c r="AT9" s="50"/>
      <c r="AU9" s="49">
        <v>11</v>
      </c>
      <c r="AV9" s="51">
        <v>6</v>
      </c>
      <c r="AW9" s="50"/>
      <c r="AX9" s="50">
        <v>1</v>
      </c>
      <c r="AY9" s="49">
        <v>1</v>
      </c>
      <c r="AZ9" s="50"/>
      <c r="BA9" s="52">
        <v>4</v>
      </c>
      <c r="BB9" s="50"/>
      <c r="BC9" s="50">
        <f t="shared" si="4"/>
        <v>4</v>
      </c>
      <c r="BD9" s="50">
        <v>3</v>
      </c>
      <c r="BE9" s="49"/>
      <c r="BF9" s="49">
        <v>1</v>
      </c>
      <c r="BG9" s="49"/>
      <c r="BH9" s="53">
        <f t="shared" si="5"/>
        <v>95</v>
      </c>
      <c r="BI9" s="54"/>
      <c r="BJ9" s="54"/>
    </row>
    <row r="10" s="26" customFormat="1" customHeight="1" spans="1:62">
      <c r="A10" s="44">
        <f>'4'!A10+1</f>
        <v>46117</v>
      </c>
      <c r="B10" s="45" t="s">
        <v>3288</v>
      </c>
      <c r="C10" s="45" t="s">
        <v>3289</v>
      </c>
      <c r="D10" s="46" t="s">
        <v>22</v>
      </c>
      <c r="E10" s="47">
        <f>SUMIFS(卸车数据!$J$6:$J$1048576,卸车数据!$R$6:$R$1048576,"&gt;="&amp;A10+TIME(7,0,0),卸车数据!$R$6:$R$1048576,"&lt;"&amp;A10+TIME(8,0,0))</f>
        <v>2738</v>
      </c>
      <c r="F10" s="62">
        <v>2669</v>
      </c>
      <c r="G10" s="63">
        <v>366</v>
      </c>
      <c r="H10" s="49">
        <v>1</v>
      </c>
      <c r="I10" s="49" t="s">
        <v>3290</v>
      </c>
      <c r="J10" s="49" t="s">
        <v>3291</v>
      </c>
      <c r="K10" s="50">
        <f t="shared" si="0"/>
        <v>9</v>
      </c>
      <c r="L10" s="50">
        <v>1</v>
      </c>
      <c r="M10" s="50">
        <v>2</v>
      </c>
      <c r="N10" s="50">
        <v>1</v>
      </c>
      <c r="O10" s="50">
        <v>1</v>
      </c>
      <c r="P10" s="50">
        <v>2</v>
      </c>
      <c r="Q10" s="50"/>
      <c r="R10" s="50">
        <v>1</v>
      </c>
      <c r="S10" s="50">
        <v>1</v>
      </c>
      <c r="T10" s="49"/>
      <c r="U10" s="49" t="s">
        <v>3292</v>
      </c>
      <c r="V10" s="49"/>
      <c r="W10" s="50">
        <f t="shared" si="1"/>
        <v>13</v>
      </c>
      <c r="X10" s="50">
        <v>1</v>
      </c>
      <c r="Y10" s="50">
        <v>7</v>
      </c>
      <c r="Z10" s="50">
        <v>4</v>
      </c>
      <c r="AA10" s="50"/>
      <c r="AB10" s="50"/>
      <c r="AC10" s="50">
        <v>1</v>
      </c>
      <c r="AD10" s="50"/>
      <c r="AE10" s="64" t="s">
        <v>3293</v>
      </c>
      <c r="AF10" s="49" t="s">
        <v>3294</v>
      </c>
      <c r="AG10" s="50">
        <f t="shared" si="2"/>
        <v>16</v>
      </c>
      <c r="AH10" s="50">
        <v>1</v>
      </c>
      <c r="AI10" s="50">
        <v>1</v>
      </c>
      <c r="AJ10" s="50">
        <v>6</v>
      </c>
      <c r="AK10" s="50">
        <v>3</v>
      </c>
      <c r="AL10" s="50"/>
      <c r="AM10" s="50">
        <v>1</v>
      </c>
      <c r="AN10" s="50">
        <v>1</v>
      </c>
      <c r="AO10" s="59">
        <v>3</v>
      </c>
      <c r="AP10" s="49" t="s">
        <v>3295</v>
      </c>
      <c r="AQ10" s="49"/>
      <c r="AR10" s="50">
        <f t="shared" si="3"/>
        <v>16</v>
      </c>
      <c r="AS10" s="50">
        <v>1</v>
      </c>
      <c r="AT10" s="50">
        <v>1</v>
      </c>
      <c r="AU10" s="50">
        <v>7</v>
      </c>
      <c r="AV10" s="50">
        <v>3</v>
      </c>
      <c r="AW10" s="50">
        <v>1</v>
      </c>
      <c r="AX10" s="50">
        <v>1</v>
      </c>
      <c r="AY10" s="50"/>
      <c r="AZ10" s="59">
        <v>2</v>
      </c>
      <c r="BA10" s="50"/>
      <c r="BB10" s="50"/>
      <c r="BC10" s="50">
        <f t="shared" si="4"/>
        <v>5</v>
      </c>
      <c r="BD10" s="50">
        <v>2</v>
      </c>
      <c r="BE10" s="49">
        <v>2</v>
      </c>
      <c r="BF10" s="49">
        <v>1</v>
      </c>
      <c r="BG10" s="49"/>
      <c r="BH10" s="53">
        <f t="shared" si="5"/>
        <v>59</v>
      </c>
      <c r="BI10" s="61" t="s">
        <v>3296</v>
      </c>
      <c r="BJ10" s="61">
        <v>59</v>
      </c>
    </row>
    <row r="11" s="28" customFormat="1" customHeight="1" spans="1:62">
      <c r="A11" s="44">
        <f>'4'!A11+1</f>
        <v>46117</v>
      </c>
      <c r="B11" s="45" t="s">
        <v>3297</v>
      </c>
      <c r="C11" s="45" t="s">
        <v>3289</v>
      </c>
      <c r="D11" s="46" t="s">
        <v>22</v>
      </c>
      <c r="E11" s="47">
        <f>SUMIFS(卸车数据!$J$6:$J$1048576,卸车数据!$R$6:$R$1048576,"&gt;="&amp;A11+TIME(8,0,0),卸车数据!$R$6:$R$1048576,"&lt;"&amp;A11+TIME(9,0,0))</f>
        <v>339</v>
      </c>
      <c r="F11" s="62">
        <v>343</v>
      </c>
      <c r="G11" s="65">
        <v>3622</v>
      </c>
      <c r="H11" s="49">
        <v>1</v>
      </c>
      <c r="I11" s="49" t="s">
        <v>3290</v>
      </c>
      <c r="J11" s="49" t="s">
        <v>3291</v>
      </c>
      <c r="K11" s="50">
        <f t="shared" si="0"/>
        <v>9</v>
      </c>
      <c r="L11" s="50">
        <v>1</v>
      </c>
      <c r="M11" s="50">
        <v>2</v>
      </c>
      <c r="N11" s="50">
        <v>1</v>
      </c>
      <c r="O11" s="50">
        <v>1</v>
      </c>
      <c r="P11" s="50">
        <v>2</v>
      </c>
      <c r="Q11" s="50"/>
      <c r="R11" s="50">
        <v>1</v>
      </c>
      <c r="S11" s="49">
        <v>1</v>
      </c>
      <c r="T11" s="49"/>
      <c r="U11" s="49" t="s">
        <v>3298</v>
      </c>
      <c r="V11" s="49"/>
      <c r="W11" s="50">
        <f t="shared" si="1"/>
        <v>13</v>
      </c>
      <c r="X11" s="50">
        <v>1</v>
      </c>
      <c r="Y11" s="50">
        <v>7</v>
      </c>
      <c r="Z11" s="50">
        <v>4</v>
      </c>
      <c r="AA11" s="50"/>
      <c r="AB11" s="50"/>
      <c r="AC11" s="50">
        <v>1</v>
      </c>
      <c r="AD11" s="50"/>
      <c r="AE11" s="64" t="s">
        <v>3299</v>
      </c>
      <c r="AF11" s="49"/>
      <c r="AG11" s="50">
        <f t="shared" si="2"/>
        <v>16</v>
      </c>
      <c r="AH11" s="50">
        <v>1</v>
      </c>
      <c r="AI11" s="50">
        <v>1</v>
      </c>
      <c r="AJ11" s="50">
        <v>6</v>
      </c>
      <c r="AK11" s="50">
        <v>3</v>
      </c>
      <c r="AL11" s="50"/>
      <c r="AM11" s="50">
        <v>1</v>
      </c>
      <c r="AN11" s="50">
        <v>1</v>
      </c>
      <c r="AO11" s="59">
        <v>3</v>
      </c>
      <c r="AP11" s="49" t="s">
        <v>3300</v>
      </c>
      <c r="AQ11" s="49" t="s">
        <v>3301</v>
      </c>
      <c r="AR11" s="50">
        <f t="shared" si="3"/>
        <v>16</v>
      </c>
      <c r="AS11" s="50">
        <v>1</v>
      </c>
      <c r="AT11" s="50">
        <v>1</v>
      </c>
      <c r="AU11" s="50">
        <v>7</v>
      </c>
      <c r="AV11" s="50">
        <v>3</v>
      </c>
      <c r="AW11" s="50">
        <v>1</v>
      </c>
      <c r="AX11" s="50">
        <v>1</v>
      </c>
      <c r="AY11" s="49"/>
      <c r="AZ11" s="66">
        <v>2</v>
      </c>
      <c r="BA11" s="49"/>
      <c r="BB11" s="49"/>
      <c r="BC11" s="50">
        <f t="shared" si="4"/>
        <v>5</v>
      </c>
      <c r="BD11" s="50">
        <v>2</v>
      </c>
      <c r="BE11" s="49">
        <v>2</v>
      </c>
      <c r="BF11" s="49">
        <v>1</v>
      </c>
      <c r="BG11" s="53"/>
      <c r="BH11" s="53">
        <f t="shared" si="5"/>
        <v>59</v>
      </c>
      <c r="BI11" s="54"/>
      <c r="BJ11" s="54"/>
    </row>
    <row r="12" s="28" customFormat="1" customHeight="1" spans="1:62">
      <c r="A12" s="44">
        <f>'4'!A12+1</f>
        <v>46117</v>
      </c>
      <c r="B12" s="45" t="s">
        <v>3302</v>
      </c>
      <c r="C12" s="45" t="s">
        <v>3289</v>
      </c>
      <c r="D12" s="46" t="s">
        <v>22</v>
      </c>
      <c r="E12" s="47">
        <f>SUMIFS(卸车数据!$J$6:$J$1048576,卸车数据!$R$6:$R$1048576,"&gt;="&amp;A12+TIME(9,0,0),卸车数据!$R$6:$R$1048576,"&lt;"&amp;A12+TIME(10,0,0))</f>
        <v>3977</v>
      </c>
      <c r="F12" s="47">
        <v>631</v>
      </c>
      <c r="G12" s="65">
        <v>25</v>
      </c>
      <c r="H12" s="49">
        <v>1</v>
      </c>
      <c r="I12" s="49" t="s">
        <v>3303</v>
      </c>
      <c r="J12" s="49"/>
      <c r="K12" s="50">
        <f t="shared" si="0"/>
        <v>12</v>
      </c>
      <c r="L12" s="50">
        <v>1</v>
      </c>
      <c r="M12" s="50">
        <v>4</v>
      </c>
      <c r="N12" s="50">
        <v>2</v>
      </c>
      <c r="O12" s="50">
        <v>1</v>
      </c>
      <c r="P12" s="50">
        <v>2</v>
      </c>
      <c r="Q12" s="50">
        <v>1</v>
      </c>
      <c r="R12" s="50">
        <v>1</v>
      </c>
      <c r="S12" s="49"/>
      <c r="T12" s="49"/>
      <c r="U12" s="49" t="s">
        <v>3304</v>
      </c>
      <c r="V12" s="49"/>
      <c r="W12" s="50">
        <f t="shared" si="1"/>
        <v>15</v>
      </c>
      <c r="X12" s="50">
        <v>1</v>
      </c>
      <c r="Y12" s="50">
        <v>9</v>
      </c>
      <c r="Z12" s="50">
        <v>4</v>
      </c>
      <c r="AA12" s="50"/>
      <c r="AB12" s="50"/>
      <c r="AC12" s="50">
        <v>1</v>
      </c>
      <c r="AD12" s="50"/>
      <c r="AE12" s="64" t="s">
        <v>3305</v>
      </c>
      <c r="AF12" s="49"/>
      <c r="AG12" s="50">
        <f t="shared" si="2"/>
        <v>13</v>
      </c>
      <c r="AH12" s="50">
        <v>1</v>
      </c>
      <c r="AI12" s="50">
        <v>1</v>
      </c>
      <c r="AJ12" s="50">
        <v>6</v>
      </c>
      <c r="AK12" s="50">
        <v>3</v>
      </c>
      <c r="AL12" s="50"/>
      <c r="AM12" s="50">
        <v>1</v>
      </c>
      <c r="AN12" s="50">
        <v>1</v>
      </c>
      <c r="AO12" s="50"/>
      <c r="AP12" s="49" t="s">
        <v>3300</v>
      </c>
      <c r="AQ12" s="49" t="s">
        <v>3301</v>
      </c>
      <c r="AR12" s="50">
        <f t="shared" si="3"/>
        <v>14</v>
      </c>
      <c r="AS12" s="50">
        <v>1</v>
      </c>
      <c r="AT12" s="50">
        <v>1</v>
      </c>
      <c r="AU12" s="50">
        <v>7</v>
      </c>
      <c r="AV12" s="50">
        <v>3</v>
      </c>
      <c r="AW12" s="50">
        <v>1</v>
      </c>
      <c r="AX12" s="50">
        <v>1</v>
      </c>
      <c r="AY12" s="49"/>
      <c r="AZ12" s="49"/>
      <c r="BA12" s="49"/>
      <c r="BB12" s="49"/>
      <c r="BC12" s="50">
        <f t="shared" si="4"/>
        <v>5</v>
      </c>
      <c r="BD12" s="50">
        <v>2</v>
      </c>
      <c r="BE12" s="49">
        <v>2</v>
      </c>
      <c r="BF12" s="49">
        <v>1</v>
      </c>
      <c r="BG12" s="53"/>
      <c r="BH12" s="53">
        <f t="shared" si="5"/>
        <v>59</v>
      </c>
      <c r="BI12" s="54"/>
      <c r="BJ12" s="54"/>
    </row>
    <row r="13" s="28" customFormat="1" customHeight="1" spans="1:62">
      <c r="A13" s="44">
        <f>'4'!A13+1</f>
        <v>46117</v>
      </c>
      <c r="B13" s="45" t="s">
        <v>3306</v>
      </c>
      <c r="C13" s="45" t="s">
        <v>3289</v>
      </c>
      <c r="D13" s="46" t="s">
        <v>22</v>
      </c>
      <c r="E13" s="47">
        <f>SUMIFS(卸车数据!$J$6:$J$1048576,卸车数据!$R$6:$R$1048576,"&gt;="&amp;A13+TIME(10,0,0),卸车数据!$R$6:$R$1048576,"&lt;"&amp;A13+TIME(11,0,0))</f>
        <v>146</v>
      </c>
      <c r="F13" s="47">
        <v>2915</v>
      </c>
      <c r="G13" s="65">
        <v>7006</v>
      </c>
      <c r="H13" s="49">
        <v>1</v>
      </c>
      <c r="I13" s="64" t="s">
        <v>3307</v>
      </c>
      <c r="J13" s="49"/>
      <c r="K13" s="50">
        <f t="shared" si="0"/>
        <v>12</v>
      </c>
      <c r="L13" s="50">
        <v>1</v>
      </c>
      <c r="M13" s="50">
        <v>4</v>
      </c>
      <c r="N13" s="50">
        <v>2</v>
      </c>
      <c r="O13" s="50">
        <v>1</v>
      </c>
      <c r="P13" s="50">
        <v>2</v>
      </c>
      <c r="Q13" s="50">
        <v>1</v>
      </c>
      <c r="R13" s="50">
        <v>1</v>
      </c>
      <c r="S13" s="49"/>
      <c r="T13" s="49"/>
      <c r="U13" s="49" t="s">
        <v>3308</v>
      </c>
      <c r="V13" s="49"/>
      <c r="W13" s="50">
        <f t="shared" si="1"/>
        <v>15</v>
      </c>
      <c r="X13" s="50">
        <v>1</v>
      </c>
      <c r="Y13" s="50">
        <v>9</v>
      </c>
      <c r="Z13" s="50">
        <v>4</v>
      </c>
      <c r="AA13" s="50"/>
      <c r="AB13" s="50"/>
      <c r="AC13" s="50">
        <v>1</v>
      </c>
      <c r="AD13" s="50"/>
      <c r="AE13" s="64" t="s">
        <v>3309</v>
      </c>
      <c r="AF13" s="49"/>
      <c r="AG13" s="50">
        <f t="shared" si="2"/>
        <v>13</v>
      </c>
      <c r="AH13" s="50">
        <v>1</v>
      </c>
      <c r="AI13" s="50">
        <v>1</v>
      </c>
      <c r="AJ13" s="50">
        <v>6</v>
      </c>
      <c r="AK13" s="50">
        <v>3</v>
      </c>
      <c r="AL13" s="50"/>
      <c r="AM13" s="50">
        <v>1</v>
      </c>
      <c r="AN13" s="50">
        <v>1</v>
      </c>
      <c r="AO13" s="50"/>
      <c r="AP13" s="49" t="s">
        <v>3300</v>
      </c>
      <c r="AQ13" s="49" t="s">
        <v>3301</v>
      </c>
      <c r="AR13" s="50">
        <f t="shared" si="3"/>
        <v>14</v>
      </c>
      <c r="AS13" s="50">
        <v>1</v>
      </c>
      <c r="AT13" s="50">
        <v>1</v>
      </c>
      <c r="AU13" s="50">
        <v>7</v>
      </c>
      <c r="AV13" s="50">
        <v>3</v>
      </c>
      <c r="AW13" s="50">
        <v>1</v>
      </c>
      <c r="AX13" s="50">
        <v>1</v>
      </c>
      <c r="AY13" s="49"/>
      <c r="AZ13" s="49"/>
      <c r="BA13" s="49"/>
      <c r="BB13" s="49"/>
      <c r="BC13" s="50">
        <f t="shared" si="4"/>
        <v>5</v>
      </c>
      <c r="BD13" s="50">
        <v>2</v>
      </c>
      <c r="BE13" s="49">
        <v>2</v>
      </c>
      <c r="BF13" s="49">
        <v>1</v>
      </c>
      <c r="BG13" s="53"/>
      <c r="BH13" s="53">
        <f t="shared" si="5"/>
        <v>59</v>
      </c>
      <c r="BI13" s="54"/>
      <c r="BJ13" s="54"/>
    </row>
    <row r="14" s="29" customFormat="1" customHeight="1" spans="1:62">
      <c r="A14" s="44">
        <f>'4'!A14+1</f>
        <v>46117</v>
      </c>
      <c r="B14" s="55" t="s">
        <v>3310</v>
      </c>
      <c r="C14" s="55" t="s">
        <v>3289</v>
      </c>
      <c r="D14" s="55" t="s">
        <v>3311</v>
      </c>
      <c r="E14" s="47">
        <f>SUMIFS(卸车数据!$J$6:$J$1048576,卸车数据!$R$6:$R$1048576,"&gt;="&amp;A14+TIME(11,0,0),卸车数据!$R$6:$R$1048576,"&lt;"&amp;A14+TIME(12,0,0))</f>
        <v>7173</v>
      </c>
      <c r="F14" s="47">
        <v>1774</v>
      </c>
      <c r="G14" s="67">
        <v>5508</v>
      </c>
      <c r="H14" s="51">
        <v>1</v>
      </c>
      <c r="I14" s="68" t="s">
        <v>3312</v>
      </c>
      <c r="J14" s="51"/>
      <c r="K14" s="58">
        <f t="shared" si="0"/>
        <v>13</v>
      </c>
      <c r="L14" s="58">
        <v>1</v>
      </c>
      <c r="M14" s="51">
        <v>5</v>
      </c>
      <c r="N14" s="51">
        <v>5</v>
      </c>
      <c r="O14" s="51"/>
      <c r="P14" s="51">
        <v>2</v>
      </c>
      <c r="Q14" s="51"/>
      <c r="R14" s="51"/>
      <c r="S14" s="51"/>
      <c r="T14" s="51"/>
      <c r="U14" s="51" t="s">
        <v>3313</v>
      </c>
      <c r="V14" s="51"/>
      <c r="W14" s="58">
        <f t="shared" si="1"/>
        <v>17</v>
      </c>
      <c r="X14" s="58">
        <v>1</v>
      </c>
      <c r="Y14" s="58">
        <v>9</v>
      </c>
      <c r="Z14" s="58">
        <v>5</v>
      </c>
      <c r="AA14" s="58"/>
      <c r="AB14" s="58"/>
      <c r="AC14" s="58">
        <v>2</v>
      </c>
      <c r="AD14" s="58"/>
      <c r="AE14" s="68" t="s">
        <v>3314</v>
      </c>
      <c r="AF14" s="51"/>
      <c r="AG14" s="58">
        <f t="shared" si="2"/>
        <v>16</v>
      </c>
      <c r="AH14" s="58">
        <v>1</v>
      </c>
      <c r="AI14" s="58">
        <v>1</v>
      </c>
      <c r="AJ14" s="58">
        <v>5</v>
      </c>
      <c r="AK14" s="50">
        <v>7</v>
      </c>
      <c r="AL14" s="58"/>
      <c r="AM14" s="58">
        <v>1</v>
      </c>
      <c r="AN14" s="58">
        <v>1</v>
      </c>
      <c r="AO14" s="58"/>
      <c r="AP14" s="51" t="s">
        <v>3315</v>
      </c>
      <c r="AQ14" s="51" t="s">
        <v>3316</v>
      </c>
      <c r="AR14" s="58">
        <f t="shared" si="3"/>
        <v>14</v>
      </c>
      <c r="AS14" s="58">
        <v>1</v>
      </c>
      <c r="AT14" s="58">
        <v>1</v>
      </c>
      <c r="AU14" s="58">
        <v>7</v>
      </c>
      <c r="AV14" s="58">
        <v>3</v>
      </c>
      <c r="AW14" s="58">
        <v>1</v>
      </c>
      <c r="AX14" s="58">
        <v>1</v>
      </c>
      <c r="AY14" s="51"/>
      <c r="AZ14" s="51"/>
      <c r="BA14" s="51"/>
      <c r="BB14" s="51"/>
      <c r="BC14" s="50">
        <f t="shared" si="4"/>
        <v>5</v>
      </c>
      <c r="BD14" s="58">
        <v>2</v>
      </c>
      <c r="BE14" s="49">
        <v>2</v>
      </c>
      <c r="BF14" s="49">
        <v>1</v>
      </c>
      <c r="BG14" s="69"/>
      <c r="BH14" s="53">
        <f t="shared" si="5"/>
        <v>65</v>
      </c>
      <c r="BI14" s="61" t="s">
        <v>3317</v>
      </c>
      <c r="BJ14" s="61">
        <v>6</v>
      </c>
    </row>
    <row r="15" s="28" customFormat="1" customHeight="1" spans="1:62">
      <c r="A15" s="44">
        <f>'4'!A15+1</f>
        <v>46117</v>
      </c>
      <c r="B15" s="45" t="s">
        <v>3318</v>
      </c>
      <c r="C15" s="45" t="s">
        <v>3289</v>
      </c>
      <c r="D15" s="70" t="s">
        <v>3319</v>
      </c>
      <c r="E15" s="47">
        <f>SUMIFS(卸车数据!$J$6:$J$1048576,卸车数据!$R$6:$R$1048576,"&gt;="&amp;A15+TIME(12,0,0),卸车数据!$R$6:$R$1048576,"&lt;"&amp;A15+TIME(13,0,0))</f>
        <v>11607</v>
      </c>
      <c r="F15" s="49">
        <v>6756</v>
      </c>
      <c r="G15" s="65">
        <v>14</v>
      </c>
      <c r="H15" s="49">
        <v>1</v>
      </c>
      <c r="I15" s="49" t="s">
        <v>3320</v>
      </c>
      <c r="J15" s="49" t="s">
        <v>3321</v>
      </c>
      <c r="K15" s="50">
        <f t="shared" si="0"/>
        <v>18</v>
      </c>
      <c r="L15" s="50">
        <v>1</v>
      </c>
      <c r="M15" s="49">
        <v>5</v>
      </c>
      <c r="N15" s="49">
        <v>5</v>
      </c>
      <c r="O15" s="49"/>
      <c r="P15" s="49">
        <v>3</v>
      </c>
      <c r="Q15" s="49"/>
      <c r="R15" s="49"/>
      <c r="S15" s="49"/>
      <c r="T15" s="66">
        <v>4</v>
      </c>
      <c r="U15" s="49" t="s">
        <v>3322</v>
      </c>
      <c r="V15" s="49" t="s">
        <v>3323</v>
      </c>
      <c r="W15" s="50">
        <f t="shared" si="1"/>
        <v>4</v>
      </c>
      <c r="X15" s="50">
        <v>1</v>
      </c>
      <c r="Y15" s="49"/>
      <c r="Z15" s="49"/>
      <c r="AA15" s="49">
        <v>1</v>
      </c>
      <c r="AB15" s="49"/>
      <c r="AC15" s="58">
        <v>2</v>
      </c>
      <c r="AD15" s="49"/>
      <c r="AE15" s="64" t="s">
        <v>3324</v>
      </c>
      <c r="AF15" s="49"/>
      <c r="AG15" s="50">
        <f t="shared" si="2"/>
        <v>21</v>
      </c>
      <c r="AH15" s="50">
        <v>1</v>
      </c>
      <c r="AI15" s="50">
        <v>3</v>
      </c>
      <c r="AJ15" s="49">
        <v>5</v>
      </c>
      <c r="AK15" s="50">
        <v>7</v>
      </c>
      <c r="AL15" s="49"/>
      <c r="AM15" s="49"/>
      <c r="AN15" s="49"/>
      <c r="AO15" s="66">
        <v>5</v>
      </c>
      <c r="AP15" s="49" t="s">
        <v>3325</v>
      </c>
      <c r="AQ15" s="49" t="s">
        <v>3326</v>
      </c>
      <c r="AR15" s="50">
        <f t="shared" si="3"/>
        <v>17</v>
      </c>
      <c r="AS15" s="50">
        <v>1</v>
      </c>
      <c r="AT15" s="50">
        <v>1</v>
      </c>
      <c r="AU15" s="50">
        <v>7</v>
      </c>
      <c r="AV15" s="50">
        <v>3</v>
      </c>
      <c r="AW15" s="50">
        <v>1</v>
      </c>
      <c r="AX15" s="50"/>
      <c r="AY15" s="49"/>
      <c r="AZ15" s="66">
        <v>4</v>
      </c>
      <c r="BA15" s="49"/>
      <c r="BB15" s="49"/>
      <c r="BC15" s="50">
        <f t="shared" si="4"/>
        <v>5</v>
      </c>
      <c r="BD15" s="50">
        <v>2</v>
      </c>
      <c r="BE15" s="49">
        <v>2</v>
      </c>
      <c r="BF15" s="49">
        <v>1</v>
      </c>
      <c r="BG15" s="53"/>
      <c r="BH15" s="53">
        <f t="shared" si="5"/>
        <v>65</v>
      </c>
      <c r="BI15" s="54"/>
      <c r="BJ15" s="54"/>
    </row>
    <row r="16" s="28" customFormat="1" customHeight="1" spans="1:62">
      <c r="A16" s="44">
        <f>'4'!A16+1</f>
        <v>46117</v>
      </c>
      <c r="B16" s="45" t="s">
        <v>3327</v>
      </c>
      <c r="C16" s="45" t="s">
        <v>3289</v>
      </c>
      <c r="D16" s="70" t="s">
        <v>3319</v>
      </c>
      <c r="E16" s="47">
        <f>SUMIFS(卸车数据!$J$6:$J$1048576,卸车数据!$R$6:$R$1048576,"&gt;="&amp;A16+TIME(13,0,0),卸车数据!$R$6:$R$1048576,"&lt;"&amp;A16+TIME(14,0,0))</f>
        <v>7223</v>
      </c>
      <c r="F16" s="49">
        <v>3640</v>
      </c>
      <c r="G16" s="65">
        <v>7900</v>
      </c>
      <c r="H16" s="49">
        <v>1</v>
      </c>
      <c r="I16" s="49" t="s">
        <v>3320</v>
      </c>
      <c r="J16" s="49" t="s">
        <v>3328</v>
      </c>
      <c r="K16" s="50">
        <f t="shared" si="0"/>
        <v>12</v>
      </c>
      <c r="L16" s="50">
        <v>1</v>
      </c>
      <c r="M16" s="49">
        <v>3</v>
      </c>
      <c r="N16" s="49">
        <v>5</v>
      </c>
      <c r="O16" s="49"/>
      <c r="P16" s="49">
        <v>3</v>
      </c>
      <c r="Q16" s="49"/>
      <c r="R16" s="49"/>
      <c r="S16" s="49"/>
      <c r="T16" s="49"/>
      <c r="U16" s="49" t="s">
        <v>3329</v>
      </c>
      <c r="V16" s="49"/>
      <c r="W16" s="50">
        <f t="shared" si="1"/>
        <v>17</v>
      </c>
      <c r="X16" s="50">
        <v>1</v>
      </c>
      <c r="Y16" s="49">
        <v>9</v>
      </c>
      <c r="Z16" s="49">
        <v>5</v>
      </c>
      <c r="AA16" s="49"/>
      <c r="AB16" s="49"/>
      <c r="AC16" s="58">
        <v>2</v>
      </c>
      <c r="AD16" s="49"/>
      <c r="AE16" s="49" t="s">
        <v>3330</v>
      </c>
      <c r="AF16" s="49"/>
      <c r="AG16" s="50">
        <f t="shared" si="2"/>
        <v>18</v>
      </c>
      <c r="AH16" s="50">
        <v>1</v>
      </c>
      <c r="AI16" s="50">
        <v>1</v>
      </c>
      <c r="AJ16" s="50">
        <v>5</v>
      </c>
      <c r="AK16" s="50">
        <v>7</v>
      </c>
      <c r="AL16" s="50"/>
      <c r="AM16" s="50">
        <v>1</v>
      </c>
      <c r="AN16" s="50">
        <v>1</v>
      </c>
      <c r="AO16" s="66">
        <v>2</v>
      </c>
      <c r="AP16" s="49" t="s">
        <v>3325</v>
      </c>
      <c r="AQ16" s="49" t="s">
        <v>3326</v>
      </c>
      <c r="AR16" s="50">
        <f t="shared" si="3"/>
        <v>13</v>
      </c>
      <c r="AS16" s="50">
        <v>1</v>
      </c>
      <c r="AT16" s="50">
        <v>1</v>
      </c>
      <c r="AU16" s="50">
        <v>7</v>
      </c>
      <c r="AV16" s="50">
        <v>3</v>
      </c>
      <c r="AW16" s="50">
        <v>1</v>
      </c>
      <c r="AX16" s="50"/>
      <c r="AY16" s="49"/>
      <c r="AZ16" s="49"/>
      <c r="BA16" s="49"/>
      <c r="BB16" s="49"/>
      <c r="BC16" s="50">
        <f t="shared" si="4"/>
        <v>5</v>
      </c>
      <c r="BD16" s="50">
        <v>2</v>
      </c>
      <c r="BE16" s="49">
        <v>2</v>
      </c>
      <c r="BF16" s="49">
        <v>1</v>
      </c>
      <c r="BG16" s="53"/>
      <c r="BH16" s="53">
        <f t="shared" si="5"/>
        <v>65</v>
      </c>
      <c r="BI16" s="54"/>
      <c r="BJ16" s="54"/>
    </row>
    <row r="17" s="28" customFormat="1" customHeight="1" spans="1:62">
      <c r="A17" s="44">
        <f>'4'!A17+1</f>
        <v>46117</v>
      </c>
      <c r="B17" s="45" t="s">
        <v>3331</v>
      </c>
      <c r="C17" s="45" t="s">
        <v>3289</v>
      </c>
      <c r="D17" s="70" t="s">
        <v>3319</v>
      </c>
      <c r="E17" s="47">
        <f>SUMIFS(卸车数据!$J$6:$J$1048576,卸车数据!$R$6:$R$1048576,"&gt;="&amp;A17+TIME(14,0,0),卸车数据!$R$6:$R$1048576,"&lt;"&amp;A17+TIME(15,0,0))</f>
        <v>5444</v>
      </c>
      <c r="F17" s="49">
        <v>1787</v>
      </c>
      <c r="G17" s="65">
        <v>6390</v>
      </c>
      <c r="H17" s="49">
        <v>1</v>
      </c>
      <c r="I17" s="49" t="s">
        <v>3332</v>
      </c>
      <c r="J17" s="49" t="s">
        <v>3333</v>
      </c>
      <c r="K17" s="50">
        <f t="shared" si="0"/>
        <v>12</v>
      </c>
      <c r="L17" s="50">
        <v>1</v>
      </c>
      <c r="M17" s="49">
        <v>3</v>
      </c>
      <c r="N17" s="49">
        <v>5</v>
      </c>
      <c r="O17" s="49"/>
      <c r="P17" s="49">
        <v>3</v>
      </c>
      <c r="Q17" s="49"/>
      <c r="R17" s="49"/>
      <c r="S17" s="49"/>
      <c r="T17" s="49"/>
      <c r="U17" s="49" t="s">
        <v>3329</v>
      </c>
      <c r="V17" s="49"/>
      <c r="W17" s="50">
        <f t="shared" si="1"/>
        <v>17</v>
      </c>
      <c r="X17" s="50">
        <v>1</v>
      </c>
      <c r="Y17" s="49">
        <v>9</v>
      </c>
      <c r="Z17" s="49">
        <v>5</v>
      </c>
      <c r="AA17" s="49"/>
      <c r="AB17" s="49"/>
      <c r="AC17" s="58">
        <v>2</v>
      </c>
      <c r="AD17" s="49"/>
      <c r="AE17" s="49"/>
      <c r="AF17" s="49"/>
      <c r="AG17" s="50">
        <f t="shared" si="2"/>
        <v>18</v>
      </c>
      <c r="AH17" s="50">
        <v>1</v>
      </c>
      <c r="AI17" s="50">
        <v>1</v>
      </c>
      <c r="AJ17" s="50">
        <v>5</v>
      </c>
      <c r="AK17" s="50">
        <v>7</v>
      </c>
      <c r="AL17" s="50"/>
      <c r="AM17" s="50">
        <v>1</v>
      </c>
      <c r="AN17" s="50">
        <v>1</v>
      </c>
      <c r="AO17" s="66">
        <v>2</v>
      </c>
      <c r="AP17" s="49" t="s">
        <v>3325</v>
      </c>
      <c r="AQ17" s="49" t="s">
        <v>3326</v>
      </c>
      <c r="AR17" s="50">
        <f t="shared" si="3"/>
        <v>13</v>
      </c>
      <c r="AS17" s="50">
        <v>1</v>
      </c>
      <c r="AT17" s="50">
        <v>1</v>
      </c>
      <c r="AU17" s="50">
        <v>7</v>
      </c>
      <c r="AV17" s="50">
        <v>3</v>
      </c>
      <c r="AW17" s="50">
        <v>1</v>
      </c>
      <c r="AX17" s="50"/>
      <c r="AY17" s="49"/>
      <c r="AZ17" s="49"/>
      <c r="BA17" s="49"/>
      <c r="BB17" s="49"/>
      <c r="BC17" s="50">
        <f t="shared" si="4"/>
        <v>5</v>
      </c>
      <c r="BD17" s="50">
        <v>2</v>
      </c>
      <c r="BE17" s="49">
        <v>2</v>
      </c>
      <c r="BF17" s="49">
        <v>1</v>
      </c>
      <c r="BG17" s="53"/>
      <c r="BH17" s="53">
        <f t="shared" si="5"/>
        <v>65</v>
      </c>
      <c r="BI17" s="54"/>
      <c r="BJ17" s="54"/>
    </row>
    <row r="18" s="28" customFormat="1" customHeight="1" spans="1:62">
      <c r="A18" s="44">
        <f>'4'!A18+1</f>
        <v>46117</v>
      </c>
      <c r="B18" s="45" t="s">
        <v>3334</v>
      </c>
      <c r="C18" s="45" t="s">
        <v>3289</v>
      </c>
      <c r="D18" s="46" t="s">
        <v>22</v>
      </c>
      <c r="E18" s="47">
        <f>SUMIFS(卸车数据!$J$6:$J$1048576,卸车数据!$R$6:$R$1048576,"&gt;="&amp;A18+TIME(15,0,0),卸车数据!$R$6:$R$1048576,"&lt;"&amp;A18+TIME(16,0,0))</f>
        <v>0</v>
      </c>
      <c r="F18" s="49">
        <v>4106</v>
      </c>
      <c r="G18" s="65">
        <v>10213</v>
      </c>
      <c r="H18" s="49">
        <v>1</v>
      </c>
      <c r="I18" s="49" t="s">
        <v>3335</v>
      </c>
      <c r="J18" s="49" t="s">
        <v>3336</v>
      </c>
      <c r="K18" s="50">
        <f t="shared" si="0"/>
        <v>12</v>
      </c>
      <c r="L18" s="50">
        <v>1</v>
      </c>
      <c r="M18" s="49">
        <v>5</v>
      </c>
      <c r="N18" s="49">
        <v>2</v>
      </c>
      <c r="O18" s="49"/>
      <c r="P18" s="49">
        <v>2</v>
      </c>
      <c r="Q18" s="49"/>
      <c r="R18" s="49">
        <v>2</v>
      </c>
      <c r="S18" s="49"/>
      <c r="T18" s="49"/>
      <c r="U18" s="49" t="s">
        <v>3337</v>
      </c>
      <c r="V18" s="49"/>
      <c r="W18" s="50">
        <f t="shared" si="1"/>
        <v>17</v>
      </c>
      <c r="X18" s="50">
        <v>1</v>
      </c>
      <c r="Y18" s="49">
        <v>9</v>
      </c>
      <c r="Z18" s="49">
        <v>5</v>
      </c>
      <c r="AA18" s="49"/>
      <c r="AB18" s="49"/>
      <c r="AC18" s="58">
        <v>2</v>
      </c>
      <c r="AD18" s="49"/>
      <c r="AE18" s="49" t="s">
        <v>3338</v>
      </c>
      <c r="AF18" s="49"/>
      <c r="AG18" s="50">
        <f t="shared" si="2"/>
        <v>18</v>
      </c>
      <c r="AH18" s="50">
        <v>1</v>
      </c>
      <c r="AI18" s="50">
        <v>1</v>
      </c>
      <c r="AJ18" s="50">
        <v>5</v>
      </c>
      <c r="AK18" s="50">
        <v>7</v>
      </c>
      <c r="AL18" s="50"/>
      <c r="AM18" s="50">
        <v>1</v>
      </c>
      <c r="AN18" s="50">
        <v>1</v>
      </c>
      <c r="AO18" s="66">
        <v>2</v>
      </c>
      <c r="AP18" s="49" t="s">
        <v>3325</v>
      </c>
      <c r="AQ18" s="49" t="s">
        <v>3326</v>
      </c>
      <c r="AR18" s="50">
        <f t="shared" si="3"/>
        <v>13</v>
      </c>
      <c r="AS18" s="50">
        <v>1</v>
      </c>
      <c r="AT18" s="50">
        <v>1</v>
      </c>
      <c r="AU18" s="50">
        <v>7</v>
      </c>
      <c r="AV18" s="50">
        <v>3</v>
      </c>
      <c r="AW18" s="50">
        <v>1</v>
      </c>
      <c r="AX18" s="50"/>
      <c r="AY18" s="49"/>
      <c r="AZ18" s="49"/>
      <c r="BA18" s="49"/>
      <c r="BB18" s="49"/>
      <c r="BC18" s="50">
        <f t="shared" si="4"/>
        <v>5</v>
      </c>
      <c r="BD18" s="50">
        <v>2</v>
      </c>
      <c r="BE18" s="49">
        <v>2</v>
      </c>
      <c r="BF18" s="49">
        <v>1</v>
      </c>
      <c r="BG18" s="53"/>
      <c r="BH18" s="53">
        <f t="shared" si="5"/>
        <v>65</v>
      </c>
      <c r="BI18" s="54"/>
      <c r="BJ18" s="54"/>
    </row>
    <row r="19" s="28" customFormat="1" customHeight="1" spans="1:62">
      <c r="A19" s="44">
        <f>'4'!A19+1</f>
        <v>46117</v>
      </c>
      <c r="B19" s="45" t="s">
        <v>3339</v>
      </c>
      <c r="C19" s="45" t="s">
        <v>3289</v>
      </c>
      <c r="D19" s="46" t="s">
        <v>22</v>
      </c>
      <c r="E19" s="47">
        <f>SUMIFS(卸车数据!$J$6:$J$1048576,卸车数据!$R$6:$R$1048576,"&gt;="&amp;A19+TIME(16,0,0),卸车数据!$R$6:$R$1048576,"&lt;"&amp;A19+TIME(17,0,0))</f>
        <v>0</v>
      </c>
      <c r="F19" s="49">
        <v>910</v>
      </c>
      <c r="G19" s="65">
        <v>9804</v>
      </c>
      <c r="H19" s="49">
        <v>1</v>
      </c>
      <c r="I19" s="49" t="s">
        <v>3335</v>
      </c>
      <c r="J19" s="49" t="s">
        <v>3336</v>
      </c>
      <c r="K19" s="50">
        <f t="shared" si="0"/>
        <v>12</v>
      </c>
      <c r="L19" s="50">
        <v>1</v>
      </c>
      <c r="M19" s="49">
        <v>5</v>
      </c>
      <c r="N19" s="49">
        <v>2</v>
      </c>
      <c r="O19" s="49"/>
      <c r="P19" s="49">
        <v>2</v>
      </c>
      <c r="Q19" s="49"/>
      <c r="R19" s="49">
        <v>2</v>
      </c>
      <c r="S19" s="49"/>
      <c r="T19" s="49"/>
      <c r="U19" s="49" t="s">
        <v>3340</v>
      </c>
      <c r="V19" s="49"/>
      <c r="W19" s="50">
        <f t="shared" si="1"/>
        <v>17</v>
      </c>
      <c r="X19" s="50">
        <v>1</v>
      </c>
      <c r="Y19" s="49">
        <v>9</v>
      </c>
      <c r="Z19" s="49">
        <v>5</v>
      </c>
      <c r="AA19" s="49"/>
      <c r="AB19" s="49"/>
      <c r="AC19" s="58">
        <v>2</v>
      </c>
      <c r="AD19" s="49"/>
      <c r="AE19" s="49" t="s">
        <v>3341</v>
      </c>
      <c r="AF19" s="49"/>
      <c r="AG19" s="50">
        <f t="shared" si="2"/>
        <v>18</v>
      </c>
      <c r="AH19" s="50">
        <v>1</v>
      </c>
      <c r="AI19" s="50">
        <v>1</v>
      </c>
      <c r="AJ19" s="50">
        <v>5</v>
      </c>
      <c r="AK19" s="50">
        <v>7</v>
      </c>
      <c r="AL19" s="50"/>
      <c r="AM19" s="50">
        <v>1</v>
      </c>
      <c r="AN19" s="50">
        <v>1</v>
      </c>
      <c r="AO19" s="66">
        <v>2</v>
      </c>
      <c r="AP19" s="49" t="s">
        <v>3342</v>
      </c>
      <c r="AQ19" s="49" t="s">
        <v>3343</v>
      </c>
      <c r="AR19" s="50">
        <f t="shared" si="3"/>
        <v>13</v>
      </c>
      <c r="AS19" s="50">
        <v>1</v>
      </c>
      <c r="AT19" s="50">
        <v>1</v>
      </c>
      <c r="AU19" s="50">
        <v>7</v>
      </c>
      <c r="AV19" s="50">
        <v>3</v>
      </c>
      <c r="AW19" s="50">
        <v>1</v>
      </c>
      <c r="AX19" s="50"/>
      <c r="AY19" s="49"/>
      <c r="AZ19" s="49"/>
      <c r="BA19" s="49"/>
      <c r="BB19" s="49"/>
      <c r="BC19" s="50">
        <f t="shared" si="4"/>
        <v>5</v>
      </c>
      <c r="BD19" s="50">
        <v>2</v>
      </c>
      <c r="BE19" s="49">
        <v>2</v>
      </c>
      <c r="BF19" s="49">
        <v>1</v>
      </c>
      <c r="BG19" s="53"/>
      <c r="BH19" s="53">
        <f t="shared" si="5"/>
        <v>65</v>
      </c>
      <c r="BI19" s="54"/>
      <c r="BJ19" s="54"/>
    </row>
    <row r="20" s="28" customFormat="1" customHeight="1" spans="1:62">
      <c r="A20" s="44">
        <f>'4'!A20+1</f>
        <v>46117</v>
      </c>
      <c r="B20" s="45" t="s">
        <v>3344</v>
      </c>
      <c r="C20" s="45" t="s">
        <v>3289</v>
      </c>
      <c r="D20" s="70" t="s">
        <v>3319</v>
      </c>
      <c r="E20" s="47">
        <f>SUMIFS(卸车数据!$J$6:$J$1048576,卸车数据!$R$6:$R$1048576,"&gt;="&amp;A20+TIME(17,0,0),卸车数据!$R$6:$R$1048576,"&lt;"&amp;A20+TIME(18,0,0))</f>
        <v>2536</v>
      </c>
      <c r="F20" s="49">
        <v>2528</v>
      </c>
      <c r="G20" s="65">
        <v>6</v>
      </c>
      <c r="H20" s="49">
        <v>1</v>
      </c>
      <c r="I20" s="49" t="s">
        <v>3335</v>
      </c>
      <c r="J20" s="49" t="s">
        <v>3336</v>
      </c>
      <c r="K20" s="50">
        <f t="shared" si="0"/>
        <v>12</v>
      </c>
      <c r="L20" s="50">
        <v>1</v>
      </c>
      <c r="M20" s="49">
        <v>5</v>
      </c>
      <c r="N20" s="49">
        <v>2</v>
      </c>
      <c r="O20" s="49"/>
      <c r="P20" s="49">
        <v>2</v>
      </c>
      <c r="Q20" s="49"/>
      <c r="R20" s="49">
        <v>2</v>
      </c>
      <c r="S20" s="49"/>
      <c r="T20" s="49"/>
      <c r="U20" s="49" t="s">
        <v>3345</v>
      </c>
      <c r="V20" s="49"/>
      <c r="W20" s="50">
        <f t="shared" si="1"/>
        <v>17</v>
      </c>
      <c r="X20" s="50">
        <v>1</v>
      </c>
      <c r="Y20" s="49">
        <v>9</v>
      </c>
      <c r="Z20" s="49">
        <v>5</v>
      </c>
      <c r="AA20" s="49"/>
      <c r="AB20" s="49"/>
      <c r="AC20" s="58">
        <v>2</v>
      </c>
      <c r="AD20" s="49"/>
      <c r="AE20" s="49" t="s">
        <v>3346</v>
      </c>
      <c r="AF20" s="49"/>
      <c r="AG20" s="50">
        <f t="shared" si="2"/>
        <v>18</v>
      </c>
      <c r="AH20" s="50">
        <v>1</v>
      </c>
      <c r="AI20" s="50">
        <v>1</v>
      </c>
      <c r="AJ20" s="50">
        <v>5</v>
      </c>
      <c r="AK20" s="50">
        <v>7</v>
      </c>
      <c r="AL20" s="50"/>
      <c r="AM20" s="50">
        <v>1</v>
      </c>
      <c r="AN20" s="50">
        <v>1</v>
      </c>
      <c r="AO20" s="66">
        <v>2</v>
      </c>
      <c r="AP20" s="49" t="s">
        <v>3342</v>
      </c>
      <c r="AQ20" s="49" t="s">
        <v>3343</v>
      </c>
      <c r="AR20" s="50">
        <f t="shared" si="3"/>
        <v>13</v>
      </c>
      <c r="AS20" s="50">
        <v>1</v>
      </c>
      <c r="AT20" s="50">
        <v>1</v>
      </c>
      <c r="AU20" s="50">
        <v>7</v>
      </c>
      <c r="AV20" s="50">
        <v>3</v>
      </c>
      <c r="AW20" s="50">
        <v>1</v>
      </c>
      <c r="AX20" s="50"/>
      <c r="AY20" s="49"/>
      <c r="AZ20" s="49"/>
      <c r="BA20" s="49"/>
      <c r="BB20" s="49"/>
      <c r="BC20" s="50">
        <f t="shared" si="4"/>
        <v>5</v>
      </c>
      <c r="BD20" s="50">
        <v>2</v>
      </c>
      <c r="BE20" s="49">
        <v>2</v>
      </c>
      <c r="BF20" s="49">
        <v>1</v>
      </c>
      <c r="BG20" s="53"/>
      <c r="BH20" s="53">
        <f t="shared" si="5"/>
        <v>65</v>
      </c>
      <c r="BI20" s="54"/>
      <c r="BJ20" s="54"/>
    </row>
    <row r="21" s="29" customFormat="1" customHeight="1" spans="1:62">
      <c r="A21" s="44">
        <f>'4'!A21+1</f>
        <v>46117</v>
      </c>
      <c r="B21" s="55" t="s">
        <v>3347</v>
      </c>
      <c r="C21" s="55" t="s">
        <v>3265</v>
      </c>
      <c r="D21" s="70" t="s">
        <v>3319</v>
      </c>
      <c r="E21" s="47">
        <f>SUMIFS(卸车数据!$J$6:$J$1048576,卸车数据!$R$6:$R$1048576,"&gt;="&amp;A21+TIME(18,0,0),卸车数据!$R$6:$R$1048576,"&lt;"&amp;A21+TIME(19,0,0))</f>
        <v>20760</v>
      </c>
      <c r="F21" s="71">
        <v>2365</v>
      </c>
      <c r="G21" s="67">
        <v>1047</v>
      </c>
      <c r="H21" s="49">
        <v>1</v>
      </c>
      <c r="I21" s="51" t="s">
        <v>3348</v>
      </c>
      <c r="J21" s="51"/>
      <c r="K21" s="58">
        <f t="shared" si="0"/>
        <v>25</v>
      </c>
      <c r="L21" s="58">
        <v>1</v>
      </c>
      <c r="M21" s="51">
        <v>8</v>
      </c>
      <c r="N21" s="51">
        <v>3</v>
      </c>
      <c r="O21" s="51"/>
      <c r="P21" s="51">
        <v>6</v>
      </c>
      <c r="Q21" s="51">
        <v>5</v>
      </c>
      <c r="R21" s="51"/>
      <c r="S21" s="51"/>
      <c r="T21" s="66">
        <v>2</v>
      </c>
      <c r="U21" s="51" t="s">
        <v>3349</v>
      </c>
      <c r="V21" s="51"/>
      <c r="W21" s="58">
        <f t="shared" si="1"/>
        <v>21</v>
      </c>
      <c r="X21" s="58">
        <v>1</v>
      </c>
      <c r="Y21" s="51">
        <v>12</v>
      </c>
      <c r="Z21" s="51">
        <v>5</v>
      </c>
      <c r="AA21" s="51">
        <v>1</v>
      </c>
      <c r="AB21" s="51"/>
      <c r="AC21" s="51">
        <v>2</v>
      </c>
      <c r="AD21" s="51"/>
      <c r="AE21" s="51"/>
      <c r="AF21" s="51"/>
      <c r="AG21" s="58">
        <f t="shared" si="2"/>
        <v>39</v>
      </c>
      <c r="AH21" s="58">
        <v>1</v>
      </c>
      <c r="AI21" s="58">
        <v>6</v>
      </c>
      <c r="AJ21" s="51">
        <v>6</v>
      </c>
      <c r="AK21" s="51">
        <v>11</v>
      </c>
      <c r="AL21" s="51"/>
      <c r="AM21" s="51">
        <v>1</v>
      </c>
      <c r="AN21" s="51">
        <v>1</v>
      </c>
      <c r="AO21" s="66">
        <v>13</v>
      </c>
      <c r="AP21" s="51"/>
      <c r="AQ21" s="51" t="s">
        <v>3350</v>
      </c>
      <c r="AR21" s="58">
        <f t="shared" si="3"/>
        <v>19</v>
      </c>
      <c r="AS21" s="58">
        <v>1</v>
      </c>
      <c r="AT21" s="58"/>
      <c r="AU21" s="51">
        <v>10</v>
      </c>
      <c r="AV21" s="51">
        <v>7</v>
      </c>
      <c r="AW21" s="58"/>
      <c r="AX21" s="58">
        <v>1</v>
      </c>
      <c r="AY21" s="51"/>
      <c r="AZ21" s="51"/>
      <c r="BA21" s="52">
        <v>4</v>
      </c>
      <c r="BB21" s="51"/>
      <c r="BC21" s="50">
        <f t="shared" si="4"/>
        <v>4</v>
      </c>
      <c r="BD21" s="58">
        <v>3</v>
      </c>
      <c r="BE21" s="51"/>
      <c r="BF21" s="49">
        <v>1</v>
      </c>
      <c r="BG21" s="69"/>
      <c r="BH21" s="53">
        <f t="shared" si="5"/>
        <v>112</v>
      </c>
      <c r="BI21" s="61" t="s">
        <v>3265</v>
      </c>
      <c r="BJ21" s="61">
        <v>112</v>
      </c>
    </row>
    <row r="22" s="28" customFormat="1" customHeight="1" spans="1:62">
      <c r="A22" s="44">
        <f>'4'!A22+1</f>
        <v>46117</v>
      </c>
      <c r="B22" s="45" t="s">
        <v>3351</v>
      </c>
      <c r="C22" s="45" t="s">
        <v>3265</v>
      </c>
      <c r="D22" s="70" t="s">
        <v>3319</v>
      </c>
      <c r="E22" s="47">
        <f>SUMIFS(卸车数据!$J$6:$J$1048576,卸车数据!$R$6:$R$1048576,"&gt;="&amp;A22+TIME(19,0,0),卸车数据!$R$6:$R$1048576,"&lt;"&amp;A22+TIME(20,0,0))</f>
        <v>21980</v>
      </c>
      <c r="F22" s="71">
        <v>6480</v>
      </c>
      <c r="G22" s="65">
        <v>10891</v>
      </c>
      <c r="H22" s="49">
        <v>1</v>
      </c>
      <c r="I22" s="49"/>
      <c r="J22" s="49"/>
      <c r="K22" s="50">
        <f t="shared" si="0"/>
        <v>25</v>
      </c>
      <c r="L22" s="50">
        <v>1</v>
      </c>
      <c r="M22" s="51">
        <v>8</v>
      </c>
      <c r="N22" s="51">
        <v>3</v>
      </c>
      <c r="O22" s="51">
        <v>2</v>
      </c>
      <c r="P22" s="49">
        <v>6</v>
      </c>
      <c r="Q22" s="49">
        <v>5</v>
      </c>
      <c r="R22" s="49"/>
      <c r="S22" s="49"/>
      <c r="T22" s="49"/>
      <c r="U22" s="49"/>
      <c r="V22" s="49"/>
      <c r="W22" s="50">
        <f t="shared" si="1"/>
        <v>31</v>
      </c>
      <c r="X22" s="50">
        <v>1</v>
      </c>
      <c r="Y22" s="49">
        <v>14</v>
      </c>
      <c r="Z22" s="49">
        <v>13</v>
      </c>
      <c r="AA22" s="49">
        <v>1</v>
      </c>
      <c r="AB22" s="49"/>
      <c r="AC22" s="49">
        <v>2</v>
      </c>
      <c r="AD22" s="49"/>
      <c r="AE22" s="49"/>
      <c r="AF22" s="49"/>
      <c r="AG22" s="50">
        <f t="shared" si="2"/>
        <v>26</v>
      </c>
      <c r="AH22" s="50">
        <v>1</v>
      </c>
      <c r="AI22" s="58">
        <v>6</v>
      </c>
      <c r="AJ22" s="49">
        <v>6</v>
      </c>
      <c r="AK22" s="49">
        <v>11</v>
      </c>
      <c r="AL22" s="49"/>
      <c r="AM22" s="49">
        <v>1</v>
      </c>
      <c r="AN22" s="49">
        <v>1</v>
      </c>
      <c r="AO22" s="49"/>
      <c r="AP22" s="49"/>
      <c r="AQ22" s="49"/>
      <c r="AR22" s="50">
        <f t="shared" si="3"/>
        <v>22</v>
      </c>
      <c r="AS22" s="50">
        <v>1</v>
      </c>
      <c r="AT22" s="50">
        <v>2</v>
      </c>
      <c r="AU22" s="49">
        <v>11</v>
      </c>
      <c r="AV22" s="49">
        <v>7</v>
      </c>
      <c r="AW22" s="50"/>
      <c r="AX22" s="50">
        <v>1</v>
      </c>
      <c r="AY22" s="49"/>
      <c r="AZ22" s="49"/>
      <c r="BA22" s="52">
        <v>4</v>
      </c>
      <c r="BB22" s="49"/>
      <c r="BC22" s="50">
        <f t="shared" si="4"/>
        <v>4</v>
      </c>
      <c r="BD22" s="58">
        <v>3</v>
      </c>
      <c r="BE22" s="49"/>
      <c r="BF22" s="49">
        <v>1</v>
      </c>
      <c r="BG22" s="53"/>
      <c r="BH22" s="53">
        <f t="shared" si="5"/>
        <v>112</v>
      </c>
      <c r="BI22" s="54"/>
      <c r="BJ22" s="54"/>
    </row>
    <row r="23" s="26" customFormat="1" customHeight="1" spans="1:62">
      <c r="A23" s="44">
        <f>'4'!A23+1</f>
        <v>46117</v>
      </c>
      <c r="B23" s="45" t="s">
        <v>3352</v>
      </c>
      <c r="C23" s="45" t="s">
        <v>3265</v>
      </c>
      <c r="D23" s="70" t="s">
        <v>3319</v>
      </c>
      <c r="E23" s="47">
        <f>SUMIFS(卸车数据!$J$6:$J$1048576,卸车数据!$R$6:$R$1048576,"&gt;="&amp;A23+TIME(20,0,0),卸车数据!$R$6:$R$1048576,"&lt;"&amp;A23+TIME(21,0,0))</f>
        <v>13524</v>
      </c>
      <c r="F23" s="71">
        <v>4785</v>
      </c>
      <c r="G23" s="48">
        <v>11450</v>
      </c>
      <c r="H23" s="49">
        <v>1</v>
      </c>
      <c r="I23" s="64" t="s">
        <v>3353</v>
      </c>
      <c r="J23" s="49"/>
      <c r="K23" s="50">
        <f t="shared" si="0"/>
        <v>25</v>
      </c>
      <c r="L23" s="50">
        <v>1</v>
      </c>
      <c r="M23" s="51">
        <v>8</v>
      </c>
      <c r="N23" s="51">
        <v>3</v>
      </c>
      <c r="O23" s="51">
        <v>2</v>
      </c>
      <c r="P23" s="49">
        <v>6</v>
      </c>
      <c r="Q23" s="49">
        <v>5</v>
      </c>
      <c r="R23" s="49"/>
      <c r="S23" s="49"/>
      <c r="T23" s="49"/>
      <c r="U23" s="49"/>
      <c r="V23" s="49"/>
      <c r="W23" s="50">
        <f t="shared" si="1"/>
        <v>31</v>
      </c>
      <c r="X23" s="50">
        <v>1</v>
      </c>
      <c r="Y23" s="49">
        <v>14</v>
      </c>
      <c r="Z23" s="49">
        <v>13</v>
      </c>
      <c r="AA23" s="49">
        <v>1</v>
      </c>
      <c r="AB23" s="49"/>
      <c r="AC23" s="49">
        <v>2</v>
      </c>
      <c r="AD23" s="49"/>
      <c r="AE23" s="49"/>
      <c r="AF23" s="49"/>
      <c r="AG23" s="50">
        <f t="shared" si="2"/>
        <v>26</v>
      </c>
      <c r="AH23" s="50">
        <v>1</v>
      </c>
      <c r="AI23" s="58">
        <v>6</v>
      </c>
      <c r="AJ23" s="49">
        <v>6</v>
      </c>
      <c r="AK23" s="49">
        <v>11</v>
      </c>
      <c r="AL23" s="49"/>
      <c r="AM23" s="49">
        <v>1</v>
      </c>
      <c r="AN23" s="49">
        <v>1</v>
      </c>
      <c r="AO23" s="49"/>
      <c r="AP23" s="49"/>
      <c r="AQ23" s="49"/>
      <c r="AR23" s="50">
        <f t="shared" si="3"/>
        <v>22</v>
      </c>
      <c r="AS23" s="50">
        <v>1</v>
      </c>
      <c r="AT23" s="50">
        <v>2</v>
      </c>
      <c r="AU23" s="49">
        <v>11</v>
      </c>
      <c r="AV23" s="49">
        <v>7</v>
      </c>
      <c r="AW23" s="50"/>
      <c r="AX23" s="50">
        <v>1</v>
      </c>
      <c r="AY23" s="49"/>
      <c r="AZ23" s="49"/>
      <c r="BA23" s="52">
        <v>4</v>
      </c>
      <c r="BB23" s="49"/>
      <c r="BC23" s="50">
        <f t="shared" si="4"/>
        <v>4</v>
      </c>
      <c r="BD23" s="58">
        <v>3</v>
      </c>
      <c r="BE23" s="49"/>
      <c r="BF23" s="49">
        <v>1</v>
      </c>
      <c r="BG23" s="53"/>
      <c r="BH23" s="53">
        <f t="shared" si="5"/>
        <v>112</v>
      </c>
      <c r="BI23" s="54"/>
      <c r="BJ23" s="54"/>
    </row>
    <row r="24" s="26" customFormat="1" customHeight="1" spans="1:62">
      <c r="A24" s="44">
        <f>'4'!A24+1</f>
        <v>46117</v>
      </c>
      <c r="B24" s="45" t="s">
        <v>3354</v>
      </c>
      <c r="C24" s="45" t="s">
        <v>3265</v>
      </c>
      <c r="D24" s="70" t="s">
        <v>3319</v>
      </c>
      <c r="E24" s="47">
        <f>SUMIFS(卸车数据!$J$6:$J$1048576,卸车数据!$R$6:$R$1048576,"&gt;="&amp;A24+TIME(21,0,0),卸车数据!$R$6:$R$1048576,"&lt;"&amp;A24+TIME(22,0,0))</f>
        <v>2</v>
      </c>
      <c r="F24" s="71">
        <v>2302</v>
      </c>
      <c r="G24" s="48">
        <v>12584</v>
      </c>
      <c r="H24" s="49">
        <v>1</v>
      </c>
      <c r="I24" s="49"/>
      <c r="J24" s="49"/>
      <c r="K24" s="50">
        <f t="shared" si="0"/>
        <v>25</v>
      </c>
      <c r="L24" s="50">
        <v>1</v>
      </c>
      <c r="M24" s="51">
        <v>8</v>
      </c>
      <c r="N24" s="51">
        <v>3</v>
      </c>
      <c r="O24" s="51">
        <v>2</v>
      </c>
      <c r="P24" s="49">
        <v>6</v>
      </c>
      <c r="Q24" s="49">
        <v>5</v>
      </c>
      <c r="R24" s="49"/>
      <c r="S24" s="49"/>
      <c r="T24" s="49"/>
      <c r="U24" s="49"/>
      <c r="V24" s="49"/>
      <c r="W24" s="50">
        <f t="shared" si="1"/>
        <v>31</v>
      </c>
      <c r="X24" s="50">
        <v>1</v>
      </c>
      <c r="Y24" s="49">
        <v>14</v>
      </c>
      <c r="Z24" s="49">
        <v>13</v>
      </c>
      <c r="AA24" s="49">
        <v>1</v>
      </c>
      <c r="AB24" s="49"/>
      <c r="AC24" s="49">
        <v>2</v>
      </c>
      <c r="AD24" s="49"/>
      <c r="AE24" s="49"/>
      <c r="AF24" s="49"/>
      <c r="AG24" s="50">
        <f t="shared" si="2"/>
        <v>26</v>
      </c>
      <c r="AH24" s="50">
        <v>1</v>
      </c>
      <c r="AI24" s="58">
        <v>6</v>
      </c>
      <c r="AJ24" s="49">
        <v>6</v>
      </c>
      <c r="AK24" s="49">
        <v>11</v>
      </c>
      <c r="AL24" s="49"/>
      <c r="AM24" s="49">
        <v>1</v>
      </c>
      <c r="AN24" s="49">
        <v>1</v>
      </c>
      <c r="AO24" s="49"/>
      <c r="AP24" s="49"/>
      <c r="AQ24" s="49"/>
      <c r="AR24" s="50">
        <f t="shared" si="3"/>
        <v>22</v>
      </c>
      <c r="AS24" s="50">
        <v>1</v>
      </c>
      <c r="AT24" s="50">
        <v>2</v>
      </c>
      <c r="AU24" s="49">
        <v>11</v>
      </c>
      <c r="AV24" s="49">
        <v>7</v>
      </c>
      <c r="AW24" s="50"/>
      <c r="AX24" s="50">
        <v>1</v>
      </c>
      <c r="AY24" s="49"/>
      <c r="AZ24" s="49"/>
      <c r="BA24" s="52">
        <v>4</v>
      </c>
      <c r="BB24" s="50"/>
      <c r="BC24" s="50">
        <f t="shared" si="4"/>
        <v>4</v>
      </c>
      <c r="BD24" s="58">
        <v>3</v>
      </c>
      <c r="BE24" s="49"/>
      <c r="BF24" s="49">
        <v>1</v>
      </c>
      <c r="BG24" s="53"/>
      <c r="BH24" s="53">
        <f t="shared" si="5"/>
        <v>112</v>
      </c>
      <c r="BI24" s="54"/>
      <c r="BJ24" s="54"/>
    </row>
    <row r="25" s="26" customFormat="1" customHeight="1" spans="1:62">
      <c r="A25" s="44">
        <f>'4'!A25+1</f>
        <v>46117</v>
      </c>
      <c r="B25" s="45" t="s">
        <v>3355</v>
      </c>
      <c r="C25" s="45" t="s">
        <v>3265</v>
      </c>
      <c r="D25" s="70" t="s">
        <v>3319</v>
      </c>
      <c r="E25" s="47">
        <f>SUMIFS(卸车数据!$J$6:$J$1048576,卸车数据!$R$6:$R$1048576,"&gt;="&amp;A25+TIME(22,0,0),卸车数据!$R$6:$R$1048576,"&lt;"&amp;A25+TIME(23,0,0))</f>
        <v>5372</v>
      </c>
      <c r="F25" s="71">
        <v>634</v>
      </c>
      <c r="G25" s="48">
        <v>9738</v>
      </c>
      <c r="H25" s="49">
        <v>1</v>
      </c>
      <c r="I25" s="64" t="s">
        <v>3356</v>
      </c>
      <c r="J25" s="49"/>
      <c r="K25" s="50">
        <f t="shared" si="0"/>
        <v>25</v>
      </c>
      <c r="L25" s="50">
        <v>1</v>
      </c>
      <c r="M25" s="51">
        <v>8</v>
      </c>
      <c r="N25" s="51">
        <v>3</v>
      </c>
      <c r="O25" s="51">
        <v>2</v>
      </c>
      <c r="P25" s="49">
        <v>6</v>
      </c>
      <c r="Q25" s="49">
        <v>5</v>
      </c>
      <c r="R25" s="49"/>
      <c r="S25" s="49"/>
      <c r="T25" s="49"/>
      <c r="U25" s="49"/>
      <c r="V25" s="49"/>
      <c r="W25" s="50">
        <f t="shared" si="1"/>
        <v>31</v>
      </c>
      <c r="X25" s="50">
        <v>1</v>
      </c>
      <c r="Y25" s="49">
        <v>14</v>
      </c>
      <c r="Z25" s="49">
        <v>13</v>
      </c>
      <c r="AA25" s="49">
        <v>1</v>
      </c>
      <c r="AB25" s="49"/>
      <c r="AC25" s="49">
        <v>2</v>
      </c>
      <c r="AD25" s="49"/>
      <c r="AE25" s="49"/>
      <c r="AF25" s="49"/>
      <c r="AG25" s="50">
        <f t="shared" si="2"/>
        <v>26</v>
      </c>
      <c r="AH25" s="50">
        <v>1</v>
      </c>
      <c r="AI25" s="58">
        <v>6</v>
      </c>
      <c r="AJ25" s="49">
        <v>6</v>
      </c>
      <c r="AK25" s="49">
        <v>11</v>
      </c>
      <c r="AL25" s="49"/>
      <c r="AM25" s="49">
        <v>1</v>
      </c>
      <c r="AN25" s="49">
        <v>1</v>
      </c>
      <c r="AO25" s="49"/>
      <c r="AP25" s="49"/>
      <c r="AQ25" s="49"/>
      <c r="AR25" s="50">
        <f t="shared" si="3"/>
        <v>22</v>
      </c>
      <c r="AS25" s="50">
        <v>1</v>
      </c>
      <c r="AT25" s="50">
        <v>2</v>
      </c>
      <c r="AU25" s="49">
        <v>11</v>
      </c>
      <c r="AV25" s="49">
        <v>7</v>
      </c>
      <c r="AW25" s="50"/>
      <c r="AX25" s="50">
        <v>1</v>
      </c>
      <c r="AY25" s="49"/>
      <c r="AZ25" s="49"/>
      <c r="BA25" s="52">
        <v>4</v>
      </c>
      <c r="BB25" s="50"/>
      <c r="BC25" s="50">
        <f t="shared" si="4"/>
        <v>4</v>
      </c>
      <c r="BD25" s="58">
        <v>3</v>
      </c>
      <c r="BE25" s="49"/>
      <c r="BF25" s="49">
        <v>1</v>
      </c>
      <c r="BG25" s="53"/>
      <c r="BH25" s="53">
        <f t="shared" si="5"/>
        <v>112</v>
      </c>
      <c r="BI25" s="54"/>
      <c r="BJ25" s="54"/>
    </row>
    <row r="26" s="27" customFormat="1" customHeight="1" spans="1:62">
      <c r="A26" s="44">
        <f>'4'!A26+1</f>
        <v>46117</v>
      </c>
      <c r="B26" s="55" t="s">
        <v>3357</v>
      </c>
      <c r="C26" s="55" t="s">
        <v>3265</v>
      </c>
      <c r="D26" s="72" t="s">
        <v>3311</v>
      </c>
      <c r="E26" s="47">
        <f>SUMIFS(卸车数据!$J$6:$J$1048576,卸车数据!$R$6:$R$1048576,"&gt;="&amp;A26+TIME(23,0,0),卸车数据!$R$6:$R$1048576,"&lt;"&amp;A26+TIME(0,0,0))</f>
        <v>0</v>
      </c>
      <c r="F26" s="73">
        <v>4309</v>
      </c>
      <c r="G26" s="57">
        <v>7744</v>
      </c>
      <c r="H26" s="51">
        <v>1</v>
      </c>
      <c r="I26" s="51" t="s">
        <v>3358</v>
      </c>
      <c r="J26" s="51"/>
      <c r="K26" s="58">
        <f t="shared" si="0"/>
        <v>27</v>
      </c>
      <c r="L26" s="58">
        <v>1</v>
      </c>
      <c r="M26" s="51">
        <v>8</v>
      </c>
      <c r="N26" s="51">
        <v>5</v>
      </c>
      <c r="O26" s="51"/>
      <c r="P26" s="51">
        <v>6</v>
      </c>
      <c r="Q26" s="51">
        <v>5</v>
      </c>
      <c r="R26" s="51">
        <v>2</v>
      </c>
      <c r="S26" s="51"/>
      <c r="T26" s="51"/>
      <c r="U26" s="51" t="s">
        <v>3359</v>
      </c>
      <c r="V26" s="51"/>
      <c r="W26" s="58">
        <f t="shared" si="1"/>
        <v>28</v>
      </c>
      <c r="X26" s="58">
        <v>1</v>
      </c>
      <c r="Y26" s="51">
        <v>12</v>
      </c>
      <c r="Z26" s="51">
        <v>12</v>
      </c>
      <c r="AA26" s="51">
        <v>1</v>
      </c>
      <c r="AB26" s="51"/>
      <c r="AC26" s="51">
        <v>2</v>
      </c>
      <c r="AD26" s="51"/>
      <c r="AE26" s="51" t="s">
        <v>3360</v>
      </c>
      <c r="AF26" s="51"/>
      <c r="AG26" s="58">
        <f t="shared" si="2"/>
        <v>26</v>
      </c>
      <c r="AH26" s="58">
        <v>1</v>
      </c>
      <c r="AI26" s="58">
        <v>6</v>
      </c>
      <c r="AJ26" s="58">
        <v>6</v>
      </c>
      <c r="AK26" s="51">
        <v>11</v>
      </c>
      <c r="AL26" s="51"/>
      <c r="AM26" s="51">
        <v>1</v>
      </c>
      <c r="AN26" s="51">
        <v>1</v>
      </c>
      <c r="AO26" s="51"/>
      <c r="AP26" s="51"/>
      <c r="AQ26" s="51"/>
      <c r="AR26" s="58">
        <f t="shared" si="3"/>
        <v>23</v>
      </c>
      <c r="AS26" s="58">
        <v>1</v>
      </c>
      <c r="AT26" s="50">
        <v>2</v>
      </c>
      <c r="AU26" s="51">
        <v>11</v>
      </c>
      <c r="AV26" s="51">
        <v>7</v>
      </c>
      <c r="AW26" s="58"/>
      <c r="AX26" s="58">
        <v>1</v>
      </c>
      <c r="AY26" s="51">
        <v>1</v>
      </c>
      <c r="AZ26" s="51"/>
      <c r="BA26" s="52">
        <v>4</v>
      </c>
      <c r="BB26" s="58"/>
      <c r="BC26" s="50">
        <f t="shared" si="4"/>
        <v>4</v>
      </c>
      <c r="BD26" s="58">
        <v>3</v>
      </c>
      <c r="BE26" s="51"/>
      <c r="BF26" s="49">
        <v>1</v>
      </c>
      <c r="BG26" s="69"/>
      <c r="BH26" s="53">
        <f t="shared" si="5"/>
        <v>112</v>
      </c>
      <c r="BI26" s="61">
        <v>8</v>
      </c>
      <c r="BJ26" s="61" t="s">
        <v>3361</v>
      </c>
    </row>
    <row r="27" s="30" customFormat="1" customHeight="1" spans="1:62">
      <c r="B27" s="74" t="s">
        <v>3362</v>
      </c>
      <c r="C27" s="74"/>
      <c r="D27" s="74"/>
      <c r="E27" s="74"/>
      <c r="F27" s="75"/>
      <c r="G27" s="75"/>
      <c r="H27" s="74"/>
      <c r="P27" s="76"/>
      <c r="Q27" s="76"/>
      <c r="V27" s="77"/>
      <c r="W27" s="77"/>
      <c r="BH27" s="31"/>
    </row>
    <row r="28" s="30" customFormat="1" customHeight="1" spans="1:62">
      <c r="B28" s="78" t="s">
        <v>3363</v>
      </c>
      <c r="C28" s="79"/>
      <c r="D28" s="79"/>
      <c r="E28" s="79"/>
      <c r="F28" s="79"/>
      <c r="G28" s="79"/>
      <c r="H28" s="80"/>
      <c r="I28" s="80"/>
      <c r="J28" s="80"/>
      <c r="K28" s="80"/>
      <c r="L28" s="80"/>
      <c r="M28" s="79"/>
      <c r="N28" s="81" t="s">
        <v>3364</v>
      </c>
      <c r="O28" s="81"/>
      <c r="Q28" s="79" t="s">
        <v>3365</v>
      </c>
      <c r="R28" s="79"/>
      <c r="BC28" s="31"/>
    </row>
    <row r="29" s="30" customFormat="1" customHeight="1" spans="1:62">
      <c r="B29" s="31" t="s">
        <v>3366</v>
      </c>
      <c r="C29" s="31"/>
      <c r="D29" s="82" t="s">
        <v>3367</v>
      </c>
      <c r="E29" s="83"/>
      <c r="F29" s="83"/>
      <c r="G29" s="83"/>
      <c r="H29" s="84"/>
      <c r="I29" s="85" t="s">
        <v>3368</v>
      </c>
      <c r="J29" s="86"/>
      <c r="K29" s="86"/>
      <c r="L29" s="86"/>
      <c r="M29" s="86"/>
      <c r="N29" s="86"/>
      <c r="O29" s="87"/>
      <c r="Q29" s="79"/>
      <c r="R29" s="79"/>
      <c r="BC29" s="31"/>
      <c r="BD29" s="88"/>
    </row>
    <row r="30" s="28" customFormat="1" customHeight="1" spans="1:62">
      <c r="K30" s="89"/>
      <c r="L30" s="89"/>
      <c r="Q30" s="79"/>
      <c r="R30" s="79"/>
      <c r="BC30" s="90"/>
      <c r="BD30" s="91"/>
    </row>
    <row r="31" s="31" customFormat="1" customHeight="1" spans="1:62">
      <c r="B31" s="31" t="s">
        <v>3369</v>
      </c>
      <c r="D31" s="92" t="s">
        <v>3370</v>
      </c>
      <c r="E31" s="93"/>
      <c r="F31" s="94"/>
      <c r="G31" s="94"/>
      <c r="H31" s="94"/>
      <c r="I31" s="95">
        <v>1800</v>
      </c>
      <c r="J31" s="94"/>
      <c r="K31" s="96"/>
      <c r="L31" s="97">
        <v>2330</v>
      </c>
      <c r="M31" s="94"/>
      <c r="N31" s="94"/>
      <c r="O31" s="98" t="s">
        <v>3370</v>
      </c>
      <c r="Q31" s="79"/>
      <c r="R31" s="79"/>
    </row>
  </sheetData>
  <mergeCells count="24">
    <mergeCell ref="I1:T1"/>
    <mergeCell ref="U1:AD1"/>
    <mergeCell ref="AF1:AO1"/>
    <mergeCell ref="AP1:AZ1"/>
    <mergeCell ref="BB1:BG1"/>
    <mergeCell ref="BI6:BJ6"/>
    <mergeCell ref="B27:H27"/>
    <mergeCell ref="V27:W27"/>
    <mergeCell ref="H28:L28"/>
    <mergeCell ref="N28:O28"/>
    <mergeCell ref="D29:H29"/>
    <mergeCell ref="I29:O29"/>
    <mergeCell ref="A1:A2"/>
    <mergeCell ref="B1:B2"/>
    <mergeCell ref="C1:C2"/>
    <mergeCell ref="D1:D2"/>
    <mergeCell ref="E1:E2"/>
    <mergeCell ref="F1:F2"/>
    <mergeCell ref="G1:G2"/>
    <mergeCell ref="H1:H2"/>
    <mergeCell ref="BA1:BA2"/>
    <mergeCell ref="BH1:BH2"/>
    <mergeCell ref="BI1:BJ2"/>
    <mergeCell ref="Q28:R31"/>
  </mergeCells>
  <pageMargins left="0.75" right="0.75" top="1" bottom="1" header="0.5" footer="0.5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J31"/>
  <sheetViews>
    <sheetView topLeftCell="AT1" workbookViewId="0">
      <pane ySplit="2" topLeftCell="A6" activePane="bottomLeft" state="frozen"/>
      <selection/>
      <selection pane="bottomLeft" activeCell="Z14" sqref="Z14"/>
    </sheetView>
  </sheetViews>
  <sheetFormatPr defaultColWidth="9.55555555555556" defaultRowHeight="40.2" customHeight="1"/>
  <cols>
    <col min="1" max="1" width="9.55555555555556" style="30"/>
    <col min="2" max="2" width="22.1111111111111" style="30" customWidth="1"/>
    <col min="3" max="7" width="9.55555555555556" style="30" customWidth="1"/>
    <col min="8" max="59" width="9" style="30" customWidth="1"/>
    <col min="60" max="60" width="9" style="31" customWidth="1"/>
    <col min="61" max="61" width="11.6666666666667" style="30" customWidth="1"/>
    <col min="62" max="16384" width="9.55555555555556" style="30"/>
  </cols>
  <sheetData>
    <row r="1" s="25" customFormat="1" customHeight="1" spans="1:62">
      <c r="A1" s="32" t="s">
        <v>3222</v>
      </c>
      <c r="B1" s="32" t="s">
        <v>3223</v>
      </c>
      <c r="C1" s="33" t="s">
        <v>3224</v>
      </c>
      <c r="D1" s="33" t="s">
        <v>3225</v>
      </c>
      <c r="E1" s="33" t="s">
        <v>3226</v>
      </c>
      <c r="F1" s="32" t="s">
        <v>3227</v>
      </c>
      <c r="G1" s="32" t="s">
        <v>3228</v>
      </c>
      <c r="H1" s="32" t="s">
        <v>3229</v>
      </c>
      <c r="I1" s="34" t="s">
        <v>3230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6"/>
      <c r="U1" s="32" t="s">
        <v>3231</v>
      </c>
      <c r="V1" s="32"/>
      <c r="W1" s="32"/>
      <c r="X1" s="32"/>
      <c r="Y1" s="32"/>
      <c r="Z1" s="32"/>
      <c r="AA1" s="32"/>
      <c r="AB1" s="32"/>
      <c r="AC1" s="32"/>
      <c r="AD1" s="32"/>
      <c r="AE1" s="35"/>
      <c r="AF1" s="35" t="s">
        <v>3232</v>
      </c>
      <c r="AG1" s="35"/>
      <c r="AH1" s="35"/>
      <c r="AI1" s="35"/>
      <c r="AJ1" s="35"/>
      <c r="AK1" s="35"/>
      <c r="AL1" s="35"/>
      <c r="AM1" s="35"/>
      <c r="AN1" s="35"/>
      <c r="AO1" s="36"/>
      <c r="AP1" s="34" t="s">
        <v>3233</v>
      </c>
      <c r="AQ1" s="35"/>
      <c r="AR1" s="35"/>
      <c r="AS1" s="35"/>
      <c r="AT1" s="35"/>
      <c r="AU1" s="35"/>
      <c r="AV1" s="35"/>
      <c r="AW1" s="35"/>
      <c r="AX1" s="35"/>
      <c r="AY1" s="35"/>
      <c r="AZ1" s="36"/>
      <c r="BA1" s="32" t="s">
        <v>3234</v>
      </c>
      <c r="BB1" s="34" t="s">
        <v>3235</v>
      </c>
      <c r="BC1" s="35"/>
      <c r="BD1" s="35"/>
      <c r="BE1" s="35"/>
      <c r="BF1" s="35"/>
      <c r="BG1" s="36"/>
      <c r="BH1" s="37" t="s">
        <v>1121</v>
      </c>
      <c r="BI1" s="38" t="s">
        <v>3371</v>
      </c>
      <c r="BJ1" s="39"/>
    </row>
    <row r="2" s="25" customFormat="1" ht="63" customHeight="1" spans="1:62">
      <c r="A2" s="32"/>
      <c r="B2" s="32"/>
      <c r="C2" s="40"/>
      <c r="D2" s="40"/>
      <c r="E2" s="40"/>
      <c r="F2" s="41"/>
      <c r="G2" s="41"/>
      <c r="H2" s="32"/>
      <c r="I2" s="42" t="s">
        <v>3237</v>
      </c>
      <c r="J2" s="42" t="s">
        <v>3238</v>
      </c>
      <c r="K2" s="32" t="s">
        <v>1143</v>
      </c>
      <c r="L2" s="32" t="s">
        <v>3239</v>
      </c>
      <c r="M2" s="32" t="s">
        <v>3240</v>
      </c>
      <c r="N2" s="32" t="s">
        <v>3241</v>
      </c>
      <c r="O2" s="32" t="s">
        <v>3242</v>
      </c>
      <c r="P2" s="32" t="s">
        <v>3243</v>
      </c>
      <c r="Q2" s="32" t="s">
        <v>3244</v>
      </c>
      <c r="R2" s="32" t="s">
        <v>3245</v>
      </c>
      <c r="S2" s="32" t="s">
        <v>3246</v>
      </c>
      <c r="T2" s="43" t="s">
        <v>3247</v>
      </c>
      <c r="U2" s="42" t="s">
        <v>3237</v>
      </c>
      <c r="V2" s="42" t="s">
        <v>3238</v>
      </c>
      <c r="W2" s="32" t="s">
        <v>1143</v>
      </c>
      <c r="X2" s="32" t="s">
        <v>3239</v>
      </c>
      <c r="Y2" s="32" t="s">
        <v>3248</v>
      </c>
      <c r="Z2" s="32" t="s">
        <v>3249</v>
      </c>
      <c r="AA2" s="32" t="s">
        <v>3250</v>
      </c>
      <c r="AB2" s="32" t="s">
        <v>3251</v>
      </c>
      <c r="AC2" s="32" t="s">
        <v>3252</v>
      </c>
      <c r="AD2" s="43" t="s">
        <v>3247</v>
      </c>
      <c r="AE2" s="42" t="s">
        <v>3237</v>
      </c>
      <c r="AF2" s="42" t="s">
        <v>3238</v>
      </c>
      <c r="AG2" s="32" t="s">
        <v>1143</v>
      </c>
      <c r="AH2" s="32" t="s">
        <v>3239</v>
      </c>
      <c r="AI2" s="32" t="s">
        <v>3253</v>
      </c>
      <c r="AJ2" s="32" t="s">
        <v>3254</v>
      </c>
      <c r="AK2" s="32" t="s">
        <v>3255</v>
      </c>
      <c r="AL2" s="32" t="s">
        <v>3256</v>
      </c>
      <c r="AM2" s="32" t="s">
        <v>3257</v>
      </c>
      <c r="AN2" s="32" t="s">
        <v>3258</v>
      </c>
      <c r="AO2" s="43" t="s">
        <v>3247</v>
      </c>
      <c r="AP2" s="42" t="s">
        <v>3237</v>
      </c>
      <c r="AQ2" s="42" t="s">
        <v>3238</v>
      </c>
      <c r="AR2" s="32" t="s">
        <v>1143</v>
      </c>
      <c r="AS2" s="32" t="s">
        <v>3239</v>
      </c>
      <c r="AT2" s="32" t="s">
        <v>3253</v>
      </c>
      <c r="AU2" s="32" t="s">
        <v>3254</v>
      </c>
      <c r="AV2" s="32" t="s">
        <v>3255</v>
      </c>
      <c r="AW2" s="32" t="s">
        <v>3256</v>
      </c>
      <c r="AX2" s="32" t="s">
        <v>3257</v>
      </c>
      <c r="AY2" s="32" t="s">
        <v>3258</v>
      </c>
      <c r="AZ2" s="43" t="s">
        <v>3247</v>
      </c>
      <c r="BA2" s="32"/>
      <c r="BB2" s="32" t="s">
        <v>3259</v>
      </c>
      <c r="BC2" s="32" t="s">
        <v>1143</v>
      </c>
      <c r="BD2" s="32" t="s">
        <v>3260</v>
      </c>
      <c r="BE2" s="32" t="s">
        <v>3261</v>
      </c>
      <c r="BF2" s="32" t="s">
        <v>3262</v>
      </c>
      <c r="BG2" s="32" t="s">
        <v>3263</v>
      </c>
      <c r="BH2" s="37"/>
      <c r="BI2" s="38"/>
      <c r="BJ2" s="39"/>
    </row>
    <row r="3" s="26" customFormat="1" customHeight="1" spans="1:62">
      <c r="A3" s="44">
        <f>'5'!A3+1</f>
        <v>46118</v>
      </c>
      <c r="B3" s="45" t="s">
        <v>3264</v>
      </c>
      <c r="C3" s="45" t="s">
        <v>3265</v>
      </c>
      <c r="D3" s="46" t="s">
        <v>22</v>
      </c>
      <c r="E3" s="47">
        <f>SUMIFS(卸车数据!$J$6:$J$1048576,卸车数据!$R$6:$R$1048576,"&gt;="&amp;A3+TIME(0,0,0),卸车数据!$R$6:$R$1048576,"&lt;"&amp;A3+TIME(1,0,0))</f>
        <v>14593</v>
      </c>
      <c r="F3" s="47">
        <v>2061</v>
      </c>
      <c r="G3" s="48">
        <v>4806</v>
      </c>
      <c r="H3" s="49">
        <v>1</v>
      </c>
      <c r="I3" s="49" t="s">
        <v>3266</v>
      </c>
      <c r="J3" s="49"/>
      <c r="K3" s="50">
        <f t="shared" ref="K3:K26" si="0">SUM(L3:T3)</f>
        <v>15</v>
      </c>
      <c r="L3" s="50">
        <v>1</v>
      </c>
      <c r="M3" s="49">
        <v>4</v>
      </c>
      <c r="N3" s="49">
        <v>2</v>
      </c>
      <c r="O3" s="49">
        <v>1</v>
      </c>
      <c r="P3" s="49">
        <v>4</v>
      </c>
      <c r="Q3" s="49">
        <v>1</v>
      </c>
      <c r="R3" s="49">
        <v>2</v>
      </c>
      <c r="S3" s="49"/>
      <c r="T3" s="49"/>
      <c r="U3" s="49"/>
      <c r="V3" s="49"/>
      <c r="W3" s="50">
        <f t="shared" ref="W3:W26" si="1">SUM(X3:AD3)</f>
        <v>25</v>
      </c>
      <c r="X3" s="50">
        <v>1</v>
      </c>
      <c r="Y3" s="49">
        <v>12</v>
      </c>
      <c r="Z3" s="49">
        <v>9</v>
      </c>
      <c r="AA3" s="49">
        <v>1</v>
      </c>
      <c r="AB3" s="49"/>
      <c r="AC3" s="49">
        <v>2</v>
      </c>
      <c r="AD3" s="49"/>
      <c r="AE3" s="49" t="s">
        <v>3267</v>
      </c>
      <c r="AF3" s="49"/>
      <c r="AG3" s="50">
        <f t="shared" ref="AG3:AG26" si="2">SUM(AH3:AO3)</f>
        <v>25</v>
      </c>
      <c r="AH3" s="50">
        <v>1</v>
      </c>
      <c r="AI3" s="50">
        <v>6</v>
      </c>
      <c r="AJ3" s="50">
        <v>6</v>
      </c>
      <c r="AK3" s="49">
        <v>10</v>
      </c>
      <c r="AL3" s="49"/>
      <c r="AM3" s="49">
        <v>1</v>
      </c>
      <c r="AN3" s="49">
        <v>1</v>
      </c>
      <c r="AO3" s="49"/>
      <c r="AP3" s="49"/>
      <c r="AQ3" s="49"/>
      <c r="AR3" s="50">
        <f t="shared" ref="AR3:AR26" si="3">SUM(AS3:AZ3)</f>
        <v>20</v>
      </c>
      <c r="AS3" s="50">
        <v>1</v>
      </c>
      <c r="AT3" s="50"/>
      <c r="AU3" s="49">
        <v>11</v>
      </c>
      <c r="AV3" s="51">
        <v>6</v>
      </c>
      <c r="AW3" s="50"/>
      <c r="AX3" s="50">
        <v>1</v>
      </c>
      <c r="AY3" s="49">
        <v>1</v>
      </c>
      <c r="AZ3" s="49"/>
      <c r="BA3" s="52">
        <v>4</v>
      </c>
      <c r="BB3" s="50"/>
      <c r="BC3" s="50">
        <f t="shared" ref="BC3:BC26" si="4">BD3+BE3+BF3</f>
        <v>4</v>
      </c>
      <c r="BD3" s="50">
        <v>3</v>
      </c>
      <c r="BE3" s="49"/>
      <c r="BF3" s="49">
        <v>1</v>
      </c>
      <c r="BG3" s="53"/>
      <c r="BH3" s="53">
        <f t="shared" ref="BH3:BH26" si="5">BC3+BA3+AR3+AG3+W3+K3</f>
        <v>93</v>
      </c>
      <c r="BI3" s="54"/>
      <c r="BJ3" s="54"/>
    </row>
    <row r="4" s="26" customFormat="1" customHeight="1" spans="1:62">
      <c r="A4" s="44">
        <f>'5'!A4+1</f>
        <v>46118</v>
      </c>
      <c r="B4" s="45" t="s">
        <v>3268</v>
      </c>
      <c r="C4" s="45" t="s">
        <v>3265</v>
      </c>
      <c r="D4" s="46" t="s">
        <v>22</v>
      </c>
      <c r="E4" s="47">
        <f>SUMIFS(卸车数据!$J$6:$J$1048576,卸车数据!$R$6:$R$1048576,"&gt;="&amp;A4+TIME(1,0,0),卸车数据!$R$6:$R$1048576,"&lt;"&amp;A4+TIME(2,0,0))</f>
        <v>0</v>
      </c>
      <c r="F4" s="47">
        <v>3609</v>
      </c>
      <c r="G4" s="48">
        <v>13761</v>
      </c>
      <c r="H4" s="49">
        <v>1</v>
      </c>
      <c r="I4" s="49"/>
      <c r="J4" s="49"/>
      <c r="K4" s="50">
        <f t="shared" si="0"/>
        <v>15</v>
      </c>
      <c r="L4" s="50">
        <v>1</v>
      </c>
      <c r="M4" s="49">
        <v>4</v>
      </c>
      <c r="N4" s="49">
        <v>2</v>
      </c>
      <c r="O4" s="49">
        <v>1</v>
      </c>
      <c r="P4" s="49">
        <v>4</v>
      </c>
      <c r="Q4" s="49">
        <v>1</v>
      </c>
      <c r="R4" s="49">
        <v>2</v>
      </c>
      <c r="S4" s="49"/>
      <c r="T4" s="50"/>
      <c r="U4" s="49"/>
      <c r="V4" s="49"/>
      <c r="W4" s="50">
        <f t="shared" si="1"/>
        <v>25</v>
      </c>
      <c r="X4" s="50">
        <v>1</v>
      </c>
      <c r="Y4" s="49">
        <v>12</v>
      </c>
      <c r="Z4" s="49">
        <v>9</v>
      </c>
      <c r="AA4" s="49">
        <v>1</v>
      </c>
      <c r="AB4" s="49"/>
      <c r="AC4" s="49">
        <v>2</v>
      </c>
      <c r="AD4" s="49"/>
      <c r="AE4" s="49" t="s">
        <v>3269</v>
      </c>
      <c r="AF4" s="49"/>
      <c r="AG4" s="50">
        <f t="shared" si="2"/>
        <v>25</v>
      </c>
      <c r="AH4" s="50">
        <v>1</v>
      </c>
      <c r="AI4" s="50">
        <v>6</v>
      </c>
      <c r="AJ4" s="50">
        <v>6</v>
      </c>
      <c r="AK4" s="49">
        <v>10</v>
      </c>
      <c r="AL4" s="49"/>
      <c r="AM4" s="49">
        <v>1</v>
      </c>
      <c r="AN4" s="49">
        <v>1</v>
      </c>
      <c r="AO4" s="50"/>
      <c r="AP4" s="49"/>
      <c r="AQ4" s="49"/>
      <c r="AR4" s="50">
        <f t="shared" si="3"/>
        <v>20</v>
      </c>
      <c r="AS4" s="50">
        <v>1</v>
      </c>
      <c r="AT4" s="50"/>
      <c r="AU4" s="49">
        <v>11</v>
      </c>
      <c r="AV4" s="51">
        <v>6</v>
      </c>
      <c r="AW4" s="50"/>
      <c r="AX4" s="50">
        <v>1</v>
      </c>
      <c r="AY4" s="49">
        <v>1</v>
      </c>
      <c r="AZ4" s="50"/>
      <c r="BA4" s="52">
        <v>4</v>
      </c>
      <c r="BB4" s="50"/>
      <c r="BC4" s="50">
        <f t="shared" si="4"/>
        <v>4</v>
      </c>
      <c r="BD4" s="50">
        <v>3</v>
      </c>
      <c r="BE4" s="49"/>
      <c r="BF4" s="49">
        <v>1</v>
      </c>
      <c r="BG4" s="53"/>
      <c r="BH4" s="53">
        <f t="shared" si="5"/>
        <v>93</v>
      </c>
      <c r="BI4" s="54"/>
      <c r="BJ4" s="54"/>
    </row>
    <row r="5" s="26" customFormat="1" customHeight="1" spans="1:62">
      <c r="A5" s="44">
        <f>'5'!A5+1</f>
        <v>46118</v>
      </c>
      <c r="B5" s="45" t="s">
        <v>3270</v>
      </c>
      <c r="C5" s="45" t="s">
        <v>3265</v>
      </c>
      <c r="D5" s="46" t="s">
        <v>22</v>
      </c>
      <c r="E5" s="47">
        <f>SUMIFS(卸车数据!$J$6:$J$1048576,卸车数据!$R$6:$R$1048576,"&gt;="&amp;A5+TIME(2,0,0),卸车数据!$R$6:$R$1048576,"&lt;"&amp;A5+TIME(3,0,0))</f>
        <v>0</v>
      </c>
      <c r="F5" s="47">
        <v>1236</v>
      </c>
      <c r="G5" s="48">
        <v>12311</v>
      </c>
      <c r="H5" s="49">
        <v>1</v>
      </c>
      <c r="I5" s="49" t="s">
        <v>3271</v>
      </c>
      <c r="J5" s="49"/>
      <c r="K5" s="50">
        <f t="shared" si="0"/>
        <v>15</v>
      </c>
      <c r="L5" s="50">
        <v>1</v>
      </c>
      <c r="M5" s="49">
        <v>4</v>
      </c>
      <c r="N5" s="49">
        <v>2</v>
      </c>
      <c r="O5" s="49">
        <v>1</v>
      </c>
      <c r="P5" s="49">
        <v>4</v>
      </c>
      <c r="Q5" s="49">
        <v>1</v>
      </c>
      <c r="R5" s="49">
        <v>2</v>
      </c>
      <c r="S5" s="49"/>
      <c r="T5" s="50"/>
      <c r="U5" s="49" t="s">
        <v>3272</v>
      </c>
      <c r="V5" s="49"/>
      <c r="W5" s="50">
        <f t="shared" si="1"/>
        <v>25</v>
      </c>
      <c r="X5" s="50">
        <v>1</v>
      </c>
      <c r="Y5" s="49">
        <v>12</v>
      </c>
      <c r="Z5" s="49">
        <v>9</v>
      </c>
      <c r="AA5" s="49">
        <v>1</v>
      </c>
      <c r="AB5" s="49"/>
      <c r="AC5" s="49">
        <v>2</v>
      </c>
      <c r="AD5" s="49"/>
      <c r="AE5" s="49"/>
      <c r="AF5" s="49"/>
      <c r="AG5" s="50">
        <f t="shared" si="2"/>
        <v>25</v>
      </c>
      <c r="AH5" s="50">
        <v>1</v>
      </c>
      <c r="AI5" s="50">
        <v>6</v>
      </c>
      <c r="AJ5" s="50">
        <v>6</v>
      </c>
      <c r="AK5" s="49">
        <v>10</v>
      </c>
      <c r="AL5" s="49"/>
      <c r="AM5" s="49">
        <v>1</v>
      </c>
      <c r="AN5" s="49">
        <v>1</v>
      </c>
      <c r="AO5" s="50"/>
      <c r="AP5" s="49"/>
      <c r="AQ5" s="49"/>
      <c r="AR5" s="50">
        <f t="shared" si="3"/>
        <v>20</v>
      </c>
      <c r="AS5" s="50">
        <v>1</v>
      </c>
      <c r="AT5" s="50"/>
      <c r="AU5" s="49">
        <v>11</v>
      </c>
      <c r="AV5" s="51">
        <v>6</v>
      </c>
      <c r="AW5" s="50"/>
      <c r="AX5" s="50">
        <v>1</v>
      </c>
      <c r="AY5" s="49">
        <v>1</v>
      </c>
      <c r="AZ5" s="50"/>
      <c r="BA5" s="52">
        <v>4</v>
      </c>
      <c r="BB5" s="50"/>
      <c r="BC5" s="50">
        <f t="shared" si="4"/>
        <v>4</v>
      </c>
      <c r="BD5" s="50">
        <v>3</v>
      </c>
      <c r="BE5" s="49"/>
      <c r="BF5" s="49">
        <v>1</v>
      </c>
      <c r="BG5" s="49"/>
      <c r="BH5" s="53">
        <f t="shared" si="5"/>
        <v>93</v>
      </c>
      <c r="BI5" s="54"/>
      <c r="BJ5" s="54"/>
    </row>
    <row r="6" s="27" customFormat="1" customHeight="1" spans="1:62">
      <c r="A6" s="44">
        <f>'5'!A6+1</f>
        <v>46118</v>
      </c>
      <c r="B6" s="55" t="s">
        <v>3273</v>
      </c>
      <c r="C6" s="55" t="s">
        <v>3265</v>
      </c>
      <c r="D6" s="46" t="s">
        <v>22</v>
      </c>
      <c r="E6" s="47">
        <f>SUMIFS(卸车数据!$J$6:$J$1048576,卸车数据!$R$6:$R$1048576,"&gt;="&amp;A6+TIME(3,0,0),卸车数据!$R$6:$R$1048576,"&lt;"&amp;A6+TIME(4,0,0))</f>
        <v>1822</v>
      </c>
      <c r="F6" s="56">
        <v>2544</v>
      </c>
      <c r="G6" s="57">
        <v>10964</v>
      </c>
      <c r="H6" s="51">
        <v>1</v>
      </c>
      <c r="I6" s="51" t="s">
        <v>3274</v>
      </c>
      <c r="J6" s="51"/>
      <c r="K6" s="58">
        <f t="shared" si="0"/>
        <v>15</v>
      </c>
      <c r="L6" s="58">
        <v>1</v>
      </c>
      <c r="M6" s="51">
        <v>4</v>
      </c>
      <c r="N6" s="51">
        <v>2</v>
      </c>
      <c r="O6" s="51">
        <v>1</v>
      </c>
      <c r="P6" s="51">
        <v>4</v>
      </c>
      <c r="Q6" s="51">
        <v>1</v>
      </c>
      <c r="R6" s="51">
        <v>2</v>
      </c>
      <c r="S6" s="51"/>
      <c r="T6" s="58"/>
      <c r="U6" s="51" t="s">
        <v>3275</v>
      </c>
      <c r="V6" s="51" t="s">
        <v>3276</v>
      </c>
      <c r="W6" s="58">
        <f t="shared" si="1"/>
        <v>18</v>
      </c>
      <c r="X6" s="58">
        <v>1</v>
      </c>
      <c r="Y6" s="51">
        <v>5</v>
      </c>
      <c r="Z6" s="51">
        <v>9</v>
      </c>
      <c r="AA6" s="51">
        <v>1</v>
      </c>
      <c r="AB6" s="49"/>
      <c r="AC6" s="51">
        <v>2</v>
      </c>
      <c r="AD6" s="51"/>
      <c r="AE6" s="51"/>
      <c r="AF6" s="51"/>
      <c r="AG6" s="58">
        <f t="shared" si="2"/>
        <v>29</v>
      </c>
      <c r="AH6" s="58">
        <v>1</v>
      </c>
      <c r="AI6" s="58">
        <v>6</v>
      </c>
      <c r="AJ6" s="58">
        <v>6</v>
      </c>
      <c r="AK6" s="49">
        <v>10</v>
      </c>
      <c r="AL6" s="51"/>
      <c r="AM6" s="51">
        <v>1</v>
      </c>
      <c r="AN6" s="51">
        <v>1</v>
      </c>
      <c r="AO6" s="59">
        <v>4</v>
      </c>
      <c r="AP6" s="51" t="s">
        <v>3277</v>
      </c>
      <c r="AQ6" s="51" t="s">
        <v>3278</v>
      </c>
      <c r="AR6" s="58">
        <f t="shared" si="3"/>
        <v>23</v>
      </c>
      <c r="AS6" s="58">
        <v>1</v>
      </c>
      <c r="AT6" s="58"/>
      <c r="AU6" s="51">
        <v>11</v>
      </c>
      <c r="AV6" s="51">
        <v>6</v>
      </c>
      <c r="AW6" s="58"/>
      <c r="AX6" s="58">
        <v>1</v>
      </c>
      <c r="AY6" s="51">
        <v>1</v>
      </c>
      <c r="AZ6" s="59">
        <v>3</v>
      </c>
      <c r="BA6" s="52">
        <v>4</v>
      </c>
      <c r="BB6" s="58"/>
      <c r="BC6" s="50">
        <f t="shared" si="4"/>
        <v>4</v>
      </c>
      <c r="BD6" s="58">
        <v>3</v>
      </c>
      <c r="BE6" s="51"/>
      <c r="BF6" s="49">
        <v>1</v>
      </c>
      <c r="BG6" s="51"/>
      <c r="BH6" s="53">
        <f t="shared" si="5"/>
        <v>93</v>
      </c>
      <c r="BI6" s="60" t="s">
        <v>3279</v>
      </c>
      <c r="BJ6" s="61"/>
    </row>
    <row r="7" s="26" customFormat="1" customHeight="1" spans="1:62">
      <c r="A7" s="44">
        <f>'5'!A7+1</f>
        <v>46118</v>
      </c>
      <c r="B7" s="45" t="s">
        <v>3280</v>
      </c>
      <c r="C7" s="45" t="s">
        <v>3265</v>
      </c>
      <c r="D7" s="46" t="s">
        <v>22</v>
      </c>
      <c r="E7" s="47">
        <f>SUMIFS(卸车数据!$J$6:$J$1048576,卸车数据!$R$6:$R$1048576,"&gt;="&amp;A7+TIME(4,0,0),卸车数据!$R$6:$R$1048576,"&lt;"&amp;A7+TIME(5,0,0))</f>
        <v>0</v>
      </c>
      <c r="F7" s="47">
        <v>2088</v>
      </c>
      <c r="G7" s="48">
        <v>131</v>
      </c>
      <c r="H7" s="49">
        <v>1</v>
      </c>
      <c r="I7" s="49" t="s">
        <v>3281</v>
      </c>
      <c r="J7" s="49"/>
      <c r="K7" s="50">
        <f t="shared" si="0"/>
        <v>15</v>
      </c>
      <c r="L7" s="50">
        <v>1</v>
      </c>
      <c r="M7" s="49">
        <v>4</v>
      </c>
      <c r="N7" s="49">
        <v>2</v>
      </c>
      <c r="O7" s="49">
        <v>1</v>
      </c>
      <c r="P7" s="49">
        <v>4</v>
      </c>
      <c r="Q7" s="49">
        <v>1</v>
      </c>
      <c r="R7" s="49">
        <v>2</v>
      </c>
      <c r="S7" s="49"/>
      <c r="T7" s="50"/>
      <c r="U7" s="49"/>
      <c r="V7" s="49"/>
      <c r="W7" s="50">
        <f t="shared" si="1"/>
        <v>25</v>
      </c>
      <c r="X7" s="50">
        <v>1</v>
      </c>
      <c r="Y7" s="49">
        <v>12</v>
      </c>
      <c r="Z7" s="49">
        <v>9</v>
      </c>
      <c r="AA7" s="49">
        <v>1</v>
      </c>
      <c r="AB7" s="49"/>
      <c r="AC7" s="49">
        <v>2</v>
      </c>
      <c r="AD7" s="49"/>
      <c r="AE7" s="49" t="s">
        <v>3282</v>
      </c>
      <c r="AF7" s="49"/>
      <c r="AG7" s="50">
        <f t="shared" si="2"/>
        <v>25</v>
      </c>
      <c r="AH7" s="50">
        <v>1</v>
      </c>
      <c r="AI7" s="50">
        <v>6</v>
      </c>
      <c r="AJ7" s="50">
        <v>6</v>
      </c>
      <c r="AK7" s="49">
        <v>10</v>
      </c>
      <c r="AL7" s="49"/>
      <c r="AM7" s="49">
        <v>1</v>
      </c>
      <c r="AN7" s="49">
        <v>1</v>
      </c>
      <c r="AO7" s="50"/>
      <c r="AP7" s="49"/>
      <c r="AQ7" s="49"/>
      <c r="AR7" s="50">
        <f t="shared" si="3"/>
        <v>20</v>
      </c>
      <c r="AS7" s="50">
        <v>1</v>
      </c>
      <c r="AT7" s="50"/>
      <c r="AU7" s="49">
        <v>11</v>
      </c>
      <c r="AV7" s="51">
        <v>6</v>
      </c>
      <c r="AW7" s="50"/>
      <c r="AX7" s="50">
        <v>1</v>
      </c>
      <c r="AY7" s="49">
        <v>1</v>
      </c>
      <c r="AZ7" s="50"/>
      <c r="BA7" s="52">
        <v>4</v>
      </c>
      <c r="BB7" s="50"/>
      <c r="BC7" s="50">
        <f t="shared" si="4"/>
        <v>4</v>
      </c>
      <c r="BD7" s="50">
        <v>3</v>
      </c>
      <c r="BE7" s="49"/>
      <c r="BF7" s="49">
        <v>1</v>
      </c>
      <c r="BG7" s="49"/>
      <c r="BH7" s="53">
        <f t="shared" si="5"/>
        <v>93</v>
      </c>
      <c r="BI7" s="54"/>
      <c r="BJ7" s="54"/>
    </row>
    <row r="8" s="26" customFormat="1" customHeight="1" spans="1:62">
      <c r="A8" s="44">
        <f>'5'!A8+1</f>
        <v>46118</v>
      </c>
      <c r="B8" s="45" t="s">
        <v>3283</v>
      </c>
      <c r="C8" s="45" t="s">
        <v>3265</v>
      </c>
      <c r="D8" s="46" t="s">
        <v>22</v>
      </c>
      <c r="E8" s="47">
        <f>SUMIFS(卸车数据!$J$6:$J$1048576,卸车数据!$R$6:$R$1048576,"&gt;="&amp;A8+TIME(5,0,0),卸车数据!$R$6:$R$1048576,"&lt;"&amp;A8+TIME(6,0,0))</f>
        <v>4269</v>
      </c>
      <c r="F8" s="47">
        <v>985</v>
      </c>
      <c r="G8" s="48">
        <v>147</v>
      </c>
      <c r="H8" s="49">
        <v>1</v>
      </c>
      <c r="I8" s="49" t="s">
        <v>3284</v>
      </c>
      <c r="J8" s="49"/>
      <c r="K8" s="50">
        <f t="shared" si="0"/>
        <v>15</v>
      </c>
      <c r="L8" s="50">
        <v>1</v>
      </c>
      <c r="M8" s="49">
        <v>4</v>
      </c>
      <c r="N8" s="49">
        <v>2</v>
      </c>
      <c r="O8" s="49">
        <v>1</v>
      </c>
      <c r="P8" s="49">
        <v>4</v>
      </c>
      <c r="Q8" s="49">
        <v>1</v>
      </c>
      <c r="R8" s="49">
        <v>2</v>
      </c>
      <c r="S8" s="50"/>
      <c r="T8" s="50"/>
      <c r="U8" s="49"/>
      <c r="V8" s="49"/>
      <c r="W8" s="50">
        <f t="shared" si="1"/>
        <v>25</v>
      </c>
      <c r="X8" s="50">
        <v>1</v>
      </c>
      <c r="Y8" s="49">
        <v>12</v>
      </c>
      <c r="Z8" s="49">
        <v>9</v>
      </c>
      <c r="AA8" s="49">
        <v>1</v>
      </c>
      <c r="AB8" s="49"/>
      <c r="AC8" s="49">
        <v>2</v>
      </c>
      <c r="AD8" s="50"/>
      <c r="AE8" s="49" t="s">
        <v>3285</v>
      </c>
      <c r="AF8" s="49"/>
      <c r="AG8" s="50">
        <f t="shared" si="2"/>
        <v>25</v>
      </c>
      <c r="AH8" s="50">
        <v>1</v>
      </c>
      <c r="AI8" s="50">
        <v>6</v>
      </c>
      <c r="AJ8" s="50">
        <v>6</v>
      </c>
      <c r="AK8" s="49">
        <v>10</v>
      </c>
      <c r="AL8" s="49"/>
      <c r="AM8" s="49">
        <v>1</v>
      </c>
      <c r="AN8" s="49">
        <v>1</v>
      </c>
      <c r="AO8" s="50"/>
      <c r="AP8" s="49"/>
      <c r="AQ8" s="49"/>
      <c r="AR8" s="50">
        <f t="shared" si="3"/>
        <v>20</v>
      </c>
      <c r="AS8" s="50">
        <v>1</v>
      </c>
      <c r="AT8" s="50"/>
      <c r="AU8" s="49">
        <v>11</v>
      </c>
      <c r="AV8" s="51">
        <v>6</v>
      </c>
      <c r="AW8" s="50"/>
      <c r="AX8" s="50">
        <v>1</v>
      </c>
      <c r="AY8" s="49">
        <v>1</v>
      </c>
      <c r="AZ8" s="50"/>
      <c r="BA8" s="52">
        <v>4</v>
      </c>
      <c r="BB8" s="50"/>
      <c r="BC8" s="50">
        <f t="shared" si="4"/>
        <v>4</v>
      </c>
      <c r="BD8" s="50">
        <v>3</v>
      </c>
      <c r="BE8" s="49"/>
      <c r="BF8" s="49">
        <v>1</v>
      </c>
      <c r="BG8" s="49"/>
      <c r="BH8" s="53">
        <f t="shared" si="5"/>
        <v>93</v>
      </c>
      <c r="BI8" s="54"/>
      <c r="BJ8" s="54"/>
    </row>
    <row r="9" s="26" customFormat="1" customHeight="1" spans="1:62">
      <c r="A9" s="44">
        <f>'5'!A9+1</f>
        <v>46118</v>
      </c>
      <c r="B9" s="45" t="s">
        <v>3286</v>
      </c>
      <c r="C9" s="45" t="s">
        <v>3265</v>
      </c>
      <c r="D9" s="46" t="s">
        <v>22</v>
      </c>
      <c r="E9" s="47">
        <f>SUMIFS(卸车数据!$J$6:$J$1048576,卸车数据!$R$6:$R$1048576,"&gt;="&amp;A9+TIME(6,0,0),卸车数据!$R$6:$R$1048576,"&lt;"&amp;A9+TIME(7,0,0))</f>
        <v>498</v>
      </c>
      <c r="F9" s="47">
        <v>2651</v>
      </c>
      <c r="G9" s="48">
        <v>6035</v>
      </c>
      <c r="H9" s="49">
        <v>1</v>
      </c>
      <c r="I9" s="49" t="s">
        <v>3287</v>
      </c>
      <c r="J9" s="49"/>
      <c r="K9" s="50">
        <f t="shared" si="0"/>
        <v>15</v>
      </c>
      <c r="L9" s="50">
        <v>1</v>
      </c>
      <c r="M9" s="49">
        <v>4</v>
      </c>
      <c r="N9" s="49">
        <v>2</v>
      </c>
      <c r="O9" s="49">
        <v>1</v>
      </c>
      <c r="P9" s="49">
        <v>4</v>
      </c>
      <c r="Q9" s="49">
        <v>1</v>
      </c>
      <c r="R9" s="49">
        <v>2</v>
      </c>
      <c r="S9" s="50"/>
      <c r="T9" s="50"/>
      <c r="U9" s="49"/>
      <c r="V9" s="49"/>
      <c r="W9" s="50">
        <f t="shared" si="1"/>
        <v>25</v>
      </c>
      <c r="X9" s="50">
        <v>1</v>
      </c>
      <c r="Y9" s="49">
        <v>12</v>
      </c>
      <c r="Z9" s="49">
        <v>9</v>
      </c>
      <c r="AA9" s="49">
        <v>1</v>
      </c>
      <c r="AB9" s="49"/>
      <c r="AC9" s="49">
        <v>2</v>
      </c>
      <c r="AD9" s="50"/>
      <c r="AE9" s="49"/>
      <c r="AF9" s="49"/>
      <c r="AG9" s="50">
        <f t="shared" si="2"/>
        <v>25</v>
      </c>
      <c r="AH9" s="50">
        <v>1</v>
      </c>
      <c r="AI9" s="50">
        <v>6</v>
      </c>
      <c r="AJ9" s="50">
        <v>6</v>
      </c>
      <c r="AK9" s="49">
        <v>10</v>
      </c>
      <c r="AL9" s="49"/>
      <c r="AM9" s="49">
        <v>1</v>
      </c>
      <c r="AN9" s="49">
        <v>1</v>
      </c>
      <c r="AO9" s="50"/>
      <c r="AP9" s="49"/>
      <c r="AQ9" s="49"/>
      <c r="AR9" s="50">
        <f t="shared" si="3"/>
        <v>20</v>
      </c>
      <c r="AS9" s="50">
        <v>1</v>
      </c>
      <c r="AT9" s="50"/>
      <c r="AU9" s="49">
        <v>11</v>
      </c>
      <c r="AV9" s="51">
        <v>6</v>
      </c>
      <c r="AW9" s="50"/>
      <c r="AX9" s="50">
        <v>1</v>
      </c>
      <c r="AY9" s="49">
        <v>1</v>
      </c>
      <c r="AZ9" s="50"/>
      <c r="BA9" s="52">
        <v>4</v>
      </c>
      <c r="BB9" s="50"/>
      <c r="BC9" s="50">
        <f t="shared" si="4"/>
        <v>4</v>
      </c>
      <c r="BD9" s="50">
        <v>3</v>
      </c>
      <c r="BE9" s="49"/>
      <c r="BF9" s="49">
        <v>1</v>
      </c>
      <c r="BG9" s="49"/>
      <c r="BH9" s="53">
        <f t="shared" si="5"/>
        <v>93</v>
      </c>
      <c r="BI9" s="54"/>
      <c r="BJ9" s="54"/>
    </row>
    <row r="10" s="26" customFormat="1" customHeight="1" spans="1:62">
      <c r="A10" s="44">
        <f>'5'!A10+1</f>
        <v>46118</v>
      </c>
      <c r="B10" s="45" t="s">
        <v>3288</v>
      </c>
      <c r="C10" s="45" t="s">
        <v>3289</v>
      </c>
      <c r="D10" s="46" t="s">
        <v>22</v>
      </c>
      <c r="E10" s="47">
        <f>SUMIFS(卸车数据!$J$6:$J$1048576,卸车数据!$R$6:$R$1048576,"&gt;="&amp;A10+TIME(7,0,0),卸车数据!$R$6:$R$1048576,"&lt;"&amp;A10+TIME(8,0,0))</f>
        <v>2205</v>
      </c>
      <c r="F10" s="62">
        <v>2386</v>
      </c>
      <c r="G10" s="63">
        <v>4536</v>
      </c>
      <c r="H10" s="49">
        <v>1</v>
      </c>
      <c r="I10" s="49" t="s">
        <v>3290</v>
      </c>
      <c r="J10" s="49" t="s">
        <v>3291</v>
      </c>
      <c r="K10" s="50">
        <f t="shared" si="0"/>
        <v>9</v>
      </c>
      <c r="L10" s="50">
        <v>1</v>
      </c>
      <c r="M10" s="50">
        <v>2</v>
      </c>
      <c r="N10" s="50">
        <v>1</v>
      </c>
      <c r="O10" s="50">
        <v>1</v>
      </c>
      <c r="P10" s="50">
        <v>2</v>
      </c>
      <c r="Q10" s="50"/>
      <c r="R10" s="50">
        <v>1</v>
      </c>
      <c r="S10" s="50">
        <v>1</v>
      </c>
      <c r="T10" s="49"/>
      <c r="U10" s="49" t="s">
        <v>3292</v>
      </c>
      <c r="V10" s="49"/>
      <c r="W10" s="50">
        <f t="shared" si="1"/>
        <v>12</v>
      </c>
      <c r="X10" s="50">
        <v>1</v>
      </c>
      <c r="Y10" s="50">
        <v>6</v>
      </c>
      <c r="Z10" s="50">
        <v>4</v>
      </c>
      <c r="AA10" s="50"/>
      <c r="AB10" s="50"/>
      <c r="AC10" s="50">
        <v>1</v>
      </c>
      <c r="AD10" s="50"/>
      <c r="AE10" s="64" t="s">
        <v>3293</v>
      </c>
      <c r="AF10" s="49" t="s">
        <v>3294</v>
      </c>
      <c r="AG10" s="50">
        <f t="shared" si="2"/>
        <v>16</v>
      </c>
      <c r="AH10" s="50">
        <v>1</v>
      </c>
      <c r="AI10" s="50">
        <v>1</v>
      </c>
      <c r="AJ10" s="50">
        <v>6</v>
      </c>
      <c r="AK10" s="50">
        <v>3</v>
      </c>
      <c r="AL10" s="50"/>
      <c r="AM10" s="50">
        <v>1</v>
      </c>
      <c r="AN10" s="50">
        <v>1</v>
      </c>
      <c r="AO10" s="59">
        <v>3</v>
      </c>
      <c r="AP10" s="49" t="s">
        <v>3295</v>
      </c>
      <c r="AQ10" s="49"/>
      <c r="AR10" s="50">
        <f t="shared" si="3"/>
        <v>16</v>
      </c>
      <c r="AS10" s="50">
        <v>1</v>
      </c>
      <c r="AT10" s="50">
        <v>1</v>
      </c>
      <c r="AU10" s="50">
        <v>7</v>
      </c>
      <c r="AV10" s="50">
        <v>3</v>
      </c>
      <c r="AW10" s="50">
        <v>1</v>
      </c>
      <c r="AX10" s="50">
        <v>1</v>
      </c>
      <c r="AY10" s="50"/>
      <c r="AZ10" s="59">
        <v>2</v>
      </c>
      <c r="BA10" s="50"/>
      <c r="BB10" s="50"/>
      <c r="BC10" s="50">
        <f t="shared" si="4"/>
        <v>5</v>
      </c>
      <c r="BD10" s="50">
        <v>2</v>
      </c>
      <c r="BE10" s="49">
        <v>2</v>
      </c>
      <c r="BF10" s="49">
        <v>1</v>
      </c>
      <c r="BG10" s="49"/>
      <c r="BH10" s="53">
        <f t="shared" si="5"/>
        <v>58</v>
      </c>
      <c r="BI10" s="61" t="s">
        <v>3296</v>
      </c>
      <c r="BJ10" s="61">
        <v>58</v>
      </c>
    </row>
    <row r="11" s="28" customFormat="1" customHeight="1" spans="1:62">
      <c r="A11" s="44">
        <f>'5'!A11+1</f>
        <v>46118</v>
      </c>
      <c r="B11" s="45" t="s">
        <v>3297</v>
      </c>
      <c r="C11" s="45" t="s">
        <v>3289</v>
      </c>
      <c r="D11" s="46" t="s">
        <v>22</v>
      </c>
      <c r="E11" s="47">
        <f>SUMIFS(卸车数据!$J$6:$J$1048576,卸车数据!$R$6:$R$1048576,"&gt;="&amp;A11+TIME(8,0,0),卸车数据!$R$6:$R$1048576,"&lt;"&amp;A11+TIME(9,0,0))</f>
        <v>2692</v>
      </c>
      <c r="F11" s="62">
        <v>406</v>
      </c>
      <c r="G11" s="65">
        <v>2838</v>
      </c>
      <c r="H11" s="49">
        <v>1</v>
      </c>
      <c r="I11" s="49" t="s">
        <v>3290</v>
      </c>
      <c r="J11" s="49" t="s">
        <v>3291</v>
      </c>
      <c r="K11" s="50">
        <f t="shared" si="0"/>
        <v>9</v>
      </c>
      <c r="L11" s="50">
        <v>1</v>
      </c>
      <c r="M11" s="50">
        <v>2</v>
      </c>
      <c r="N11" s="50">
        <v>1</v>
      </c>
      <c r="O11" s="50">
        <v>1</v>
      </c>
      <c r="P11" s="50">
        <v>2</v>
      </c>
      <c r="Q11" s="50"/>
      <c r="R11" s="50">
        <v>1</v>
      </c>
      <c r="S11" s="49">
        <v>1</v>
      </c>
      <c r="T11" s="49"/>
      <c r="U11" s="49" t="s">
        <v>3298</v>
      </c>
      <c r="V11" s="49"/>
      <c r="W11" s="50">
        <f t="shared" si="1"/>
        <v>12</v>
      </c>
      <c r="X11" s="50">
        <v>1</v>
      </c>
      <c r="Y11" s="50">
        <v>6</v>
      </c>
      <c r="Z11" s="50">
        <v>4</v>
      </c>
      <c r="AA11" s="50"/>
      <c r="AB11" s="50"/>
      <c r="AC11" s="50">
        <v>1</v>
      </c>
      <c r="AD11" s="50"/>
      <c r="AE11" s="64" t="s">
        <v>3299</v>
      </c>
      <c r="AF11" s="49"/>
      <c r="AG11" s="50">
        <f t="shared" si="2"/>
        <v>16</v>
      </c>
      <c r="AH11" s="50">
        <v>1</v>
      </c>
      <c r="AI11" s="50">
        <v>1</v>
      </c>
      <c r="AJ11" s="50">
        <v>6</v>
      </c>
      <c r="AK11" s="50">
        <v>3</v>
      </c>
      <c r="AL11" s="50"/>
      <c r="AM11" s="50">
        <v>1</v>
      </c>
      <c r="AN11" s="50">
        <v>1</v>
      </c>
      <c r="AO11" s="59">
        <v>3</v>
      </c>
      <c r="AP11" s="49" t="s">
        <v>3300</v>
      </c>
      <c r="AQ11" s="49" t="s">
        <v>3301</v>
      </c>
      <c r="AR11" s="50">
        <f t="shared" si="3"/>
        <v>16</v>
      </c>
      <c r="AS11" s="50">
        <v>1</v>
      </c>
      <c r="AT11" s="50">
        <v>1</v>
      </c>
      <c r="AU11" s="50">
        <v>7</v>
      </c>
      <c r="AV11" s="50">
        <v>3</v>
      </c>
      <c r="AW11" s="50">
        <v>1</v>
      </c>
      <c r="AX11" s="50">
        <v>1</v>
      </c>
      <c r="AY11" s="49"/>
      <c r="AZ11" s="66">
        <v>2</v>
      </c>
      <c r="BA11" s="49"/>
      <c r="BB11" s="49"/>
      <c r="BC11" s="50">
        <f t="shared" si="4"/>
        <v>5</v>
      </c>
      <c r="BD11" s="50">
        <v>2</v>
      </c>
      <c r="BE11" s="49">
        <v>2</v>
      </c>
      <c r="BF11" s="49">
        <v>1</v>
      </c>
      <c r="BG11" s="53"/>
      <c r="BH11" s="53">
        <f t="shared" si="5"/>
        <v>58</v>
      </c>
      <c r="BI11" s="54"/>
      <c r="BJ11" s="54"/>
    </row>
    <row r="12" s="28" customFormat="1" customHeight="1" spans="1:62">
      <c r="A12" s="44">
        <f>'5'!A12+1</f>
        <v>46118</v>
      </c>
      <c r="B12" s="45" t="s">
        <v>3302</v>
      </c>
      <c r="C12" s="45" t="s">
        <v>3289</v>
      </c>
      <c r="D12" s="46" t="s">
        <v>22</v>
      </c>
      <c r="E12" s="47">
        <f>SUMIFS(卸车数据!$J$6:$J$1048576,卸车数据!$R$6:$R$1048576,"&gt;="&amp;A12+TIME(9,0,0),卸车数据!$R$6:$R$1048576,"&lt;"&amp;A12+TIME(10,0,0))</f>
        <v>199</v>
      </c>
      <c r="F12" s="47">
        <v>2756</v>
      </c>
      <c r="G12" s="65">
        <v>9419</v>
      </c>
      <c r="H12" s="49">
        <v>1</v>
      </c>
      <c r="I12" s="49" t="s">
        <v>3303</v>
      </c>
      <c r="J12" s="49"/>
      <c r="K12" s="50">
        <f t="shared" si="0"/>
        <v>12</v>
      </c>
      <c r="L12" s="50">
        <v>1</v>
      </c>
      <c r="M12" s="50">
        <v>4</v>
      </c>
      <c r="N12" s="50">
        <v>2</v>
      </c>
      <c r="O12" s="50">
        <v>1</v>
      </c>
      <c r="P12" s="50">
        <v>2</v>
      </c>
      <c r="Q12" s="50">
        <v>1</v>
      </c>
      <c r="R12" s="50">
        <v>1</v>
      </c>
      <c r="S12" s="49"/>
      <c r="T12" s="49"/>
      <c r="U12" s="49" t="s">
        <v>3304</v>
      </c>
      <c r="V12" s="49"/>
      <c r="W12" s="50">
        <f t="shared" si="1"/>
        <v>14</v>
      </c>
      <c r="X12" s="50">
        <v>1</v>
      </c>
      <c r="Y12" s="50">
        <v>8</v>
      </c>
      <c r="Z12" s="50">
        <v>4</v>
      </c>
      <c r="AA12" s="50"/>
      <c r="AB12" s="50"/>
      <c r="AC12" s="50">
        <v>1</v>
      </c>
      <c r="AD12" s="50"/>
      <c r="AE12" s="64" t="s">
        <v>3305</v>
      </c>
      <c r="AF12" s="49"/>
      <c r="AG12" s="50">
        <f t="shared" si="2"/>
        <v>13</v>
      </c>
      <c r="AH12" s="50">
        <v>1</v>
      </c>
      <c r="AI12" s="50">
        <v>1</v>
      </c>
      <c r="AJ12" s="50">
        <v>6</v>
      </c>
      <c r="AK12" s="50">
        <v>3</v>
      </c>
      <c r="AL12" s="50"/>
      <c r="AM12" s="50">
        <v>1</v>
      </c>
      <c r="AN12" s="50">
        <v>1</v>
      </c>
      <c r="AO12" s="50"/>
      <c r="AP12" s="49" t="s">
        <v>3300</v>
      </c>
      <c r="AQ12" s="49" t="s">
        <v>3301</v>
      </c>
      <c r="AR12" s="50">
        <f t="shared" si="3"/>
        <v>14</v>
      </c>
      <c r="AS12" s="50">
        <v>1</v>
      </c>
      <c r="AT12" s="50">
        <v>1</v>
      </c>
      <c r="AU12" s="50">
        <v>7</v>
      </c>
      <c r="AV12" s="50">
        <v>3</v>
      </c>
      <c r="AW12" s="50">
        <v>1</v>
      </c>
      <c r="AX12" s="50">
        <v>1</v>
      </c>
      <c r="AY12" s="49"/>
      <c r="AZ12" s="49"/>
      <c r="BA12" s="49"/>
      <c r="BB12" s="49"/>
      <c r="BC12" s="50">
        <f t="shared" si="4"/>
        <v>5</v>
      </c>
      <c r="BD12" s="50">
        <v>2</v>
      </c>
      <c r="BE12" s="49">
        <v>2</v>
      </c>
      <c r="BF12" s="49">
        <v>1</v>
      </c>
      <c r="BG12" s="53"/>
      <c r="BH12" s="53">
        <f t="shared" si="5"/>
        <v>58</v>
      </c>
      <c r="BI12" s="54"/>
      <c r="BJ12" s="54"/>
    </row>
    <row r="13" s="28" customFormat="1" customHeight="1" spans="1:62">
      <c r="A13" s="44">
        <f>'5'!A13+1</f>
        <v>46118</v>
      </c>
      <c r="B13" s="45" t="s">
        <v>3306</v>
      </c>
      <c r="C13" s="45" t="s">
        <v>3289</v>
      </c>
      <c r="D13" s="46" t="s">
        <v>22</v>
      </c>
      <c r="E13" s="47">
        <f>SUMIFS(卸车数据!$J$6:$J$1048576,卸车数据!$R$6:$R$1048576,"&gt;="&amp;A13+TIME(10,0,0),卸车数据!$R$6:$R$1048576,"&lt;"&amp;A13+TIME(11,0,0))</f>
        <v>99</v>
      </c>
      <c r="F13" s="47">
        <v>162</v>
      </c>
      <c r="G13" s="65">
        <v>198</v>
      </c>
      <c r="H13" s="49">
        <v>1</v>
      </c>
      <c r="I13" s="64" t="s">
        <v>3307</v>
      </c>
      <c r="J13" s="49"/>
      <c r="K13" s="50">
        <f t="shared" si="0"/>
        <v>12</v>
      </c>
      <c r="L13" s="50">
        <v>1</v>
      </c>
      <c r="M13" s="50">
        <v>4</v>
      </c>
      <c r="N13" s="50">
        <v>2</v>
      </c>
      <c r="O13" s="50">
        <v>1</v>
      </c>
      <c r="P13" s="50">
        <v>2</v>
      </c>
      <c r="Q13" s="50">
        <v>1</v>
      </c>
      <c r="R13" s="50">
        <v>1</v>
      </c>
      <c r="S13" s="49"/>
      <c r="T13" s="49"/>
      <c r="U13" s="49" t="s">
        <v>3308</v>
      </c>
      <c r="V13" s="49"/>
      <c r="W13" s="50">
        <f t="shared" si="1"/>
        <v>14</v>
      </c>
      <c r="X13" s="50">
        <v>1</v>
      </c>
      <c r="Y13" s="50">
        <v>8</v>
      </c>
      <c r="Z13" s="50">
        <v>4</v>
      </c>
      <c r="AA13" s="50"/>
      <c r="AB13" s="50"/>
      <c r="AC13" s="50">
        <v>1</v>
      </c>
      <c r="AD13" s="50"/>
      <c r="AE13" s="64" t="s">
        <v>3309</v>
      </c>
      <c r="AF13" s="49"/>
      <c r="AG13" s="50">
        <f t="shared" si="2"/>
        <v>13</v>
      </c>
      <c r="AH13" s="50">
        <v>1</v>
      </c>
      <c r="AI13" s="50">
        <v>1</v>
      </c>
      <c r="AJ13" s="50">
        <v>6</v>
      </c>
      <c r="AK13" s="50">
        <v>3</v>
      </c>
      <c r="AL13" s="50"/>
      <c r="AM13" s="50">
        <v>1</v>
      </c>
      <c r="AN13" s="50">
        <v>1</v>
      </c>
      <c r="AO13" s="50"/>
      <c r="AP13" s="49" t="s">
        <v>3300</v>
      </c>
      <c r="AQ13" s="49" t="s">
        <v>3301</v>
      </c>
      <c r="AR13" s="50">
        <f t="shared" si="3"/>
        <v>14</v>
      </c>
      <c r="AS13" s="50">
        <v>1</v>
      </c>
      <c r="AT13" s="50">
        <v>1</v>
      </c>
      <c r="AU13" s="50">
        <v>7</v>
      </c>
      <c r="AV13" s="50">
        <v>3</v>
      </c>
      <c r="AW13" s="50">
        <v>1</v>
      </c>
      <c r="AX13" s="50">
        <v>1</v>
      </c>
      <c r="AY13" s="49"/>
      <c r="AZ13" s="49"/>
      <c r="BA13" s="49"/>
      <c r="BB13" s="49"/>
      <c r="BC13" s="50">
        <f t="shared" si="4"/>
        <v>5</v>
      </c>
      <c r="BD13" s="50">
        <v>2</v>
      </c>
      <c r="BE13" s="49">
        <v>2</v>
      </c>
      <c r="BF13" s="49">
        <v>1</v>
      </c>
      <c r="BG13" s="53"/>
      <c r="BH13" s="53">
        <f t="shared" si="5"/>
        <v>58</v>
      </c>
      <c r="BI13" s="54"/>
      <c r="BJ13" s="54"/>
    </row>
    <row r="14" s="29" customFormat="1" customHeight="1" spans="1:62">
      <c r="A14" s="44">
        <f>'5'!A14+1</f>
        <v>46118</v>
      </c>
      <c r="B14" s="55" t="s">
        <v>3310</v>
      </c>
      <c r="C14" s="55" t="s">
        <v>3289</v>
      </c>
      <c r="D14" s="55" t="s">
        <v>3311</v>
      </c>
      <c r="E14" s="47">
        <f>SUMIFS(卸车数据!$J$6:$J$1048576,卸车数据!$R$6:$R$1048576,"&gt;="&amp;A14+TIME(11,0,0),卸车数据!$R$6:$R$1048576,"&lt;"&amp;A14+TIME(12,0,0))</f>
        <v>3861</v>
      </c>
      <c r="F14" s="47">
        <v>2079</v>
      </c>
      <c r="G14" s="67">
        <v>108</v>
      </c>
      <c r="H14" s="51">
        <v>1</v>
      </c>
      <c r="I14" s="68" t="s">
        <v>3312</v>
      </c>
      <c r="J14" s="51"/>
      <c r="K14" s="58">
        <f t="shared" si="0"/>
        <v>13</v>
      </c>
      <c r="L14" s="58">
        <v>1</v>
      </c>
      <c r="M14" s="51">
        <v>5</v>
      </c>
      <c r="N14" s="51">
        <v>5</v>
      </c>
      <c r="O14" s="51"/>
      <c r="P14" s="51">
        <v>2</v>
      </c>
      <c r="Q14" s="51"/>
      <c r="R14" s="51"/>
      <c r="S14" s="51"/>
      <c r="T14" s="51"/>
      <c r="U14" s="51" t="s">
        <v>3313</v>
      </c>
      <c r="V14" s="51"/>
      <c r="W14" s="58">
        <f t="shared" si="1"/>
        <v>16</v>
      </c>
      <c r="X14" s="58">
        <v>1</v>
      </c>
      <c r="Y14" s="58">
        <v>8</v>
      </c>
      <c r="Z14" s="58">
        <v>5</v>
      </c>
      <c r="AA14" s="58"/>
      <c r="AB14" s="58"/>
      <c r="AC14" s="58">
        <v>2</v>
      </c>
      <c r="AD14" s="58"/>
      <c r="AE14" s="68" t="s">
        <v>3314</v>
      </c>
      <c r="AF14" s="51"/>
      <c r="AG14" s="58">
        <f t="shared" si="2"/>
        <v>16</v>
      </c>
      <c r="AH14" s="58">
        <v>1</v>
      </c>
      <c r="AI14" s="58">
        <v>1</v>
      </c>
      <c r="AJ14" s="58">
        <v>5</v>
      </c>
      <c r="AK14" s="50">
        <v>7</v>
      </c>
      <c r="AL14" s="58"/>
      <c r="AM14" s="58">
        <v>1</v>
      </c>
      <c r="AN14" s="58">
        <v>1</v>
      </c>
      <c r="AO14" s="58"/>
      <c r="AP14" s="51" t="s">
        <v>3315</v>
      </c>
      <c r="AQ14" s="51" t="s">
        <v>3316</v>
      </c>
      <c r="AR14" s="58">
        <f t="shared" si="3"/>
        <v>14</v>
      </c>
      <c r="AS14" s="58">
        <v>1</v>
      </c>
      <c r="AT14" s="58">
        <v>1</v>
      </c>
      <c r="AU14" s="58">
        <v>7</v>
      </c>
      <c r="AV14" s="58">
        <v>3</v>
      </c>
      <c r="AW14" s="58">
        <v>1</v>
      </c>
      <c r="AX14" s="58">
        <v>1</v>
      </c>
      <c r="AY14" s="51"/>
      <c r="AZ14" s="51"/>
      <c r="BA14" s="51"/>
      <c r="BB14" s="51"/>
      <c r="BC14" s="50">
        <f t="shared" si="4"/>
        <v>5</v>
      </c>
      <c r="BD14" s="58">
        <v>2</v>
      </c>
      <c r="BE14" s="49">
        <v>2</v>
      </c>
      <c r="BF14" s="49">
        <v>1</v>
      </c>
      <c r="BG14" s="69"/>
      <c r="BH14" s="53">
        <f t="shared" si="5"/>
        <v>64</v>
      </c>
      <c r="BI14" s="61" t="s">
        <v>3317</v>
      </c>
      <c r="BJ14" s="61">
        <v>6</v>
      </c>
    </row>
    <row r="15" s="28" customFormat="1" customHeight="1" spans="1:62">
      <c r="A15" s="44">
        <f>'5'!A15+1</f>
        <v>46118</v>
      </c>
      <c r="B15" s="45" t="s">
        <v>3318</v>
      </c>
      <c r="C15" s="45" t="s">
        <v>3289</v>
      </c>
      <c r="D15" s="70" t="s">
        <v>3319</v>
      </c>
      <c r="E15" s="47">
        <f>SUMIFS(卸车数据!$J$6:$J$1048576,卸车数据!$R$6:$R$1048576,"&gt;="&amp;A15+TIME(12,0,0),卸车数据!$R$6:$R$1048576,"&lt;"&amp;A15+TIME(13,0,0))</f>
        <v>12351</v>
      </c>
      <c r="F15" s="49">
        <v>6447</v>
      </c>
      <c r="G15" s="65">
        <v>15</v>
      </c>
      <c r="H15" s="49">
        <v>1</v>
      </c>
      <c r="I15" s="49" t="s">
        <v>3320</v>
      </c>
      <c r="J15" s="49" t="s">
        <v>3321</v>
      </c>
      <c r="K15" s="50">
        <f t="shared" si="0"/>
        <v>18</v>
      </c>
      <c r="L15" s="50">
        <v>1</v>
      </c>
      <c r="M15" s="49">
        <v>5</v>
      </c>
      <c r="N15" s="49">
        <v>5</v>
      </c>
      <c r="O15" s="49"/>
      <c r="P15" s="49">
        <v>3</v>
      </c>
      <c r="Q15" s="49"/>
      <c r="R15" s="49"/>
      <c r="S15" s="49"/>
      <c r="T15" s="66">
        <v>4</v>
      </c>
      <c r="U15" s="49" t="s">
        <v>3322</v>
      </c>
      <c r="V15" s="49" t="s">
        <v>3323</v>
      </c>
      <c r="W15" s="50">
        <f t="shared" si="1"/>
        <v>4</v>
      </c>
      <c r="X15" s="50">
        <v>1</v>
      </c>
      <c r="Y15" s="49"/>
      <c r="Z15" s="49"/>
      <c r="AA15" s="49">
        <v>1</v>
      </c>
      <c r="AB15" s="49"/>
      <c r="AC15" s="58">
        <v>2</v>
      </c>
      <c r="AD15" s="49"/>
      <c r="AE15" s="64" t="s">
        <v>3324</v>
      </c>
      <c r="AF15" s="49"/>
      <c r="AG15" s="50">
        <f t="shared" si="2"/>
        <v>20</v>
      </c>
      <c r="AH15" s="50">
        <v>1</v>
      </c>
      <c r="AI15" s="50">
        <v>3</v>
      </c>
      <c r="AJ15" s="49">
        <v>5</v>
      </c>
      <c r="AK15" s="50">
        <v>7</v>
      </c>
      <c r="AL15" s="49"/>
      <c r="AM15" s="49"/>
      <c r="AN15" s="49"/>
      <c r="AO15" s="66">
        <v>4</v>
      </c>
      <c r="AP15" s="49" t="s">
        <v>3325</v>
      </c>
      <c r="AQ15" s="49" t="s">
        <v>3326</v>
      </c>
      <c r="AR15" s="50">
        <f t="shared" si="3"/>
        <v>17</v>
      </c>
      <c r="AS15" s="50">
        <v>1</v>
      </c>
      <c r="AT15" s="50">
        <v>1</v>
      </c>
      <c r="AU15" s="50">
        <v>7</v>
      </c>
      <c r="AV15" s="50">
        <v>3</v>
      </c>
      <c r="AW15" s="50">
        <v>1</v>
      </c>
      <c r="AX15" s="50"/>
      <c r="AY15" s="49"/>
      <c r="AZ15" s="66">
        <v>4</v>
      </c>
      <c r="BA15" s="49"/>
      <c r="BB15" s="49"/>
      <c r="BC15" s="50">
        <f t="shared" si="4"/>
        <v>5</v>
      </c>
      <c r="BD15" s="50">
        <v>2</v>
      </c>
      <c r="BE15" s="49">
        <v>2</v>
      </c>
      <c r="BF15" s="49">
        <v>1</v>
      </c>
      <c r="BG15" s="53"/>
      <c r="BH15" s="53">
        <f t="shared" si="5"/>
        <v>64</v>
      </c>
      <c r="BI15" s="54"/>
      <c r="BJ15" s="54"/>
    </row>
    <row r="16" s="28" customFormat="1" customHeight="1" spans="1:62">
      <c r="A16" s="44">
        <f>'5'!A16+1</f>
        <v>46118</v>
      </c>
      <c r="B16" s="45" t="s">
        <v>3327</v>
      </c>
      <c r="C16" s="45" t="s">
        <v>3289</v>
      </c>
      <c r="D16" s="70" t="s">
        <v>3319</v>
      </c>
      <c r="E16" s="47">
        <f>SUMIFS(卸车数据!$J$6:$J$1048576,卸车数据!$R$6:$R$1048576,"&gt;="&amp;A16+TIME(13,0,0),卸车数据!$R$6:$R$1048576,"&lt;"&amp;A16+TIME(14,0,0))</f>
        <v>7914</v>
      </c>
      <c r="F16" s="49">
        <v>2601</v>
      </c>
      <c r="G16" s="65">
        <v>5148</v>
      </c>
      <c r="H16" s="49">
        <v>1</v>
      </c>
      <c r="I16" s="49" t="s">
        <v>3320</v>
      </c>
      <c r="J16" s="49" t="s">
        <v>3328</v>
      </c>
      <c r="K16" s="50">
        <f t="shared" si="0"/>
        <v>12</v>
      </c>
      <c r="L16" s="50">
        <v>1</v>
      </c>
      <c r="M16" s="49">
        <v>3</v>
      </c>
      <c r="N16" s="49">
        <v>5</v>
      </c>
      <c r="O16" s="49"/>
      <c r="P16" s="49">
        <v>3</v>
      </c>
      <c r="Q16" s="49"/>
      <c r="R16" s="49"/>
      <c r="S16" s="49"/>
      <c r="T16" s="49"/>
      <c r="U16" s="49" t="s">
        <v>3329</v>
      </c>
      <c r="V16" s="49"/>
      <c r="W16" s="50">
        <f t="shared" si="1"/>
        <v>16</v>
      </c>
      <c r="X16" s="50">
        <v>1</v>
      </c>
      <c r="Y16" s="49">
        <v>9</v>
      </c>
      <c r="Z16" s="49">
        <v>4</v>
      </c>
      <c r="AA16" s="49"/>
      <c r="AB16" s="49"/>
      <c r="AC16" s="58">
        <v>2</v>
      </c>
      <c r="AD16" s="49"/>
      <c r="AE16" s="49" t="s">
        <v>3330</v>
      </c>
      <c r="AF16" s="49"/>
      <c r="AG16" s="50">
        <f t="shared" si="2"/>
        <v>18</v>
      </c>
      <c r="AH16" s="50">
        <v>1</v>
      </c>
      <c r="AI16" s="50">
        <v>1</v>
      </c>
      <c r="AJ16" s="50">
        <v>5</v>
      </c>
      <c r="AK16" s="50">
        <v>7</v>
      </c>
      <c r="AL16" s="50"/>
      <c r="AM16" s="50">
        <v>1</v>
      </c>
      <c r="AN16" s="50">
        <v>1</v>
      </c>
      <c r="AO16" s="66">
        <v>2</v>
      </c>
      <c r="AP16" s="49" t="s">
        <v>3325</v>
      </c>
      <c r="AQ16" s="49" t="s">
        <v>3326</v>
      </c>
      <c r="AR16" s="50">
        <f t="shared" si="3"/>
        <v>13</v>
      </c>
      <c r="AS16" s="50">
        <v>1</v>
      </c>
      <c r="AT16" s="50">
        <v>1</v>
      </c>
      <c r="AU16" s="50">
        <v>7</v>
      </c>
      <c r="AV16" s="50">
        <v>3</v>
      </c>
      <c r="AW16" s="50">
        <v>1</v>
      </c>
      <c r="AX16" s="50"/>
      <c r="AY16" s="49"/>
      <c r="AZ16" s="49"/>
      <c r="BA16" s="49"/>
      <c r="BB16" s="49"/>
      <c r="BC16" s="50">
        <f t="shared" si="4"/>
        <v>5</v>
      </c>
      <c r="BD16" s="50">
        <v>2</v>
      </c>
      <c r="BE16" s="49">
        <v>2</v>
      </c>
      <c r="BF16" s="49">
        <v>1</v>
      </c>
      <c r="BG16" s="53"/>
      <c r="BH16" s="53">
        <f t="shared" si="5"/>
        <v>64</v>
      </c>
      <c r="BI16" s="54"/>
      <c r="BJ16" s="54"/>
    </row>
    <row r="17" s="28" customFormat="1" customHeight="1" spans="1:62">
      <c r="A17" s="44">
        <f>'5'!A17+1</f>
        <v>46118</v>
      </c>
      <c r="B17" s="45" t="s">
        <v>3331</v>
      </c>
      <c r="C17" s="45" t="s">
        <v>3289</v>
      </c>
      <c r="D17" s="70" t="s">
        <v>3319</v>
      </c>
      <c r="E17" s="47">
        <f>SUMIFS(卸车数据!$J$6:$J$1048576,卸车数据!$R$6:$R$1048576,"&gt;="&amp;A17+TIME(14,0,0),卸车数据!$R$6:$R$1048576,"&lt;"&amp;A17+TIME(15,0,0))</f>
        <v>5822</v>
      </c>
      <c r="F17" s="49">
        <v>1373</v>
      </c>
      <c r="G17" s="65">
        <v>7939</v>
      </c>
      <c r="H17" s="49">
        <v>1</v>
      </c>
      <c r="I17" s="49" t="s">
        <v>3332</v>
      </c>
      <c r="J17" s="49" t="s">
        <v>3333</v>
      </c>
      <c r="K17" s="50">
        <f t="shared" si="0"/>
        <v>12</v>
      </c>
      <c r="L17" s="50">
        <v>1</v>
      </c>
      <c r="M17" s="49">
        <v>3</v>
      </c>
      <c r="N17" s="49">
        <v>5</v>
      </c>
      <c r="O17" s="49"/>
      <c r="P17" s="49">
        <v>3</v>
      </c>
      <c r="Q17" s="49"/>
      <c r="R17" s="49"/>
      <c r="S17" s="49"/>
      <c r="T17" s="49"/>
      <c r="U17" s="49" t="s">
        <v>3329</v>
      </c>
      <c r="V17" s="49"/>
      <c r="W17" s="50">
        <f t="shared" si="1"/>
        <v>16</v>
      </c>
      <c r="X17" s="50">
        <v>1</v>
      </c>
      <c r="Y17" s="49">
        <v>9</v>
      </c>
      <c r="Z17" s="49">
        <v>4</v>
      </c>
      <c r="AA17" s="49"/>
      <c r="AB17" s="49"/>
      <c r="AC17" s="58">
        <v>2</v>
      </c>
      <c r="AD17" s="49"/>
      <c r="AE17" s="49"/>
      <c r="AF17" s="49"/>
      <c r="AG17" s="50">
        <f t="shared" si="2"/>
        <v>18</v>
      </c>
      <c r="AH17" s="50">
        <v>1</v>
      </c>
      <c r="AI17" s="50">
        <v>1</v>
      </c>
      <c r="AJ17" s="50">
        <v>5</v>
      </c>
      <c r="AK17" s="50">
        <v>7</v>
      </c>
      <c r="AL17" s="50"/>
      <c r="AM17" s="50">
        <v>1</v>
      </c>
      <c r="AN17" s="50">
        <v>1</v>
      </c>
      <c r="AO17" s="66">
        <v>2</v>
      </c>
      <c r="AP17" s="49" t="s">
        <v>3325</v>
      </c>
      <c r="AQ17" s="49" t="s">
        <v>3326</v>
      </c>
      <c r="AR17" s="50">
        <f t="shared" si="3"/>
        <v>13</v>
      </c>
      <c r="AS17" s="50">
        <v>1</v>
      </c>
      <c r="AT17" s="50">
        <v>1</v>
      </c>
      <c r="AU17" s="50">
        <v>7</v>
      </c>
      <c r="AV17" s="50">
        <v>3</v>
      </c>
      <c r="AW17" s="50">
        <v>1</v>
      </c>
      <c r="AX17" s="50"/>
      <c r="AY17" s="49"/>
      <c r="AZ17" s="49"/>
      <c r="BA17" s="49"/>
      <c r="BB17" s="49"/>
      <c r="BC17" s="50">
        <f t="shared" si="4"/>
        <v>5</v>
      </c>
      <c r="BD17" s="50">
        <v>2</v>
      </c>
      <c r="BE17" s="49">
        <v>2</v>
      </c>
      <c r="BF17" s="49">
        <v>1</v>
      </c>
      <c r="BG17" s="53"/>
      <c r="BH17" s="53">
        <f t="shared" si="5"/>
        <v>64</v>
      </c>
      <c r="BI17" s="54"/>
      <c r="BJ17" s="54"/>
    </row>
    <row r="18" s="28" customFormat="1" customHeight="1" spans="1:62">
      <c r="A18" s="44">
        <f>'5'!A18+1</f>
        <v>46118</v>
      </c>
      <c r="B18" s="45" t="s">
        <v>3334</v>
      </c>
      <c r="C18" s="45" t="s">
        <v>3289</v>
      </c>
      <c r="D18" s="46" t="s">
        <v>22</v>
      </c>
      <c r="E18" s="47">
        <f>SUMIFS(卸车数据!$J$6:$J$1048576,卸车数据!$R$6:$R$1048576,"&gt;="&amp;A18+TIME(15,0,0),卸车数据!$R$6:$R$1048576,"&lt;"&amp;A18+TIME(16,0,0))</f>
        <v>0</v>
      </c>
      <c r="F18" s="49">
        <v>3773</v>
      </c>
      <c r="G18" s="65">
        <v>7371</v>
      </c>
      <c r="H18" s="49">
        <v>1</v>
      </c>
      <c r="I18" s="49" t="s">
        <v>3335</v>
      </c>
      <c r="J18" s="49" t="s">
        <v>3336</v>
      </c>
      <c r="K18" s="50">
        <f t="shared" si="0"/>
        <v>12</v>
      </c>
      <c r="L18" s="50">
        <v>1</v>
      </c>
      <c r="M18" s="49">
        <v>5</v>
      </c>
      <c r="N18" s="49">
        <v>2</v>
      </c>
      <c r="O18" s="49"/>
      <c r="P18" s="49">
        <v>2</v>
      </c>
      <c r="Q18" s="49"/>
      <c r="R18" s="49">
        <v>2</v>
      </c>
      <c r="S18" s="49"/>
      <c r="T18" s="49"/>
      <c r="U18" s="49" t="s">
        <v>3337</v>
      </c>
      <c r="V18" s="49"/>
      <c r="W18" s="50">
        <f t="shared" si="1"/>
        <v>16</v>
      </c>
      <c r="X18" s="50">
        <v>1</v>
      </c>
      <c r="Y18" s="49">
        <v>9</v>
      </c>
      <c r="Z18" s="49">
        <v>4</v>
      </c>
      <c r="AA18" s="49"/>
      <c r="AB18" s="49"/>
      <c r="AC18" s="58">
        <v>2</v>
      </c>
      <c r="AD18" s="49"/>
      <c r="AE18" s="49" t="s">
        <v>3338</v>
      </c>
      <c r="AF18" s="49"/>
      <c r="AG18" s="50">
        <f t="shared" si="2"/>
        <v>18</v>
      </c>
      <c r="AH18" s="50">
        <v>1</v>
      </c>
      <c r="AI18" s="50">
        <v>1</v>
      </c>
      <c r="AJ18" s="50">
        <v>5</v>
      </c>
      <c r="AK18" s="50">
        <v>7</v>
      </c>
      <c r="AL18" s="50"/>
      <c r="AM18" s="50">
        <v>1</v>
      </c>
      <c r="AN18" s="50">
        <v>1</v>
      </c>
      <c r="AO18" s="66">
        <v>2</v>
      </c>
      <c r="AP18" s="49" t="s">
        <v>3325</v>
      </c>
      <c r="AQ18" s="49" t="s">
        <v>3326</v>
      </c>
      <c r="AR18" s="50">
        <f t="shared" si="3"/>
        <v>13</v>
      </c>
      <c r="AS18" s="50">
        <v>1</v>
      </c>
      <c r="AT18" s="50">
        <v>1</v>
      </c>
      <c r="AU18" s="50">
        <v>7</v>
      </c>
      <c r="AV18" s="50">
        <v>3</v>
      </c>
      <c r="AW18" s="50">
        <v>1</v>
      </c>
      <c r="AX18" s="50"/>
      <c r="AY18" s="49"/>
      <c r="AZ18" s="49"/>
      <c r="BA18" s="49"/>
      <c r="BB18" s="49"/>
      <c r="BC18" s="50">
        <f t="shared" si="4"/>
        <v>5</v>
      </c>
      <c r="BD18" s="50">
        <v>2</v>
      </c>
      <c r="BE18" s="49">
        <v>2</v>
      </c>
      <c r="BF18" s="49">
        <v>1</v>
      </c>
      <c r="BG18" s="53"/>
      <c r="BH18" s="53">
        <f t="shared" si="5"/>
        <v>64</v>
      </c>
      <c r="BI18" s="54"/>
      <c r="BJ18" s="54"/>
    </row>
    <row r="19" s="28" customFormat="1" customHeight="1" spans="1:62">
      <c r="A19" s="44">
        <f>'5'!A19+1</f>
        <v>46118</v>
      </c>
      <c r="B19" s="45" t="s">
        <v>3339</v>
      </c>
      <c r="C19" s="45" t="s">
        <v>3289</v>
      </c>
      <c r="D19" s="46" t="s">
        <v>22</v>
      </c>
      <c r="E19" s="47">
        <f>SUMIFS(卸车数据!$J$6:$J$1048576,卸车数据!$R$6:$R$1048576,"&gt;="&amp;A19+TIME(16,0,0),卸车数据!$R$6:$R$1048576,"&lt;"&amp;A19+TIME(17,0,0))</f>
        <v>6967</v>
      </c>
      <c r="F19" s="49">
        <v>2631</v>
      </c>
      <c r="G19" s="65">
        <v>14176</v>
      </c>
      <c r="H19" s="49">
        <v>1</v>
      </c>
      <c r="I19" s="49" t="s">
        <v>3335</v>
      </c>
      <c r="J19" s="49" t="s">
        <v>3336</v>
      </c>
      <c r="K19" s="50">
        <f t="shared" si="0"/>
        <v>12</v>
      </c>
      <c r="L19" s="50">
        <v>1</v>
      </c>
      <c r="M19" s="49">
        <v>5</v>
      </c>
      <c r="N19" s="49">
        <v>2</v>
      </c>
      <c r="O19" s="49"/>
      <c r="P19" s="49">
        <v>2</v>
      </c>
      <c r="Q19" s="49"/>
      <c r="R19" s="49">
        <v>2</v>
      </c>
      <c r="S19" s="49"/>
      <c r="T19" s="49"/>
      <c r="U19" s="49" t="s">
        <v>3340</v>
      </c>
      <c r="V19" s="49"/>
      <c r="W19" s="50">
        <f t="shared" si="1"/>
        <v>16</v>
      </c>
      <c r="X19" s="50">
        <v>1</v>
      </c>
      <c r="Y19" s="49">
        <v>9</v>
      </c>
      <c r="Z19" s="49">
        <v>4</v>
      </c>
      <c r="AA19" s="49"/>
      <c r="AB19" s="49"/>
      <c r="AC19" s="58">
        <v>2</v>
      </c>
      <c r="AD19" s="49"/>
      <c r="AE19" s="49" t="s">
        <v>3341</v>
      </c>
      <c r="AF19" s="49"/>
      <c r="AG19" s="50">
        <f t="shared" si="2"/>
        <v>18</v>
      </c>
      <c r="AH19" s="50">
        <v>1</v>
      </c>
      <c r="AI19" s="50">
        <v>1</v>
      </c>
      <c r="AJ19" s="50">
        <v>5</v>
      </c>
      <c r="AK19" s="50">
        <v>7</v>
      </c>
      <c r="AL19" s="50"/>
      <c r="AM19" s="50">
        <v>1</v>
      </c>
      <c r="AN19" s="50">
        <v>1</v>
      </c>
      <c r="AO19" s="66">
        <v>2</v>
      </c>
      <c r="AP19" s="49" t="s">
        <v>3342</v>
      </c>
      <c r="AQ19" s="49" t="s">
        <v>3343</v>
      </c>
      <c r="AR19" s="50">
        <f t="shared" si="3"/>
        <v>13</v>
      </c>
      <c r="AS19" s="50">
        <v>1</v>
      </c>
      <c r="AT19" s="50">
        <v>1</v>
      </c>
      <c r="AU19" s="50">
        <v>7</v>
      </c>
      <c r="AV19" s="50">
        <v>3</v>
      </c>
      <c r="AW19" s="50">
        <v>1</v>
      </c>
      <c r="AX19" s="50"/>
      <c r="AY19" s="49"/>
      <c r="AZ19" s="49"/>
      <c r="BA19" s="49"/>
      <c r="BB19" s="49"/>
      <c r="BC19" s="50">
        <f t="shared" si="4"/>
        <v>5</v>
      </c>
      <c r="BD19" s="50">
        <v>2</v>
      </c>
      <c r="BE19" s="49">
        <v>2</v>
      </c>
      <c r="BF19" s="49">
        <v>1</v>
      </c>
      <c r="BG19" s="53"/>
      <c r="BH19" s="53">
        <f t="shared" si="5"/>
        <v>64</v>
      </c>
      <c r="BI19" s="54"/>
      <c r="BJ19" s="54"/>
    </row>
    <row r="20" s="28" customFormat="1" customHeight="1" spans="1:62">
      <c r="A20" s="44">
        <f>'5'!A20+1</f>
        <v>46118</v>
      </c>
      <c r="B20" s="45" t="s">
        <v>3344</v>
      </c>
      <c r="C20" s="45" t="s">
        <v>3289</v>
      </c>
      <c r="D20" s="70" t="s">
        <v>3319</v>
      </c>
      <c r="E20" s="47">
        <f>SUMIFS(卸车数据!$J$6:$J$1048576,卸车数据!$R$6:$R$1048576,"&gt;="&amp;A20+TIME(17,0,0),卸车数据!$R$6:$R$1048576,"&lt;"&amp;A20+TIME(18,0,0))</f>
        <v>12361</v>
      </c>
      <c r="F20" s="49">
        <v>3387</v>
      </c>
      <c r="G20" s="65">
        <v>25</v>
      </c>
      <c r="H20" s="49">
        <v>1</v>
      </c>
      <c r="I20" s="49" t="s">
        <v>3335</v>
      </c>
      <c r="J20" s="49" t="s">
        <v>3336</v>
      </c>
      <c r="K20" s="50">
        <f t="shared" si="0"/>
        <v>12</v>
      </c>
      <c r="L20" s="50">
        <v>1</v>
      </c>
      <c r="M20" s="49">
        <v>5</v>
      </c>
      <c r="N20" s="49">
        <v>2</v>
      </c>
      <c r="O20" s="49"/>
      <c r="P20" s="49">
        <v>2</v>
      </c>
      <c r="Q20" s="49"/>
      <c r="R20" s="49">
        <v>2</v>
      </c>
      <c r="S20" s="49"/>
      <c r="T20" s="49"/>
      <c r="U20" s="49" t="s">
        <v>3345</v>
      </c>
      <c r="V20" s="49"/>
      <c r="W20" s="50">
        <f t="shared" si="1"/>
        <v>16</v>
      </c>
      <c r="X20" s="50">
        <v>1</v>
      </c>
      <c r="Y20" s="49">
        <v>9</v>
      </c>
      <c r="Z20" s="49">
        <v>4</v>
      </c>
      <c r="AA20" s="49"/>
      <c r="AB20" s="49"/>
      <c r="AC20" s="58">
        <v>2</v>
      </c>
      <c r="AD20" s="49"/>
      <c r="AE20" s="49" t="s">
        <v>3346</v>
      </c>
      <c r="AF20" s="49"/>
      <c r="AG20" s="50">
        <f t="shared" si="2"/>
        <v>18</v>
      </c>
      <c r="AH20" s="50">
        <v>1</v>
      </c>
      <c r="AI20" s="50">
        <v>1</v>
      </c>
      <c r="AJ20" s="50">
        <v>5</v>
      </c>
      <c r="AK20" s="50">
        <v>7</v>
      </c>
      <c r="AL20" s="50"/>
      <c r="AM20" s="50">
        <v>1</v>
      </c>
      <c r="AN20" s="50">
        <v>1</v>
      </c>
      <c r="AO20" s="66">
        <v>2</v>
      </c>
      <c r="AP20" s="49" t="s">
        <v>3342</v>
      </c>
      <c r="AQ20" s="49" t="s">
        <v>3343</v>
      </c>
      <c r="AR20" s="50">
        <f t="shared" si="3"/>
        <v>13</v>
      </c>
      <c r="AS20" s="50">
        <v>1</v>
      </c>
      <c r="AT20" s="50">
        <v>1</v>
      </c>
      <c r="AU20" s="50">
        <v>7</v>
      </c>
      <c r="AV20" s="50">
        <v>3</v>
      </c>
      <c r="AW20" s="50">
        <v>1</v>
      </c>
      <c r="AX20" s="50"/>
      <c r="AY20" s="49"/>
      <c r="AZ20" s="49"/>
      <c r="BA20" s="49"/>
      <c r="BB20" s="49"/>
      <c r="BC20" s="50">
        <f t="shared" si="4"/>
        <v>5</v>
      </c>
      <c r="BD20" s="50">
        <v>2</v>
      </c>
      <c r="BE20" s="49">
        <v>2</v>
      </c>
      <c r="BF20" s="49">
        <v>1</v>
      </c>
      <c r="BG20" s="53"/>
      <c r="BH20" s="53">
        <f t="shared" si="5"/>
        <v>64</v>
      </c>
      <c r="BI20" s="54"/>
      <c r="BJ20" s="54"/>
    </row>
    <row r="21" s="29" customFormat="1" customHeight="1" spans="1:62">
      <c r="A21" s="44">
        <f>'5'!A21+1</f>
        <v>46118</v>
      </c>
      <c r="B21" s="55" t="s">
        <v>3347</v>
      </c>
      <c r="C21" s="55" t="s">
        <v>3265</v>
      </c>
      <c r="D21" s="70" t="s">
        <v>3319</v>
      </c>
      <c r="E21" s="47">
        <f>SUMIFS(卸车数据!$J$6:$J$1048576,卸车数据!$R$6:$R$1048576,"&gt;="&amp;A21+TIME(18,0,0),卸车数据!$R$6:$R$1048576,"&lt;"&amp;A21+TIME(19,0,0))</f>
        <v>8438</v>
      </c>
      <c r="F21" s="71">
        <v>2478</v>
      </c>
      <c r="G21" s="67">
        <v>1502</v>
      </c>
      <c r="H21" s="49">
        <v>1</v>
      </c>
      <c r="I21" s="51" t="s">
        <v>3348</v>
      </c>
      <c r="J21" s="51"/>
      <c r="K21" s="58">
        <f t="shared" si="0"/>
        <v>25</v>
      </c>
      <c r="L21" s="58">
        <v>1</v>
      </c>
      <c r="M21" s="51">
        <v>8</v>
      </c>
      <c r="N21" s="51">
        <v>3</v>
      </c>
      <c r="O21" s="51"/>
      <c r="P21" s="51">
        <v>6</v>
      </c>
      <c r="Q21" s="51">
        <v>5</v>
      </c>
      <c r="R21" s="51"/>
      <c r="S21" s="51"/>
      <c r="T21" s="66">
        <v>2</v>
      </c>
      <c r="U21" s="51" t="s">
        <v>3349</v>
      </c>
      <c r="V21" s="51"/>
      <c r="W21" s="58">
        <f t="shared" si="1"/>
        <v>18</v>
      </c>
      <c r="X21" s="58">
        <v>1</v>
      </c>
      <c r="Y21" s="51">
        <v>9</v>
      </c>
      <c r="Z21" s="51">
        <v>5</v>
      </c>
      <c r="AA21" s="51">
        <v>1</v>
      </c>
      <c r="AB21" s="51"/>
      <c r="AC21" s="51">
        <v>2</v>
      </c>
      <c r="AD21" s="51"/>
      <c r="AE21" s="51"/>
      <c r="AF21" s="51"/>
      <c r="AG21" s="58">
        <f t="shared" si="2"/>
        <v>33</v>
      </c>
      <c r="AH21" s="58">
        <v>1</v>
      </c>
      <c r="AI21" s="58">
        <v>8</v>
      </c>
      <c r="AJ21" s="51">
        <v>5</v>
      </c>
      <c r="AK21" s="51">
        <v>10</v>
      </c>
      <c r="AL21" s="51"/>
      <c r="AM21" s="51">
        <v>1</v>
      </c>
      <c r="AN21" s="51">
        <v>1</v>
      </c>
      <c r="AO21" s="66">
        <v>7</v>
      </c>
      <c r="AP21" s="51"/>
      <c r="AQ21" s="51" t="s">
        <v>3350</v>
      </c>
      <c r="AR21" s="58">
        <f t="shared" si="3"/>
        <v>15</v>
      </c>
      <c r="AS21" s="58">
        <v>1</v>
      </c>
      <c r="AT21" s="58"/>
      <c r="AU21" s="51">
        <v>8</v>
      </c>
      <c r="AV21" s="51">
        <v>5</v>
      </c>
      <c r="AW21" s="58"/>
      <c r="AX21" s="58">
        <v>1</v>
      </c>
      <c r="AY21" s="51"/>
      <c r="AZ21" s="51"/>
      <c r="BA21" s="52">
        <v>4</v>
      </c>
      <c r="BB21" s="51"/>
      <c r="BC21" s="50">
        <f t="shared" si="4"/>
        <v>4</v>
      </c>
      <c r="BD21" s="58">
        <v>3</v>
      </c>
      <c r="BE21" s="51"/>
      <c r="BF21" s="49">
        <v>1</v>
      </c>
      <c r="BG21" s="69"/>
      <c r="BH21" s="53">
        <f t="shared" si="5"/>
        <v>99</v>
      </c>
      <c r="BI21" s="61" t="s">
        <v>3265</v>
      </c>
      <c r="BJ21" s="61">
        <v>99</v>
      </c>
    </row>
    <row r="22" s="28" customFormat="1" customHeight="1" spans="1:62">
      <c r="A22" s="44">
        <f>'5'!A22+1</f>
        <v>46118</v>
      </c>
      <c r="B22" s="45" t="s">
        <v>3351</v>
      </c>
      <c r="C22" s="45" t="s">
        <v>3265</v>
      </c>
      <c r="D22" s="70" t="s">
        <v>3319</v>
      </c>
      <c r="E22" s="47">
        <f>SUMIFS(卸车数据!$J$6:$J$1048576,卸车数据!$R$6:$R$1048576,"&gt;="&amp;A22+TIME(19,0,0),卸车数据!$R$6:$R$1048576,"&lt;"&amp;A22+TIME(20,0,0))</f>
        <v>28209</v>
      </c>
      <c r="F22" s="71">
        <v>4544</v>
      </c>
      <c r="G22" s="65">
        <v>13682</v>
      </c>
      <c r="H22" s="49">
        <v>1</v>
      </c>
      <c r="I22" s="49"/>
      <c r="J22" s="49"/>
      <c r="K22" s="50">
        <f t="shared" si="0"/>
        <v>24</v>
      </c>
      <c r="L22" s="50">
        <v>1</v>
      </c>
      <c r="M22" s="51">
        <v>8</v>
      </c>
      <c r="N22" s="51">
        <v>3</v>
      </c>
      <c r="O22" s="51">
        <v>1</v>
      </c>
      <c r="P22" s="49">
        <v>6</v>
      </c>
      <c r="Q22" s="49">
        <v>5</v>
      </c>
      <c r="R22" s="49"/>
      <c r="S22" s="49"/>
      <c r="T22" s="49"/>
      <c r="U22" s="49"/>
      <c r="V22" s="49"/>
      <c r="W22" s="50">
        <f t="shared" si="1"/>
        <v>25</v>
      </c>
      <c r="X22" s="50">
        <v>1</v>
      </c>
      <c r="Y22" s="49">
        <v>12</v>
      </c>
      <c r="Z22" s="49">
        <v>9</v>
      </c>
      <c r="AA22" s="49">
        <v>1</v>
      </c>
      <c r="AB22" s="49"/>
      <c r="AC22" s="49">
        <v>2</v>
      </c>
      <c r="AD22" s="49"/>
      <c r="AE22" s="49"/>
      <c r="AF22" s="49"/>
      <c r="AG22" s="50">
        <f t="shared" si="2"/>
        <v>25</v>
      </c>
      <c r="AH22" s="50">
        <v>1</v>
      </c>
      <c r="AI22" s="58">
        <v>8</v>
      </c>
      <c r="AJ22" s="49">
        <v>5</v>
      </c>
      <c r="AK22" s="49">
        <v>9</v>
      </c>
      <c r="AL22" s="49"/>
      <c r="AM22" s="49">
        <v>1</v>
      </c>
      <c r="AN22" s="49">
        <v>1</v>
      </c>
      <c r="AO22" s="49"/>
      <c r="AP22" s="49"/>
      <c r="AQ22" s="49"/>
      <c r="AR22" s="50">
        <f t="shared" si="3"/>
        <v>17</v>
      </c>
      <c r="AS22" s="50">
        <v>1</v>
      </c>
      <c r="AT22" s="50">
        <v>2</v>
      </c>
      <c r="AU22" s="49">
        <v>8</v>
      </c>
      <c r="AV22" s="49">
        <v>5</v>
      </c>
      <c r="AW22" s="50"/>
      <c r="AX22" s="50">
        <v>1</v>
      </c>
      <c r="AY22" s="49"/>
      <c r="AZ22" s="49"/>
      <c r="BA22" s="52">
        <v>4</v>
      </c>
      <c r="BB22" s="49"/>
      <c r="BC22" s="50">
        <f t="shared" si="4"/>
        <v>4</v>
      </c>
      <c r="BD22" s="58">
        <v>3</v>
      </c>
      <c r="BE22" s="49"/>
      <c r="BF22" s="49">
        <v>1</v>
      </c>
      <c r="BG22" s="53"/>
      <c r="BH22" s="53">
        <f t="shared" si="5"/>
        <v>99</v>
      </c>
      <c r="BI22" s="54"/>
      <c r="BJ22" s="54"/>
    </row>
    <row r="23" s="26" customFormat="1" customHeight="1" spans="1:62">
      <c r="A23" s="44">
        <f>'5'!A23+1</f>
        <v>46118</v>
      </c>
      <c r="B23" s="45" t="s">
        <v>3352</v>
      </c>
      <c r="C23" s="45" t="s">
        <v>3265</v>
      </c>
      <c r="D23" s="70" t="s">
        <v>3319</v>
      </c>
      <c r="E23" s="47">
        <f>SUMIFS(卸车数据!$J$6:$J$1048576,卸车数据!$R$6:$R$1048576,"&gt;="&amp;A23+TIME(20,0,0),卸车数据!$R$6:$R$1048576,"&lt;"&amp;A23+TIME(21,0,0))</f>
        <v>17420</v>
      </c>
      <c r="F23" s="71">
        <v>6471</v>
      </c>
      <c r="G23" s="48">
        <v>13545</v>
      </c>
      <c r="H23" s="49">
        <v>1</v>
      </c>
      <c r="I23" s="64" t="s">
        <v>3353</v>
      </c>
      <c r="J23" s="49"/>
      <c r="K23" s="50">
        <f t="shared" si="0"/>
        <v>24</v>
      </c>
      <c r="L23" s="50">
        <v>1</v>
      </c>
      <c r="M23" s="51">
        <v>8</v>
      </c>
      <c r="N23" s="51">
        <v>3</v>
      </c>
      <c r="O23" s="51">
        <v>1</v>
      </c>
      <c r="P23" s="49">
        <v>6</v>
      </c>
      <c r="Q23" s="49">
        <v>5</v>
      </c>
      <c r="R23" s="49"/>
      <c r="S23" s="49"/>
      <c r="T23" s="49"/>
      <c r="U23" s="49"/>
      <c r="V23" s="49"/>
      <c r="W23" s="50">
        <f t="shared" si="1"/>
        <v>25</v>
      </c>
      <c r="X23" s="50">
        <v>1</v>
      </c>
      <c r="Y23" s="49">
        <v>12</v>
      </c>
      <c r="Z23" s="49">
        <v>9</v>
      </c>
      <c r="AA23" s="49">
        <v>1</v>
      </c>
      <c r="AB23" s="49"/>
      <c r="AC23" s="49">
        <v>2</v>
      </c>
      <c r="AD23" s="49"/>
      <c r="AE23" s="49"/>
      <c r="AF23" s="49"/>
      <c r="AG23" s="50">
        <f t="shared" si="2"/>
        <v>25</v>
      </c>
      <c r="AH23" s="50">
        <v>1</v>
      </c>
      <c r="AI23" s="58">
        <v>8</v>
      </c>
      <c r="AJ23" s="49">
        <v>5</v>
      </c>
      <c r="AK23" s="49">
        <v>9</v>
      </c>
      <c r="AL23" s="49"/>
      <c r="AM23" s="49">
        <v>1</v>
      </c>
      <c r="AN23" s="49">
        <v>1</v>
      </c>
      <c r="AO23" s="49"/>
      <c r="AP23" s="49"/>
      <c r="AQ23" s="49"/>
      <c r="AR23" s="50">
        <f t="shared" si="3"/>
        <v>17</v>
      </c>
      <c r="AS23" s="50">
        <v>1</v>
      </c>
      <c r="AT23" s="50">
        <v>2</v>
      </c>
      <c r="AU23" s="49">
        <v>8</v>
      </c>
      <c r="AV23" s="49">
        <v>5</v>
      </c>
      <c r="AW23" s="50"/>
      <c r="AX23" s="50">
        <v>1</v>
      </c>
      <c r="AY23" s="49"/>
      <c r="AZ23" s="49"/>
      <c r="BA23" s="52">
        <v>4</v>
      </c>
      <c r="BB23" s="49"/>
      <c r="BC23" s="50">
        <f t="shared" si="4"/>
        <v>4</v>
      </c>
      <c r="BD23" s="58">
        <v>3</v>
      </c>
      <c r="BE23" s="49"/>
      <c r="BF23" s="49">
        <v>1</v>
      </c>
      <c r="BG23" s="53"/>
      <c r="BH23" s="53">
        <f t="shared" si="5"/>
        <v>99</v>
      </c>
      <c r="BI23" s="54"/>
      <c r="BJ23" s="54"/>
    </row>
    <row r="24" s="26" customFormat="1" customHeight="1" spans="1:62">
      <c r="A24" s="44">
        <f>'5'!A24+1</f>
        <v>46118</v>
      </c>
      <c r="B24" s="45" t="s">
        <v>3354</v>
      </c>
      <c r="C24" s="45" t="s">
        <v>3265</v>
      </c>
      <c r="D24" s="70" t="s">
        <v>3319</v>
      </c>
      <c r="E24" s="47">
        <f>SUMIFS(卸车数据!$J$6:$J$1048576,卸车数据!$R$6:$R$1048576,"&gt;="&amp;A24+TIME(21,0,0),卸车数据!$R$6:$R$1048576,"&lt;"&amp;A24+TIME(22,0,0))</f>
        <v>1</v>
      </c>
      <c r="F24" s="71">
        <v>3859</v>
      </c>
      <c r="G24" s="48">
        <v>13677</v>
      </c>
      <c r="H24" s="49">
        <v>1</v>
      </c>
      <c r="I24" s="49"/>
      <c r="J24" s="49"/>
      <c r="K24" s="50">
        <f t="shared" si="0"/>
        <v>24</v>
      </c>
      <c r="L24" s="50">
        <v>1</v>
      </c>
      <c r="M24" s="51">
        <v>8</v>
      </c>
      <c r="N24" s="51">
        <v>3</v>
      </c>
      <c r="O24" s="51">
        <v>1</v>
      </c>
      <c r="P24" s="49">
        <v>6</v>
      </c>
      <c r="Q24" s="49">
        <v>5</v>
      </c>
      <c r="R24" s="49"/>
      <c r="S24" s="49"/>
      <c r="T24" s="49"/>
      <c r="U24" s="49"/>
      <c r="V24" s="49"/>
      <c r="W24" s="50">
        <f t="shared" si="1"/>
        <v>25</v>
      </c>
      <c r="X24" s="50">
        <v>1</v>
      </c>
      <c r="Y24" s="49">
        <v>12</v>
      </c>
      <c r="Z24" s="49">
        <v>9</v>
      </c>
      <c r="AA24" s="49">
        <v>1</v>
      </c>
      <c r="AB24" s="49"/>
      <c r="AC24" s="49">
        <v>2</v>
      </c>
      <c r="AD24" s="49"/>
      <c r="AE24" s="49"/>
      <c r="AF24" s="49"/>
      <c r="AG24" s="50">
        <f t="shared" si="2"/>
        <v>25</v>
      </c>
      <c r="AH24" s="50">
        <v>1</v>
      </c>
      <c r="AI24" s="58">
        <v>8</v>
      </c>
      <c r="AJ24" s="49">
        <v>5</v>
      </c>
      <c r="AK24" s="49">
        <v>9</v>
      </c>
      <c r="AL24" s="49"/>
      <c r="AM24" s="49">
        <v>1</v>
      </c>
      <c r="AN24" s="49">
        <v>1</v>
      </c>
      <c r="AO24" s="49"/>
      <c r="AP24" s="49"/>
      <c r="AQ24" s="49"/>
      <c r="AR24" s="50">
        <f t="shared" si="3"/>
        <v>17</v>
      </c>
      <c r="AS24" s="50">
        <v>1</v>
      </c>
      <c r="AT24" s="50">
        <v>2</v>
      </c>
      <c r="AU24" s="49">
        <v>8</v>
      </c>
      <c r="AV24" s="49">
        <v>5</v>
      </c>
      <c r="AW24" s="50"/>
      <c r="AX24" s="50">
        <v>1</v>
      </c>
      <c r="AY24" s="49"/>
      <c r="AZ24" s="49"/>
      <c r="BA24" s="52">
        <v>4</v>
      </c>
      <c r="BB24" s="50"/>
      <c r="BC24" s="50">
        <f t="shared" si="4"/>
        <v>4</v>
      </c>
      <c r="BD24" s="58">
        <v>3</v>
      </c>
      <c r="BE24" s="49"/>
      <c r="BF24" s="49">
        <v>1</v>
      </c>
      <c r="BG24" s="53"/>
      <c r="BH24" s="53">
        <f t="shared" si="5"/>
        <v>99</v>
      </c>
      <c r="BI24" s="54"/>
      <c r="BJ24" s="54"/>
    </row>
    <row r="25" s="26" customFormat="1" customHeight="1" spans="1:62">
      <c r="A25" s="44">
        <f>'5'!A25+1</f>
        <v>46118</v>
      </c>
      <c r="B25" s="45" t="s">
        <v>3355</v>
      </c>
      <c r="C25" s="45" t="s">
        <v>3265</v>
      </c>
      <c r="D25" s="70" t="s">
        <v>3319</v>
      </c>
      <c r="E25" s="47">
        <f>SUMIFS(卸车数据!$J$6:$J$1048576,卸车数据!$R$6:$R$1048576,"&gt;="&amp;A25+TIME(22,0,0),卸车数据!$R$6:$R$1048576,"&lt;"&amp;A25+TIME(23,0,0))</f>
        <v>6578</v>
      </c>
      <c r="F25" s="71">
        <v>1190</v>
      </c>
      <c r="G25" s="48">
        <v>9503</v>
      </c>
      <c r="H25" s="49">
        <v>1</v>
      </c>
      <c r="I25" s="64" t="s">
        <v>3356</v>
      </c>
      <c r="J25" s="49"/>
      <c r="K25" s="50">
        <f t="shared" si="0"/>
        <v>24</v>
      </c>
      <c r="L25" s="50">
        <v>1</v>
      </c>
      <c r="M25" s="51">
        <v>8</v>
      </c>
      <c r="N25" s="51">
        <v>3</v>
      </c>
      <c r="O25" s="51">
        <v>1</v>
      </c>
      <c r="P25" s="49">
        <v>6</v>
      </c>
      <c r="Q25" s="49">
        <v>5</v>
      </c>
      <c r="R25" s="49"/>
      <c r="S25" s="49"/>
      <c r="T25" s="49"/>
      <c r="U25" s="49"/>
      <c r="V25" s="49"/>
      <c r="W25" s="50">
        <f t="shared" si="1"/>
        <v>25</v>
      </c>
      <c r="X25" s="50">
        <v>1</v>
      </c>
      <c r="Y25" s="49">
        <v>12</v>
      </c>
      <c r="Z25" s="49">
        <v>9</v>
      </c>
      <c r="AA25" s="49">
        <v>1</v>
      </c>
      <c r="AB25" s="49"/>
      <c r="AC25" s="49">
        <v>2</v>
      </c>
      <c r="AD25" s="49"/>
      <c r="AE25" s="49"/>
      <c r="AF25" s="49"/>
      <c r="AG25" s="50">
        <f t="shared" si="2"/>
        <v>25</v>
      </c>
      <c r="AH25" s="50">
        <v>1</v>
      </c>
      <c r="AI25" s="58">
        <v>8</v>
      </c>
      <c r="AJ25" s="49">
        <v>5</v>
      </c>
      <c r="AK25" s="49">
        <v>9</v>
      </c>
      <c r="AL25" s="49"/>
      <c r="AM25" s="49">
        <v>1</v>
      </c>
      <c r="AN25" s="49">
        <v>1</v>
      </c>
      <c r="AO25" s="49"/>
      <c r="AP25" s="49"/>
      <c r="AQ25" s="49"/>
      <c r="AR25" s="50">
        <f t="shared" si="3"/>
        <v>17</v>
      </c>
      <c r="AS25" s="50">
        <v>1</v>
      </c>
      <c r="AT25" s="50">
        <v>2</v>
      </c>
      <c r="AU25" s="49">
        <v>8</v>
      </c>
      <c r="AV25" s="49">
        <v>5</v>
      </c>
      <c r="AW25" s="50"/>
      <c r="AX25" s="50">
        <v>1</v>
      </c>
      <c r="AY25" s="49"/>
      <c r="AZ25" s="49"/>
      <c r="BA25" s="52">
        <v>4</v>
      </c>
      <c r="BB25" s="50"/>
      <c r="BC25" s="50">
        <f t="shared" si="4"/>
        <v>4</v>
      </c>
      <c r="BD25" s="58">
        <v>3</v>
      </c>
      <c r="BE25" s="49"/>
      <c r="BF25" s="49">
        <v>1</v>
      </c>
      <c r="BG25" s="53"/>
      <c r="BH25" s="53">
        <f t="shared" si="5"/>
        <v>99</v>
      </c>
      <c r="BI25" s="54"/>
      <c r="BJ25" s="54"/>
    </row>
    <row r="26" s="27" customFormat="1" customHeight="1" spans="1:62">
      <c r="A26" s="44">
        <f>'5'!A26+1</f>
        <v>46118</v>
      </c>
      <c r="B26" s="55" t="s">
        <v>3357</v>
      </c>
      <c r="C26" s="55" t="s">
        <v>3265</v>
      </c>
      <c r="D26" s="72" t="s">
        <v>3311</v>
      </c>
      <c r="E26" s="47">
        <f>SUMIFS(卸车数据!$J$6:$J$1048576,卸车数据!$R$6:$R$1048576,"&gt;="&amp;A26+TIME(23,0,0),卸车数据!$R$6:$R$1048576,"&lt;"&amp;A26+TIME(0,0,0))</f>
        <v>0</v>
      </c>
      <c r="F26" s="73">
        <v>4306</v>
      </c>
      <c r="G26" s="57">
        <v>10328</v>
      </c>
      <c r="H26" s="51">
        <v>1</v>
      </c>
      <c r="I26" s="51" t="s">
        <v>3358</v>
      </c>
      <c r="J26" s="51"/>
      <c r="K26" s="58">
        <f t="shared" si="0"/>
        <v>24</v>
      </c>
      <c r="L26" s="58">
        <v>1</v>
      </c>
      <c r="M26" s="51">
        <v>10</v>
      </c>
      <c r="N26" s="51">
        <v>3</v>
      </c>
      <c r="O26" s="51"/>
      <c r="P26" s="51">
        <v>3</v>
      </c>
      <c r="Q26" s="51">
        <v>5</v>
      </c>
      <c r="R26" s="51">
        <v>2</v>
      </c>
      <c r="S26" s="51"/>
      <c r="T26" s="51"/>
      <c r="U26" s="51" t="s">
        <v>3359</v>
      </c>
      <c r="V26" s="51"/>
      <c r="W26" s="58">
        <f t="shared" si="1"/>
        <v>25</v>
      </c>
      <c r="X26" s="58">
        <v>1</v>
      </c>
      <c r="Y26" s="51">
        <v>12</v>
      </c>
      <c r="Z26" s="51">
        <v>9</v>
      </c>
      <c r="AA26" s="51">
        <v>1</v>
      </c>
      <c r="AB26" s="51"/>
      <c r="AC26" s="51">
        <v>2</v>
      </c>
      <c r="AD26" s="51"/>
      <c r="AE26" s="51" t="s">
        <v>3360</v>
      </c>
      <c r="AF26" s="51"/>
      <c r="AG26" s="58">
        <f t="shared" si="2"/>
        <v>25</v>
      </c>
      <c r="AH26" s="58">
        <v>1</v>
      </c>
      <c r="AI26" s="58">
        <v>8</v>
      </c>
      <c r="AJ26" s="58">
        <v>5</v>
      </c>
      <c r="AK26" s="51">
        <v>9</v>
      </c>
      <c r="AL26" s="51"/>
      <c r="AM26" s="51">
        <v>1</v>
      </c>
      <c r="AN26" s="51">
        <v>1</v>
      </c>
      <c r="AO26" s="51"/>
      <c r="AP26" s="51"/>
      <c r="AQ26" s="51"/>
      <c r="AR26" s="58">
        <f t="shared" si="3"/>
        <v>17</v>
      </c>
      <c r="AS26" s="58">
        <v>1</v>
      </c>
      <c r="AT26" s="50">
        <v>2</v>
      </c>
      <c r="AU26" s="51">
        <v>7</v>
      </c>
      <c r="AV26" s="51">
        <v>5</v>
      </c>
      <c r="AW26" s="58"/>
      <c r="AX26" s="58">
        <v>1</v>
      </c>
      <c r="AY26" s="51">
        <v>1</v>
      </c>
      <c r="AZ26" s="51"/>
      <c r="BA26" s="52">
        <v>4</v>
      </c>
      <c r="BB26" s="58"/>
      <c r="BC26" s="50">
        <f t="shared" si="4"/>
        <v>4</v>
      </c>
      <c r="BD26" s="58">
        <v>3</v>
      </c>
      <c r="BE26" s="51"/>
      <c r="BF26" s="49">
        <v>1</v>
      </c>
      <c r="BG26" s="69"/>
      <c r="BH26" s="53">
        <f t="shared" si="5"/>
        <v>99</v>
      </c>
      <c r="BI26" s="61">
        <v>8</v>
      </c>
      <c r="BJ26" s="61" t="s">
        <v>3361</v>
      </c>
    </row>
    <row r="27" s="30" customFormat="1" customHeight="1" spans="1:62">
      <c r="B27" s="74" t="s">
        <v>3362</v>
      </c>
      <c r="C27" s="74"/>
      <c r="D27" s="74"/>
      <c r="E27" s="74"/>
      <c r="F27" s="75"/>
      <c r="G27" s="75"/>
      <c r="H27" s="74"/>
      <c r="P27" s="76"/>
      <c r="Q27" s="76"/>
      <c r="V27" s="77"/>
      <c r="W27" s="77"/>
      <c r="BH27" s="31"/>
    </row>
    <row r="28" s="30" customFormat="1" customHeight="1" spans="1:62">
      <c r="B28" s="78" t="s">
        <v>3363</v>
      </c>
      <c r="C28" s="79"/>
      <c r="D28" s="79"/>
      <c r="E28" s="79"/>
      <c r="F28" s="79"/>
      <c r="G28" s="79"/>
      <c r="H28" s="80"/>
      <c r="I28" s="80"/>
      <c r="J28" s="80"/>
      <c r="K28" s="80"/>
      <c r="L28" s="80"/>
      <c r="M28" s="79"/>
      <c r="N28" s="81" t="s">
        <v>3364</v>
      </c>
      <c r="O28" s="81"/>
      <c r="Q28" s="79" t="s">
        <v>3365</v>
      </c>
      <c r="R28" s="79"/>
      <c r="BC28" s="31"/>
    </row>
    <row r="29" s="30" customFormat="1" customHeight="1" spans="1:62">
      <c r="B29" s="31" t="s">
        <v>3366</v>
      </c>
      <c r="C29" s="31"/>
      <c r="D29" s="82" t="s">
        <v>3367</v>
      </c>
      <c r="E29" s="83"/>
      <c r="F29" s="83"/>
      <c r="G29" s="83"/>
      <c r="H29" s="84"/>
      <c r="I29" s="85" t="s">
        <v>3368</v>
      </c>
      <c r="J29" s="86"/>
      <c r="K29" s="86"/>
      <c r="L29" s="86"/>
      <c r="M29" s="86"/>
      <c r="N29" s="86"/>
      <c r="O29" s="87"/>
      <c r="Q29" s="79"/>
      <c r="R29" s="79"/>
      <c r="BC29" s="31"/>
      <c r="BD29" s="88"/>
    </row>
    <row r="30" s="28" customFormat="1" customHeight="1" spans="1:62">
      <c r="K30" s="89"/>
      <c r="L30" s="89"/>
      <c r="Q30" s="79"/>
      <c r="R30" s="79"/>
      <c r="BC30" s="90"/>
      <c r="BD30" s="91"/>
    </row>
    <row r="31" s="31" customFormat="1" customHeight="1" spans="1:62">
      <c r="B31" s="31" t="s">
        <v>3369</v>
      </c>
      <c r="D31" s="92" t="s">
        <v>3370</v>
      </c>
      <c r="E31" s="93"/>
      <c r="F31" s="94"/>
      <c r="G31" s="94"/>
      <c r="H31" s="94"/>
      <c r="I31" s="95">
        <v>1800</v>
      </c>
      <c r="J31" s="94"/>
      <c r="K31" s="96"/>
      <c r="L31" s="97">
        <v>2330</v>
      </c>
      <c r="M31" s="94"/>
      <c r="N31" s="94"/>
      <c r="O31" s="98" t="s">
        <v>3370</v>
      </c>
      <c r="Q31" s="79"/>
      <c r="R31" s="79"/>
    </row>
  </sheetData>
  <mergeCells count="24">
    <mergeCell ref="I1:T1"/>
    <mergeCell ref="U1:AD1"/>
    <mergeCell ref="AF1:AO1"/>
    <mergeCell ref="AP1:AZ1"/>
    <mergeCell ref="BB1:BG1"/>
    <mergeCell ref="BI6:BJ6"/>
    <mergeCell ref="B27:H27"/>
    <mergeCell ref="V27:W27"/>
    <mergeCell ref="H28:L28"/>
    <mergeCell ref="N28:O28"/>
    <mergeCell ref="D29:H29"/>
    <mergeCell ref="I29:O29"/>
    <mergeCell ref="A1:A2"/>
    <mergeCell ref="B1:B2"/>
    <mergeCell ref="C1:C2"/>
    <mergeCell ref="D1:D2"/>
    <mergeCell ref="E1:E2"/>
    <mergeCell ref="F1:F2"/>
    <mergeCell ref="G1:G2"/>
    <mergeCell ref="H1:H2"/>
    <mergeCell ref="BA1:BA2"/>
    <mergeCell ref="BH1:BH2"/>
    <mergeCell ref="BI1:BJ2"/>
    <mergeCell ref="Q28:R31"/>
  </mergeCells>
  <pageMargins left="0.75" right="0.75" top="1" bottom="1" header="0.5" footer="0.5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J31"/>
  <sheetViews>
    <sheetView workbookViewId="0">
      <pane ySplit="2" topLeftCell="A19" activePane="bottomLeft" state="frozen"/>
      <selection/>
      <selection pane="bottomLeft" activeCell="Z14" sqref="Z14"/>
    </sheetView>
  </sheetViews>
  <sheetFormatPr defaultColWidth="9.55555555555556" defaultRowHeight="40.2" customHeight="1"/>
  <cols>
    <col min="1" max="1" width="9.55555555555556" style="30"/>
    <col min="2" max="2" width="22.1111111111111" style="30" customWidth="1"/>
    <col min="3" max="7" width="9.55555555555556" style="30" customWidth="1"/>
    <col min="8" max="59" width="9" style="30" customWidth="1"/>
    <col min="60" max="60" width="9" style="31" customWidth="1"/>
    <col min="61" max="61" width="11.6666666666667" style="30" customWidth="1"/>
    <col min="62" max="16384" width="9.55555555555556" style="30"/>
  </cols>
  <sheetData>
    <row r="1" s="25" customFormat="1" customHeight="1" spans="1:62">
      <c r="A1" s="32" t="s">
        <v>3222</v>
      </c>
      <c r="B1" s="32" t="s">
        <v>3223</v>
      </c>
      <c r="C1" s="33" t="s">
        <v>3224</v>
      </c>
      <c r="D1" s="33" t="s">
        <v>3225</v>
      </c>
      <c r="E1" s="33" t="s">
        <v>3226</v>
      </c>
      <c r="F1" s="32" t="s">
        <v>3227</v>
      </c>
      <c r="G1" s="32" t="s">
        <v>3228</v>
      </c>
      <c r="H1" s="32" t="s">
        <v>3229</v>
      </c>
      <c r="I1" s="34" t="s">
        <v>3230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6"/>
      <c r="U1" s="32" t="s">
        <v>3231</v>
      </c>
      <c r="V1" s="32"/>
      <c r="W1" s="32"/>
      <c r="X1" s="32"/>
      <c r="Y1" s="32"/>
      <c r="Z1" s="32"/>
      <c r="AA1" s="32"/>
      <c r="AB1" s="32"/>
      <c r="AC1" s="32"/>
      <c r="AD1" s="32"/>
      <c r="AE1" s="35"/>
      <c r="AF1" s="35" t="s">
        <v>3232</v>
      </c>
      <c r="AG1" s="35"/>
      <c r="AH1" s="35"/>
      <c r="AI1" s="35"/>
      <c r="AJ1" s="35"/>
      <c r="AK1" s="35"/>
      <c r="AL1" s="35"/>
      <c r="AM1" s="35"/>
      <c r="AN1" s="35"/>
      <c r="AO1" s="36"/>
      <c r="AP1" s="34" t="s">
        <v>3233</v>
      </c>
      <c r="AQ1" s="35"/>
      <c r="AR1" s="35"/>
      <c r="AS1" s="35"/>
      <c r="AT1" s="35"/>
      <c r="AU1" s="35"/>
      <c r="AV1" s="35"/>
      <c r="AW1" s="35"/>
      <c r="AX1" s="35"/>
      <c r="AY1" s="35"/>
      <c r="AZ1" s="36"/>
      <c r="BA1" s="32" t="s">
        <v>3234</v>
      </c>
      <c r="BB1" s="34" t="s">
        <v>3235</v>
      </c>
      <c r="BC1" s="35"/>
      <c r="BD1" s="35"/>
      <c r="BE1" s="35"/>
      <c r="BF1" s="35"/>
      <c r="BG1" s="36"/>
      <c r="BH1" s="37" t="s">
        <v>1121</v>
      </c>
      <c r="BI1" s="38" t="s">
        <v>3371</v>
      </c>
      <c r="BJ1" s="39"/>
    </row>
    <row r="2" s="25" customFormat="1" ht="63" customHeight="1" spans="1:62">
      <c r="A2" s="32"/>
      <c r="B2" s="32"/>
      <c r="C2" s="40"/>
      <c r="D2" s="40"/>
      <c r="E2" s="40"/>
      <c r="F2" s="41"/>
      <c r="G2" s="41"/>
      <c r="H2" s="32"/>
      <c r="I2" s="42" t="s">
        <v>3237</v>
      </c>
      <c r="J2" s="42" t="s">
        <v>3238</v>
      </c>
      <c r="K2" s="32" t="s">
        <v>1143</v>
      </c>
      <c r="L2" s="32" t="s">
        <v>3239</v>
      </c>
      <c r="M2" s="32" t="s">
        <v>3240</v>
      </c>
      <c r="N2" s="32" t="s">
        <v>3241</v>
      </c>
      <c r="O2" s="32" t="s">
        <v>3242</v>
      </c>
      <c r="P2" s="32" t="s">
        <v>3243</v>
      </c>
      <c r="Q2" s="32" t="s">
        <v>3244</v>
      </c>
      <c r="R2" s="32" t="s">
        <v>3245</v>
      </c>
      <c r="S2" s="32" t="s">
        <v>3246</v>
      </c>
      <c r="T2" s="43" t="s">
        <v>3247</v>
      </c>
      <c r="U2" s="42" t="s">
        <v>3237</v>
      </c>
      <c r="V2" s="42" t="s">
        <v>3238</v>
      </c>
      <c r="W2" s="32" t="s">
        <v>1143</v>
      </c>
      <c r="X2" s="32" t="s">
        <v>3239</v>
      </c>
      <c r="Y2" s="32" t="s">
        <v>3248</v>
      </c>
      <c r="Z2" s="32" t="s">
        <v>3249</v>
      </c>
      <c r="AA2" s="32" t="s">
        <v>3250</v>
      </c>
      <c r="AB2" s="32" t="s">
        <v>3251</v>
      </c>
      <c r="AC2" s="32" t="s">
        <v>3252</v>
      </c>
      <c r="AD2" s="43" t="s">
        <v>3247</v>
      </c>
      <c r="AE2" s="42" t="s">
        <v>3237</v>
      </c>
      <c r="AF2" s="42" t="s">
        <v>3238</v>
      </c>
      <c r="AG2" s="32" t="s">
        <v>1143</v>
      </c>
      <c r="AH2" s="32" t="s">
        <v>3239</v>
      </c>
      <c r="AI2" s="32" t="s">
        <v>3253</v>
      </c>
      <c r="AJ2" s="32" t="s">
        <v>3254</v>
      </c>
      <c r="AK2" s="32" t="s">
        <v>3255</v>
      </c>
      <c r="AL2" s="32" t="s">
        <v>3256</v>
      </c>
      <c r="AM2" s="32" t="s">
        <v>3257</v>
      </c>
      <c r="AN2" s="32" t="s">
        <v>3258</v>
      </c>
      <c r="AO2" s="43" t="s">
        <v>3247</v>
      </c>
      <c r="AP2" s="42" t="s">
        <v>3237</v>
      </c>
      <c r="AQ2" s="42" t="s">
        <v>3238</v>
      </c>
      <c r="AR2" s="32" t="s">
        <v>1143</v>
      </c>
      <c r="AS2" s="32" t="s">
        <v>3239</v>
      </c>
      <c r="AT2" s="32" t="s">
        <v>3253</v>
      </c>
      <c r="AU2" s="32" t="s">
        <v>3254</v>
      </c>
      <c r="AV2" s="32" t="s">
        <v>3255</v>
      </c>
      <c r="AW2" s="32" t="s">
        <v>3256</v>
      </c>
      <c r="AX2" s="32" t="s">
        <v>3257</v>
      </c>
      <c r="AY2" s="32" t="s">
        <v>3258</v>
      </c>
      <c r="AZ2" s="43" t="s">
        <v>3247</v>
      </c>
      <c r="BA2" s="32"/>
      <c r="BB2" s="32" t="s">
        <v>3259</v>
      </c>
      <c r="BC2" s="32" t="s">
        <v>1143</v>
      </c>
      <c r="BD2" s="32" t="s">
        <v>3260</v>
      </c>
      <c r="BE2" s="32" t="s">
        <v>3261</v>
      </c>
      <c r="BF2" s="32" t="s">
        <v>3262</v>
      </c>
      <c r="BG2" s="32" t="s">
        <v>3263</v>
      </c>
      <c r="BH2" s="37"/>
      <c r="BI2" s="38"/>
      <c r="BJ2" s="39"/>
    </row>
    <row r="3" s="26" customFormat="1" customHeight="1" spans="1:62">
      <c r="A3" s="44">
        <f>'6'!A3+1</f>
        <v>46119</v>
      </c>
      <c r="B3" s="45" t="s">
        <v>3264</v>
      </c>
      <c r="C3" s="45" t="s">
        <v>3265</v>
      </c>
      <c r="D3" s="46" t="s">
        <v>22</v>
      </c>
      <c r="E3" s="47">
        <f>SUMIFS(卸车数据!$J$6:$J$1048576,卸车数据!$R$6:$R$1048576,"&gt;="&amp;A3+TIME(0,0,0),卸车数据!$R$6:$R$1048576,"&lt;"&amp;A3+TIME(1,0,0))</f>
        <v>14198</v>
      </c>
      <c r="F3" s="47">
        <v>1269</v>
      </c>
      <c r="G3" s="48">
        <v>3720</v>
      </c>
      <c r="H3" s="49">
        <v>1</v>
      </c>
      <c r="I3" s="49" t="s">
        <v>3266</v>
      </c>
      <c r="J3" s="49"/>
      <c r="K3" s="50">
        <f t="shared" ref="K3:K26" si="0">SUM(L3:T3)</f>
        <v>15</v>
      </c>
      <c r="L3" s="50">
        <v>1</v>
      </c>
      <c r="M3" s="49">
        <v>4</v>
      </c>
      <c r="N3" s="49">
        <v>2</v>
      </c>
      <c r="O3" s="49">
        <v>1</v>
      </c>
      <c r="P3" s="49">
        <v>4</v>
      </c>
      <c r="Q3" s="49">
        <v>1</v>
      </c>
      <c r="R3" s="49">
        <v>2</v>
      </c>
      <c r="S3" s="49"/>
      <c r="T3" s="49"/>
      <c r="U3" s="49"/>
      <c r="V3" s="49"/>
      <c r="W3" s="50">
        <f t="shared" ref="W3:W26" si="1">SUM(X3:AD3)</f>
        <v>25</v>
      </c>
      <c r="X3" s="50">
        <v>1</v>
      </c>
      <c r="Y3" s="49">
        <v>12</v>
      </c>
      <c r="Z3" s="49">
        <v>9</v>
      </c>
      <c r="AA3" s="49">
        <v>1</v>
      </c>
      <c r="AB3" s="49"/>
      <c r="AC3" s="49">
        <v>2</v>
      </c>
      <c r="AD3" s="49"/>
      <c r="AE3" s="49" t="s">
        <v>3267</v>
      </c>
      <c r="AF3" s="49"/>
      <c r="AG3" s="50">
        <f t="shared" ref="AG3:AG26" si="2">SUM(AH3:AO3)</f>
        <v>28</v>
      </c>
      <c r="AH3" s="50">
        <v>1</v>
      </c>
      <c r="AI3" s="50">
        <v>7</v>
      </c>
      <c r="AJ3" s="50">
        <v>6</v>
      </c>
      <c r="AK3" s="49">
        <v>12</v>
      </c>
      <c r="AL3" s="49"/>
      <c r="AM3" s="49">
        <v>1</v>
      </c>
      <c r="AN3" s="49">
        <v>1</v>
      </c>
      <c r="AO3" s="49"/>
      <c r="AP3" s="49"/>
      <c r="AQ3" s="49"/>
      <c r="AR3" s="50">
        <f t="shared" ref="AR3:AR26" si="3">SUM(AS3:AZ3)</f>
        <v>20</v>
      </c>
      <c r="AS3" s="50">
        <v>1</v>
      </c>
      <c r="AT3" s="50"/>
      <c r="AU3" s="49">
        <v>11</v>
      </c>
      <c r="AV3" s="51">
        <v>6</v>
      </c>
      <c r="AW3" s="50"/>
      <c r="AX3" s="50">
        <v>1</v>
      </c>
      <c r="AY3" s="49">
        <v>1</v>
      </c>
      <c r="AZ3" s="49"/>
      <c r="BA3" s="52">
        <v>4</v>
      </c>
      <c r="BB3" s="50"/>
      <c r="BC3" s="50">
        <f t="shared" ref="BC3:BC26" si="4">BD3+BE3+BF3</f>
        <v>4</v>
      </c>
      <c r="BD3" s="50">
        <v>3</v>
      </c>
      <c r="BE3" s="49"/>
      <c r="BF3" s="49">
        <v>1</v>
      </c>
      <c r="BG3" s="53"/>
      <c r="BH3" s="53">
        <f t="shared" ref="BH3:BH26" si="5">BC3+BA3+AR3+AG3+W3+K3</f>
        <v>96</v>
      </c>
      <c r="BI3" s="54"/>
      <c r="BJ3" s="54"/>
    </row>
    <row r="4" s="26" customFormat="1" customHeight="1" spans="1:62">
      <c r="A4" s="44">
        <f>'6'!A4+1</f>
        <v>46119</v>
      </c>
      <c r="B4" s="45" t="s">
        <v>3268</v>
      </c>
      <c r="C4" s="45" t="s">
        <v>3265</v>
      </c>
      <c r="D4" s="46" t="s">
        <v>22</v>
      </c>
      <c r="E4" s="47">
        <f>SUMIFS(卸车数据!$J$6:$J$1048576,卸车数据!$R$6:$R$1048576,"&gt;="&amp;A4+TIME(1,0,0),卸车数据!$R$6:$R$1048576,"&lt;"&amp;A4+TIME(2,0,0))</f>
        <v>0</v>
      </c>
      <c r="F4" s="47">
        <v>2812</v>
      </c>
      <c r="G4" s="48">
        <v>13896</v>
      </c>
      <c r="H4" s="49">
        <v>1</v>
      </c>
      <c r="I4" s="49"/>
      <c r="J4" s="49"/>
      <c r="K4" s="50">
        <f t="shared" si="0"/>
        <v>15</v>
      </c>
      <c r="L4" s="50">
        <v>1</v>
      </c>
      <c r="M4" s="49">
        <v>4</v>
      </c>
      <c r="N4" s="49">
        <v>2</v>
      </c>
      <c r="O4" s="49">
        <v>1</v>
      </c>
      <c r="P4" s="49">
        <v>4</v>
      </c>
      <c r="Q4" s="49">
        <v>1</v>
      </c>
      <c r="R4" s="49">
        <v>2</v>
      </c>
      <c r="S4" s="49"/>
      <c r="T4" s="50"/>
      <c r="U4" s="49"/>
      <c r="V4" s="49"/>
      <c r="W4" s="50">
        <f t="shared" si="1"/>
        <v>25</v>
      </c>
      <c r="X4" s="50">
        <v>1</v>
      </c>
      <c r="Y4" s="49">
        <v>12</v>
      </c>
      <c r="Z4" s="49">
        <v>9</v>
      </c>
      <c r="AA4" s="49">
        <v>1</v>
      </c>
      <c r="AB4" s="49"/>
      <c r="AC4" s="49">
        <v>2</v>
      </c>
      <c r="AD4" s="49"/>
      <c r="AE4" s="49" t="s">
        <v>3269</v>
      </c>
      <c r="AF4" s="49"/>
      <c r="AG4" s="50">
        <f t="shared" si="2"/>
        <v>28</v>
      </c>
      <c r="AH4" s="50">
        <v>1</v>
      </c>
      <c r="AI4" s="50">
        <v>7</v>
      </c>
      <c r="AJ4" s="50">
        <v>6</v>
      </c>
      <c r="AK4" s="49">
        <v>12</v>
      </c>
      <c r="AL4" s="49"/>
      <c r="AM4" s="49">
        <v>1</v>
      </c>
      <c r="AN4" s="49">
        <v>1</v>
      </c>
      <c r="AO4" s="50"/>
      <c r="AP4" s="49"/>
      <c r="AQ4" s="49"/>
      <c r="AR4" s="50">
        <f t="shared" si="3"/>
        <v>20</v>
      </c>
      <c r="AS4" s="50">
        <v>1</v>
      </c>
      <c r="AT4" s="50"/>
      <c r="AU4" s="49">
        <v>11</v>
      </c>
      <c r="AV4" s="51">
        <v>6</v>
      </c>
      <c r="AW4" s="50"/>
      <c r="AX4" s="50">
        <v>1</v>
      </c>
      <c r="AY4" s="49">
        <v>1</v>
      </c>
      <c r="AZ4" s="50"/>
      <c r="BA4" s="52">
        <v>4</v>
      </c>
      <c r="BB4" s="50"/>
      <c r="BC4" s="50">
        <f t="shared" si="4"/>
        <v>4</v>
      </c>
      <c r="BD4" s="50">
        <v>3</v>
      </c>
      <c r="BE4" s="49"/>
      <c r="BF4" s="49">
        <v>1</v>
      </c>
      <c r="BG4" s="53"/>
      <c r="BH4" s="53">
        <f t="shared" si="5"/>
        <v>96</v>
      </c>
      <c r="BI4" s="54"/>
      <c r="BJ4" s="54"/>
    </row>
    <row r="5" s="26" customFormat="1" customHeight="1" spans="1:62">
      <c r="A5" s="44">
        <f>'6'!A5+1</f>
        <v>46119</v>
      </c>
      <c r="B5" s="45" t="s">
        <v>3270</v>
      </c>
      <c r="C5" s="45" t="s">
        <v>3265</v>
      </c>
      <c r="D5" s="46" t="s">
        <v>22</v>
      </c>
      <c r="E5" s="47">
        <f>SUMIFS(卸车数据!$J$6:$J$1048576,卸车数据!$R$6:$R$1048576,"&gt;="&amp;A5+TIME(2,0,0),卸车数据!$R$6:$R$1048576,"&lt;"&amp;A5+TIME(3,0,0))</f>
        <v>0</v>
      </c>
      <c r="F5" s="47">
        <v>1306</v>
      </c>
      <c r="G5" s="48">
        <v>10081</v>
      </c>
      <c r="H5" s="49">
        <v>1</v>
      </c>
      <c r="I5" s="49" t="s">
        <v>3271</v>
      </c>
      <c r="J5" s="49"/>
      <c r="K5" s="50">
        <f t="shared" si="0"/>
        <v>15</v>
      </c>
      <c r="L5" s="50">
        <v>1</v>
      </c>
      <c r="M5" s="49">
        <v>4</v>
      </c>
      <c r="N5" s="49">
        <v>2</v>
      </c>
      <c r="O5" s="49">
        <v>1</v>
      </c>
      <c r="P5" s="49">
        <v>4</v>
      </c>
      <c r="Q5" s="49">
        <v>1</v>
      </c>
      <c r="R5" s="49">
        <v>2</v>
      </c>
      <c r="S5" s="49"/>
      <c r="T5" s="50"/>
      <c r="U5" s="49" t="s">
        <v>3272</v>
      </c>
      <c r="V5" s="49"/>
      <c r="W5" s="50">
        <f t="shared" si="1"/>
        <v>25</v>
      </c>
      <c r="X5" s="50">
        <v>1</v>
      </c>
      <c r="Y5" s="49">
        <v>12</v>
      </c>
      <c r="Z5" s="49">
        <v>9</v>
      </c>
      <c r="AA5" s="49">
        <v>1</v>
      </c>
      <c r="AB5" s="49"/>
      <c r="AC5" s="49">
        <v>2</v>
      </c>
      <c r="AD5" s="49"/>
      <c r="AE5" s="49"/>
      <c r="AF5" s="49"/>
      <c r="AG5" s="50">
        <f t="shared" si="2"/>
        <v>28</v>
      </c>
      <c r="AH5" s="50">
        <v>1</v>
      </c>
      <c r="AI5" s="50">
        <v>7</v>
      </c>
      <c r="AJ5" s="50">
        <v>6</v>
      </c>
      <c r="AK5" s="49">
        <v>12</v>
      </c>
      <c r="AL5" s="49"/>
      <c r="AM5" s="49">
        <v>1</v>
      </c>
      <c r="AN5" s="49">
        <v>1</v>
      </c>
      <c r="AO5" s="50"/>
      <c r="AP5" s="49"/>
      <c r="AQ5" s="49"/>
      <c r="AR5" s="50">
        <f t="shared" si="3"/>
        <v>20</v>
      </c>
      <c r="AS5" s="50">
        <v>1</v>
      </c>
      <c r="AT5" s="50"/>
      <c r="AU5" s="49">
        <v>11</v>
      </c>
      <c r="AV5" s="51">
        <v>6</v>
      </c>
      <c r="AW5" s="50"/>
      <c r="AX5" s="50">
        <v>1</v>
      </c>
      <c r="AY5" s="49">
        <v>1</v>
      </c>
      <c r="AZ5" s="50"/>
      <c r="BA5" s="52">
        <v>4</v>
      </c>
      <c r="BB5" s="50"/>
      <c r="BC5" s="50">
        <f t="shared" si="4"/>
        <v>4</v>
      </c>
      <c r="BD5" s="50">
        <v>3</v>
      </c>
      <c r="BE5" s="49"/>
      <c r="BF5" s="49">
        <v>1</v>
      </c>
      <c r="BG5" s="49"/>
      <c r="BH5" s="53">
        <f t="shared" si="5"/>
        <v>96</v>
      </c>
      <c r="BI5" s="54"/>
      <c r="BJ5" s="54"/>
    </row>
    <row r="6" s="27" customFormat="1" customHeight="1" spans="1:62">
      <c r="A6" s="44">
        <f>'6'!A6+1</f>
        <v>46119</v>
      </c>
      <c r="B6" s="55" t="s">
        <v>3273</v>
      </c>
      <c r="C6" s="55" t="s">
        <v>3265</v>
      </c>
      <c r="D6" s="46" t="s">
        <v>22</v>
      </c>
      <c r="E6" s="47">
        <f>SUMIFS(卸车数据!$J$6:$J$1048576,卸车数据!$R$6:$R$1048576,"&gt;="&amp;A6+TIME(3,0,0),卸车数据!$R$6:$R$1048576,"&lt;"&amp;A6+TIME(4,0,0))</f>
        <v>5784</v>
      </c>
      <c r="F6" s="56">
        <v>2813</v>
      </c>
      <c r="G6" s="57">
        <v>117</v>
      </c>
      <c r="H6" s="51">
        <v>1</v>
      </c>
      <c r="I6" s="51" t="s">
        <v>3274</v>
      </c>
      <c r="J6" s="51"/>
      <c r="K6" s="58">
        <f t="shared" si="0"/>
        <v>15</v>
      </c>
      <c r="L6" s="58">
        <v>1</v>
      </c>
      <c r="M6" s="51">
        <v>4</v>
      </c>
      <c r="N6" s="51">
        <v>2</v>
      </c>
      <c r="O6" s="51">
        <v>1</v>
      </c>
      <c r="P6" s="51">
        <v>4</v>
      </c>
      <c r="Q6" s="51">
        <v>1</v>
      </c>
      <c r="R6" s="51">
        <v>2</v>
      </c>
      <c r="S6" s="51"/>
      <c r="T6" s="58"/>
      <c r="U6" s="51" t="s">
        <v>3275</v>
      </c>
      <c r="V6" s="51" t="s">
        <v>3276</v>
      </c>
      <c r="W6" s="58">
        <f t="shared" si="1"/>
        <v>18</v>
      </c>
      <c r="X6" s="58">
        <v>1</v>
      </c>
      <c r="Y6" s="51">
        <v>5</v>
      </c>
      <c r="Z6" s="51">
        <v>9</v>
      </c>
      <c r="AA6" s="51">
        <v>1</v>
      </c>
      <c r="AB6" s="49"/>
      <c r="AC6" s="51">
        <v>2</v>
      </c>
      <c r="AD6" s="51"/>
      <c r="AE6" s="51"/>
      <c r="AF6" s="51"/>
      <c r="AG6" s="58">
        <f t="shared" si="2"/>
        <v>32</v>
      </c>
      <c r="AH6" s="58">
        <v>1</v>
      </c>
      <c r="AI6" s="58">
        <v>7</v>
      </c>
      <c r="AJ6" s="58">
        <v>6</v>
      </c>
      <c r="AK6" s="49">
        <v>12</v>
      </c>
      <c r="AL6" s="51"/>
      <c r="AM6" s="51">
        <v>1</v>
      </c>
      <c r="AN6" s="51">
        <v>1</v>
      </c>
      <c r="AO6" s="59">
        <v>4</v>
      </c>
      <c r="AP6" s="51" t="s">
        <v>3277</v>
      </c>
      <c r="AQ6" s="51" t="s">
        <v>3278</v>
      </c>
      <c r="AR6" s="58">
        <f t="shared" si="3"/>
        <v>23</v>
      </c>
      <c r="AS6" s="58">
        <v>1</v>
      </c>
      <c r="AT6" s="58"/>
      <c r="AU6" s="51">
        <v>11</v>
      </c>
      <c r="AV6" s="51">
        <v>6</v>
      </c>
      <c r="AW6" s="58"/>
      <c r="AX6" s="58">
        <v>1</v>
      </c>
      <c r="AY6" s="51">
        <v>1</v>
      </c>
      <c r="AZ6" s="59">
        <v>3</v>
      </c>
      <c r="BA6" s="52">
        <v>4</v>
      </c>
      <c r="BB6" s="58"/>
      <c r="BC6" s="50">
        <f t="shared" si="4"/>
        <v>4</v>
      </c>
      <c r="BD6" s="58">
        <v>3</v>
      </c>
      <c r="BE6" s="51"/>
      <c r="BF6" s="49">
        <v>1</v>
      </c>
      <c r="BG6" s="51"/>
      <c r="BH6" s="53">
        <f t="shared" si="5"/>
        <v>96</v>
      </c>
      <c r="BI6" s="60" t="s">
        <v>3279</v>
      </c>
      <c r="BJ6" s="61"/>
    </row>
    <row r="7" s="26" customFormat="1" customHeight="1" spans="1:62">
      <c r="A7" s="44">
        <f>'6'!A7+1</f>
        <v>46119</v>
      </c>
      <c r="B7" s="45" t="s">
        <v>3280</v>
      </c>
      <c r="C7" s="45" t="s">
        <v>3265</v>
      </c>
      <c r="D7" s="46" t="s">
        <v>22</v>
      </c>
      <c r="E7" s="47">
        <f>SUMIFS(卸车数据!$J$6:$J$1048576,卸车数据!$R$6:$R$1048576,"&gt;="&amp;A7+TIME(4,0,0),卸车数据!$R$6:$R$1048576,"&lt;"&amp;A7+TIME(5,0,0))</f>
        <v>19</v>
      </c>
      <c r="F7" s="47">
        <v>3938</v>
      </c>
      <c r="G7" s="48">
        <v>9950</v>
      </c>
      <c r="H7" s="49">
        <v>1</v>
      </c>
      <c r="I7" s="49" t="s">
        <v>3281</v>
      </c>
      <c r="J7" s="49"/>
      <c r="K7" s="50">
        <f t="shared" si="0"/>
        <v>15</v>
      </c>
      <c r="L7" s="50">
        <v>1</v>
      </c>
      <c r="M7" s="49">
        <v>4</v>
      </c>
      <c r="N7" s="49">
        <v>2</v>
      </c>
      <c r="O7" s="49">
        <v>1</v>
      </c>
      <c r="P7" s="49">
        <v>4</v>
      </c>
      <c r="Q7" s="49">
        <v>1</v>
      </c>
      <c r="R7" s="49">
        <v>2</v>
      </c>
      <c r="S7" s="49"/>
      <c r="T7" s="50"/>
      <c r="U7" s="49"/>
      <c r="V7" s="49"/>
      <c r="W7" s="50">
        <f t="shared" si="1"/>
        <v>25</v>
      </c>
      <c r="X7" s="50">
        <v>1</v>
      </c>
      <c r="Y7" s="49">
        <v>12</v>
      </c>
      <c r="Z7" s="49">
        <v>9</v>
      </c>
      <c r="AA7" s="49">
        <v>1</v>
      </c>
      <c r="AB7" s="49"/>
      <c r="AC7" s="49">
        <v>2</v>
      </c>
      <c r="AD7" s="49"/>
      <c r="AE7" s="49" t="s">
        <v>3282</v>
      </c>
      <c r="AF7" s="49"/>
      <c r="AG7" s="50">
        <f t="shared" si="2"/>
        <v>28</v>
      </c>
      <c r="AH7" s="50">
        <v>1</v>
      </c>
      <c r="AI7" s="50">
        <v>7</v>
      </c>
      <c r="AJ7" s="50">
        <v>6</v>
      </c>
      <c r="AK7" s="49">
        <v>12</v>
      </c>
      <c r="AL7" s="49"/>
      <c r="AM7" s="49">
        <v>1</v>
      </c>
      <c r="AN7" s="49">
        <v>1</v>
      </c>
      <c r="AO7" s="50"/>
      <c r="AP7" s="49"/>
      <c r="AQ7" s="49"/>
      <c r="AR7" s="50">
        <f t="shared" si="3"/>
        <v>20</v>
      </c>
      <c r="AS7" s="50">
        <v>1</v>
      </c>
      <c r="AT7" s="50"/>
      <c r="AU7" s="49">
        <v>11</v>
      </c>
      <c r="AV7" s="51">
        <v>6</v>
      </c>
      <c r="AW7" s="50"/>
      <c r="AX7" s="50">
        <v>1</v>
      </c>
      <c r="AY7" s="49">
        <v>1</v>
      </c>
      <c r="AZ7" s="50"/>
      <c r="BA7" s="52">
        <v>4</v>
      </c>
      <c r="BB7" s="50"/>
      <c r="BC7" s="50">
        <f t="shared" si="4"/>
        <v>4</v>
      </c>
      <c r="BD7" s="50">
        <v>3</v>
      </c>
      <c r="BE7" s="49"/>
      <c r="BF7" s="49">
        <v>1</v>
      </c>
      <c r="BG7" s="49"/>
      <c r="BH7" s="53">
        <f t="shared" si="5"/>
        <v>96</v>
      </c>
      <c r="BI7" s="54"/>
      <c r="BJ7" s="54"/>
    </row>
    <row r="8" s="26" customFormat="1" customHeight="1" spans="1:62">
      <c r="A8" s="44">
        <f>'6'!A8+1</f>
        <v>46119</v>
      </c>
      <c r="B8" s="45" t="s">
        <v>3283</v>
      </c>
      <c r="C8" s="45" t="s">
        <v>3265</v>
      </c>
      <c r="D8" s="46" t="s">
        <v>22</v>
      </c>
      <c r="E8" s="47">
        <f>SUMIFS(卸车数据!$J$6:$J$1048576,卸车数据!$R$6:$R$1048576,"&gt;="&amp;A8+TIME(5,0,0),卸车数据!$R$6:$R$1048576,"&lt;"&amp;A8+TIME(6,0,0))</f>
        <v>179</v>
      </c>
      <c r="F8" s="47">
        <v>1756</v>
      </c>
      <c r="G8" s="48">
        <v>11647</v>
      </c>
      <c r="H8" s="49">
        <v>1</v>
      </c>
      <c r="I8" s="49" t="s">
        <v>3284</v>
      </c>
      <c r="J8" s="49"/>
      <c r="K8" s="50">
        <f t="shared" si="0"/>
        <v>15</v>
      </c>
      <c r="L8" s="50">
        <v>1</v>
      </c>
      <c r="M8" s="49">
        <v>4</v>
      </c>
      <c r="N8" s="49">
        <v>2</v>
      </c>
      <c r="O8" s="49">
        <v>1</v>
      </c>
      <c r="P8" s="49">
        <v>4</v>
      </c>
      <c r="Q8" s="49">
        <v>1</v>
      </c>
      <c r="R8" s="49">
        <v>2</v>
      </c>
      <c r="S8" s="50"/>
      <c r="T8" s="50"/>
      <c r="U8" s="49"/>
      <c r="V8" s="49"/>
      <c r="W8" s="50">
        <f t="shared" si="1"/>
        <v>25</v>
      </c>
      <c r="X8" s="50">
        <v>1</v>
      </c>
      <c r="Y8" s="49">
        <v>12</v>
      </c>
      <c r="Z8" s="49">
        <v>9</v>
      </c>
      <c r="AA8" s="49">
        <v>1</v>
      </c>
      <c r="AB8" s="49"/>
      <c r="AC8" s="49">
        <v>2</v>
      </c>
      <c r="AD8" s="50"/>
      <c r="AE8" s="49" t="s">
        <v>3285</v>
      </c>
      <c r="AF8" s="49"/>
      <c r="AG8" s="50">
        <f t="shared" si="2"/>
        <v>28</v>
      </c>
      <c r="AH8" s="50">
        <v>1</v>
      </c>
      <c r="AI8" s="50">
        <v>7</v>
      </c>
      <c r="AJ8" s="50">
        <v>6</v>
      </c>
      <c r="AK8" s="49">
        <v>12</v>
      </c>
      <c r="AL8" s="49"/>
      <c r="AM8" s="49">
        <v>1</v>
      </c>
      <c r="AN8" s="49">
        <v>1</v>
      </c>
      <c r="AO8" s="50"/>
      <c r="AP8" s="49"/>
      <c r="AQ8" s="49"/>
      <c r="AR8" s="50">
        <f t="shared" si="3"/>
        <v>20</v>
      </c>
      <c r="AS8" s="50">
        <v>1</v>
      </c>
      <c r="AT8" s="50"/>
      <c r="AU8" s="49">
        <v>11</v>
      </c>
      <c r="AV8" s="51">
        <v>6</v>
      </c>
      <c r="AW8" s="50"/>
      <c r="AX8" s="50">
        <v>1</v>
      </c>
      <c r="AY8" s="49">
        <v>1</v>
      </c>
      <c r="AZ8" s="50"/>
      <c r="BA8" s="52">
        <v>4</v>
      </c>
      <c r="BB8" s="50"/>
      <c r="BC8" s="50">
        <f t="shared" si="4"/>
        <v>4</v>
      </c>
      <c r="BD8" s="50">
        <v>3</v>
      </c>
      <c r="BE8" s="49"/>
      <c r="BF8" s="49">
        <v>1</v>
      </c>
      <c r="BG8" s="49"/>
      <c r="BH8" s="53">
        <f t="shared" si="5"/>
        <v>96</v>
      </c>
      <c r="BI8" s="54"/>
      <c r="BJ8" s="54"/>
    </row>
    <row r="9" s="26" customFormat="1" customHeight="1" spans="1:62">
      <c r="A9" s="44">
        <f>'6'!A9+1</f>
        <v>46119</v>
      </c>
      <c r="B9" s="45" t="s">
        <v>3286</v>
      </c>
      <c r="C9" s="45" t="s">
        <v>3265</v>
      </c>
      <c r="D9" s="46" t="s">
        <v>22</v>
      </c>
      <c r="E9" s="47">
        <f>SUMIFS(卸车数据!$J$6:$J$1048576,卸车数据!$R$6:$R$1048576,"&gt;="&amp;A9+TIME(6,0,0),卸车数据!$R$6:$R$1048576,"&lt;"&amp;A9+TIME(7,0,0))</f>
        <v>562</v>
      </c>
      <c r="F9" s="47">
        <v>1125</v>
      </c>
      <c r="G9" s="48">
        <v>356</v>
      </c>
      <c r="H9" s="49">
        <v>1</v>
      </c>
      <c r="I9" s="49" t="s">
        <v>3287</v>
      </c>
      <c r="J9" s="49"/>
      <c r="K9" s="50">
        <f t="shared" si="0"/>
        <v>15</v>
      </c>
      <c r="L9" s="50">
        <v>1</v>
      </c>
      <c r="M9" s="49">
        <v>4</v>
      </c>
      <c r="N9" s="49">
        <v>2</v>
      </c>
      <c r="O9" s="49">
        <v>1</v>
      </c>
      <c r="P9" s="49">
        <v>4</v>
      </c>
      <c r="Q9" s="49">
        <v>1</v>
      </c>
      <c r="R9" s="49">
        <v>2</v>
      </c>
      <c r="S9" s="50"/>
      <c r="T9" s="50"/>
      <c r="U9" s="49"/>
      <c r="V9" s="49"/>
      <c r="W9" s="50">
        <f t="shared" si="1"/>
        <v>25</v>
      </c>
      <c r="X9" s="50">
        <v>1</v>
      </c>
      <c r="Y9" s="49">
        <v>12</v>
      </c>
      <c r="Z9" s="49">
        <v>9</v>
      </c>
      <c r="AA9" s="49">
        <v>1</v>
      </c>
      <c r="AB9" s="49"/>
      <c r="AC9" s="49">
        <v>2</v>
      </c>
      <c r="AD9" s="50"/>
      <c r="AE9" s="49"/>
      <c r="AF9" s="49"/>
      <c r="AG9" s="50">
        <f t="shared" si="2"/>
        <v>28</v>
      </c>
      <c r="AH9" s="50">
        <v>1</v>
      </c>
      <c r="AI9" s="50">
        <v>7</v>
      </c>
      <c r="AJ9" s="50">
        <v>6</v>
      </c>
      <c r="AK9" s="49">
        <v>12</v>
      </c>
      <c r="AL9" s="49"/>
      <c r="AM9" s="49">
        <v>1</v>
      </c>
      <c r="AN9" s="49">
        <v>1</v>
      </c>
      <c r="AO9" s="50"/>
      <c r="AP9" s="49"/>
      <c r="AQ9" s="49"/>
      <c r="AR9" s="50">
        <f t="shared" si="3"/>
        <v>20</v>
      </c>
      <c r="AS9" s="50">
        <v>1</v>
      </c>
      <c r="AT9" s="50"/>
      <c r="AU9" s="49">
        <v>11</v>
      </c>
      <c r="AV9" s="51">
        <v>6</v>
      </c>
      <c r="AW9" s="50"/>
      <c r="AX9" s="50">
        <v>1</v>
      </c>
      <c r="AY9" s="49">
        <v>1</v>
      </c>
      <c r="AZ9" s="50"/>
      <c r="BA9" s="52">
        <v>4</v>
      </c>
      <c r="BB9" s="50"/>
      <c r="BC9" s="50">
        <f t="shared" si="4"/>
        <v>4</v>
      </c>
      <c r="BD9" s="50">
        <v>3</v>
      </c>
      <c r="BE9" s="49"/>
      <c r="BF9" s="49">
        <v>1</v>
      </c>
      <c r="BG9" s="49"/>
      <c r="BH9" s="53">
        <f t="shared" si="5"/>
        <v>96</v>
      </c>
      <c r="BI9" s="54"/>
      <c r="BJ9" s="54"/>
    </row>
    <row r="10" s="26" customFormat="1" customHeight="1" spans="1:62">
      <c r="A10" s="44">
        <f>'6'!A10+1</f>
        <v>46119</v>
      </c>
      <c r="B10" s="45" t="s">
        <v>3288</v>
      </c>
      <c r="C10" s="45" t="s">
        <v>3289</v>
      </c>
      <c r="D10" s="46" t="s">
        <v>22</v>
      </c>
      <c r="E10" s="47">
        <f>SUMIFS(卸车数据!$J$6:$J$1048576,卸车数据!$R$6:$R$1048576,"&gt;="&amp;A10+TIME(7,0,0),卸车数据!$R$6:$R$1048576,"&lt;"&amp;A10+TIME(8,0,0))</f>
        <v>896</v>
      </c>
      <c r="F10" s="62">
        <v>995</v>
      </c>
      <c r="G10" s="63">
        <v>72</v>
      </c>
      <c r="H10" s="49">
        <v>1</v>
      </c>
      <c r="I10" s="49" t="s">
        <v>3290</v>
      </c>
      <c r="J10" s="49" t="s">
        <v>3291</v>
      </c>
      <c r="K10" s="50">
        <f t="shared" si="0"/>
        <v>9</v>
      </c>
      <c r="L10" s="50">
        <v>1</v>
      </c>
      <c r="M10" s="50">
        <v>2</v>
      </c>
      <c r="N10" s="50">
        <v>1</v>
      </c>
      <c r="O10" s="50">
        <v>1</v>
      </c>
      <c r="P10" s="50">
        <v>2</v>
      </c>
      <c r="Q10" s="50"/>
      <c r="R10" s="50">
        <v>1</v>
      </c>
      <c r="S10" s="50">
        <v>1</v>
      </c>
      <c r="T10" s="49"/>
      <c r="U10" s="49" t="s">
        <v>3292</v>
      </c>
      <c r="V10" s="49"/>
      <c r="W10" s="50">
        <f t="shared" si="1"/>
        <v>14</v>
      </c>
      <c r="X10" s="50">
        <v>1</v>
      </c>
      <c r="Y10" s="50">
        <v>8</v>
      </c>
      <c r="Z10" s="50">
        <v>4</v>
      </c>
      <c r="AA10" s="50"/>
      <c r="AB10" s="50"/>
      <c r="AC10" s="50">
        <v>1</v>
      </c>
      <c r="AD10" s="50"/>
      <c r="AE10" s="64" t="s">
        <v>3293</v>
      </c>
      <c r="AF10" s="49" t="s">
        <v>3294</v>
      </c>
      <c r="AG10" s="50">
        <f t="shared" si="2"/>
        <v>16</v>
      </c>
      <c r="AH10" s="50">
        <v>1</v>
      </c>
      <c r="AI10" s="50">
        <v>1</v>
      </c>
      <c r="AJ10" s="50">
        <v>6</v>
      </c>
      <c r="AK10" s="50">
        <v>3</v>
      </c>
      <c r="AL10" s="50"/>
      <c r="AM10" s="50">
        <v>1</v>
      </c>
      <c r="AN10" s="50">
        <v>1</v>
      </c>
      <c r="AO10" s="59">
        <v>3</v>
      </c>
      <c r="AP10" s="49" t="s">
        <v>3295</v>
      </c>
      <c r="AQ10" s="49"/>
      <c r="AR10" s="50">
        <f t="shared" si="3"/>
        <v>16</v>
      </c>
      <c r="AS10" s="50">
        <v>1</v>
      </c>
      <c r="AT10" s="50">
        <v>1</v>
      </c>
      <c r="AU10" s="50">
        <v>7</v>
      </c>
      <c r="AV10" s="50">
        <v>3</v>
      </c>
      <c r="AW10" s="50">
        <v>1</v>
      </c>
      <c r="AX10" s="50">
        <v>1</v>
      </c>
      <c r="AY10" s="50"/>
      <c r="AZ10" s="59">
        <v>2</v>
      </c>
      <c r="BA10" s="50"/>
      <c r="BB10" s="50"/>
      <c r="BC10" s="50">
        <f t="shared" si="4"/>
        <v>5</v>
      </c>
      <c r="BD10" s="50">
        <v>2</v>
      </c>
      <c r="BE10" s="49">
        <v>2</v>
      </c>
      <c r="BF10" s="49">
        <v>1</v>
      </c>
      <c r="BG10" s="49"/>
      <c r="BH10" s="53">
        <f t="shared" si="5"/>
        <v>60</v>
      </c>
      <c r="BI10" s="61" t="s">
        <v>3296</v>
      </c>
      <c r="BJ10" s="61">
        <v>60</v>
      </c>
    </row>
    <row r="11" s="28" customFormat="1" customHeight="1" spans="1:62">
      <c r="A11" s="44">
        <f>'6'!A11+1</f>
        <v>46119</v>
      </c>
      <c r="B11" s="45" t="s">
        <v>3297</v>
      </c>
      <c r="C11" s="45" t="s">
        <v>3289</v>
      </c>
      <c r="D11" s="46" t="s">
        <v>22</v>
      </c>
      <c r="E11" s="47">
        <f>SUMIFS(卸车数据!$J$6:$J$1048576,卸车数据!$R$6:$R$1048576,"&gt;="&amp;A11+TIME(8,0,0),卸车数据!$R$6:$R$1048576,"&lt;"&amp;A11+TIME(9,0,0))</f>
        <v>4915</v>
      </c>
      <c r="F11" s="62">
        <v>1654</v>
      </c>
      <c r="G11" s="65">
        <v>2511</v>
      </c>
      <c r="H11" s="49">
        <v>1</v>
      </c>
      <c r="I11" s="49" t="s">
        <v>3290</v>
      </c>
      <c r="J11" s="49" t="s">
        <v>3291</v>
      </c>
      <c r="K11" s="50">
        <f t="shared" si="0"/>
        <v>9</v>
      </c>
      <c r="L11" s="50">
        <v>1</v>
      </c>
      <c r="M11" s="50">
        <v>2</v>
      </c>
      <c r="N11" s="50">
        <v>1</v>
      </c>
      <c r="O11" s="50">
        <v>1</v>
      </c>
      <c r="P11" s="50">
        <v>2</v>
      </c>
      <c r="Q11" s="50"/>
      <c r="R11" s="50">
        <v>1</v>
      </c>
      <c r="S11" s="49">
        <v>1</v>
      </c>
      <c r="T11" s="49"/>
      <c r="U11" s="49" t="s">
        <v>3298</v>
      </c>
      <c r="V11" s="49"/>
      <c r="W11" s="50">
        <f t="shared" si="1"/>
        <v>14</v>
      </c>
      <c r="X11" s="50">
        <v>1</v>
      </c>
      <c r="Y11" s="50">
        <v>8</v>
      </c>
      <c r="Z11" s="50">
        <v>4</v>
      </c>
      <c r="AA11" s="50"/>
      <c r="AB11" s="50"/>
      <c r="AC11" s="50">
        <v>1</v>
      </c>
      <c r="AD11" s="50"/>
      <c r="AE11" s="64" t="s">
        <v>3299</v>
      </c>
      <c r="AF11" s="49"/>
      <c r="AG11" s="50">
        <f t="shared" si="2"/>
        <v>16</v>
      </c>
      <c r="AH11" s="50">
        <v>1</v>
      </c>
      <c r="AI11" s="50">
        <v>1</v>
      </c>
      <c r="AJ11" s="50">
        <v>6</v>
      </c>
      <c r="AK11" s="50">
        <v>3</v>
      </c>
      <c r="AL11" s="50"/>
      <c r="AM11" s="50">
        <v>1</v>
      </c>
      <c r="AN11" s="50">
        <v>1</v>
      </c>
      <c r="AO11" s="59">
        <v>3</v>
      </c>
      <c r="AP11" s="49" t="s">
        <v>3300</v>
      </c>
      <c r="AQ11" s="49" t="s">
        <v>3301</v>
      </c>
      <c r="AR11" s="50">
        <f t="shared" si="3"/>
        <v>16</v>
      </c>
      <c r="AS11" s="50">
        <v>1</v>
      </c>
      <c r="AT11" s="50">
        <v>1</v>
      </c>
      <c r="AU11" s="50">
        <v>7</v>
      </c>
      <c r="AV11" s="50">
        <v>3</v>
      </c>
      <c r="AW11" s="50">
        <v>1</v>
      </c>
      <c r="AX11" s="50">
        <v>1</v>
      </c>
      <c r="AY11" s="49"/>
      <c r="AZ11" s="66">
        <v>2</v>
      </c>
      <c r="BA11" s="49"/>
      <c r="BB11" s="49"/>
      <c r="BC11" s="50">
        <f t="shared" si="4"/>
        <v>5</v>
      </c>
      <c r="BD11" s="50">
        <v>2</v>
      </c>
      <c r="BE11" s="49">
        <v>2</v>
      </c>
      <c r="BF11" s="49">
        <v>1</v>
      </c>
      <c r="BG11" s="53"/>
      <c r="BH11" s="53">
        <f t="shared" si="5"/>
        <v>60</v>
      </c>
      <c r="BI11" s="54"/>
      <c r="BJ11" s="54"/>
    </row>
    <row r="12" s="28" customFormat="1" customHeight="1" spans="1:62">
      <c r="A12" s="44">
        <f>'6'!A12+1</f>
        <v>46119</v>
      </c>
      <c r="B12" s="45" t="s">
        <v>3302</v>
      </c>
      <c r="C12" s="45" t="s">
        <v>3289</v>
      </c>
      <c r="D12" s="46" t="s">
        <v>22</v>
      </c>
      <c r="E12" s="47">
        <f>SUMIFS(卸车数据!$J$6:$J$1048576,卸车数据!$R$6:$R$1048576,"&gt;="&amp;A12+TIME(9,0,0),卸车数据!$R$6:$R$1048576,"&lt;"&amp;A12+TIME(10,0,0))</f>
        <v>0</v>
      </c>
      <c r="F12" s="47">
        <v>2822</v>
      </c>
      <c r="G12" s="65">
        <v>7565</v>
      </c>
      <c r="H12" s="49">
        <v>1</v>
      </c>
      <c r="I12" s="49" t="s">
        <v>3303</v>
      </c>
      <c r="J12" s="49"/>
      <c r="K12" s="50">
        <f t="shared" si="0"/>
        <v>12</v>
      </c>
      <c r="L12" s="50">
        <v>1</v>
      </c>
      <c r="M12" s="50">
        <v>4</v>
      </c>
      <c r="N12" s="50">
        <v>2</v>
      </c>
      <c r="O12" s="50">
        <v>1</v>
      </c>
      <c r="P12" s="50">
        <v>2</v>
      </c>
      <c r="Q12" s="50">
        <v>1</v>
      </c>
      <c r="R12" s="50">
        <v>1</v>
      </c>
      <c r="S12" s="49"/>
      <c r="T12" s="49"/>
      <c r="U12" s="49" t="s">
        <v>3304</v>
      </c>
      <c r="V12" s="49"/>
      <c r="W12" s="50">
        <f t="shared" si="1"/>
        <v>16</v>
      </c>
      <c r="X12" s="50">
        <v>1</v>
      </c>
      <c r="Y12" s="50">
        <v>9</v>
      </c>
      <c r="Z12" s="50">
        <v>5</v>
      </c>
      <c r="AA12" s="50"/>
      <c r="AB12" s="50"/>
      <c r="AC12" s="50">
        <v>1</v>
      </c>
      <c r="AD12" s="50"/>
      <c r="AE12" s="64" t="s">
        <v>3305</v>
      </c>
      <c r="AF12" s="49"/>
      <c r="AG12" s="50">
        <f t="shared" si="2"/>
        <v>13</v>
      </c>
      <c r="AH12" s="50">
        <v>1</v>
      </c>
      <c r="AI12" s="50">
        <v>1</v>
      </c>
      <c r="AJ12" s="50">
        <v>6</v>
      </c>
      <c r="AK12" s="50">
        <v>3</v>
      </c>
      <c r="AL12" s="50"/>
      <c r="AM12" s="50">
        <v>1</v>
      </c>
      <c r="AN12" s="50">
        <v>1</v>
      </c>
      <c r="AO12" s="50"/>
      <c r="AP12" s="49" t="s">
        <v>3300</v>
      </c>
      <c r="AQ12" s="49" t="s">
        <v>3301</v>
      </c>
      <c r="AR12" s="50">
        <f t="shared" si="3"/>
        <v>14</v>
      </c>
      <c r="AS12" s="50">
        <v>1</v>
      </c>
      <c r="AT12" s="50">
        <v>1</v>
      </c>
      <c r="AU12" s="50">
        <v>7</v>
      </c>
      <c r="AV12" s="50">
        <v>3</v>
      </c>
      <c r="AW12" s="50">
        <v>1</v>
      </c>
      <c r="AX12" s="50">
        <v>1</v>
      </c>
      <c r="AY12" s="49"/>
      <c r="AZ12" s="49"/>
      <c r="BA12" s="49"/>
      <c r="BB12" s="49"/>
      <c r="BC12" s="50">
        <f t="shared" si="4"/>
        <v>5</v>
      </c>
      <c r="BD12" s="50">
        <v>2</v>
      </c>
      <c r="BE12" s="49">
        <v>2</v>
      </c>
      <c r="BF12" s="49">
        <v>1</v>
      </c>
      <c r="BG12" s="53"/>
      <c r="BH12" s="53">
        <f t="shared" si="5"/>
        <v>60</v>
      </c>
      <c r="BI12" s="54"/>
      <c r="BJ12" s="54"/>
    </row>
    <row r="13" s="28" customFormat="1" customHeight="1" spans="1:62">
      <c r="A13" s="44">
        <f>'6'!A13+1</f>
        <v>46119</v>
      </c>
      <c r="B13" s="45" t="s">
        <v>3306</v>
      </c>
      <c r="C13" s="45" t="s">
        <v>3289</v>
      </c>
      <c r="D13" s="46" t="s">
        <v>22</v>
      </c>
      <c r="E13" s="47">
        <f>SUMIFS(卸车数据!$J$6:$J$1048576,卸车数据!$R$6:$R$1048576,"&gt;="&amp;A13+TIME(10,0,0),卸车数据!$R$6:$R$1048576,"&lt;"&amp;A13+TIME(11,0,0))</f>
        <v>439</v>
      </c>
      <c r="F13" s="47">
        <v>891</v>
      </c>
      <c r="G13" s="65">
        <v>5712</v>
      </c>
      <c r="H13" s="49">
        <v>1</v>
      </c>
      <c r="I13" s="64" t="s">
        <v>3307</v>
      </c>
      <c r="J13" s="49"/>
      <c r="K13" s="50">
        <f t="shared" si="0"/>
        <v>12</v>
      </c>
      <c r="L13" s="50">
        <v>1</v>
      </c>
      <c r="M13" s="50">
        <v>4</v>
      </c>
      <c r="N13" s="50">
        <v>2</v>
      </c>
      <c r="O13" s="50">
        <v>1</v>
      </c>
      <c r="P13" s="50">
        <v>2</v>
      </c>
      <c r="Q13" s="50">
        <v>1</v>
      </c>
      <c r="R13" s="50">
        <v>1</v>
      </c>
      <c r="S13" s="49"/>
      <c r="T13" s="49"/>
      <c r="U13" s="49" t="s">
        <v>3308</v>
      </c>
      <c r="V13" s="49"/>
      <c r="W13" s="50">
        <f t="shared" si="1"/>
        <v>16</v>
      </c>
      <c r="X13" s="50">
        <v>1</v>
      </c>
      <c r="Y13" s="50">
        <v>9</v>
      </c>
      <c r="Z13" s="50">
        <v>5</v>
      </c>
      <c r="AA13" s="50"/>
      <c r="AB13" s="50"/>
      <c r="AC13" s="50">
        <v>1</v>
      </c>
      <c r="AD13" s="50"/>
      <c r="AE13" s="64" t="s">
        <v>3309</v>
      </c>
      <c r="AF13" s="49"/>
      <c r="AG13" s="50">
        <f t="shared" si="2"/>
        <v>13</v>
      </c>
      <c r="AH13" s="50">
        <v>1</v>
      </c>
      <c r="AI13" s="50">
        <v>1</v>
      </c>
      <c r="AJ13" s="50">
        <v>6</v>
      </c>
      <c r="AK13" s="50">
        <v>3</v>
      </c>
      <c r="AL13" s="50"/>
      <c r="AM13" s="50">
        <v>1</v>
      </c>
      <c r="AN13" s="50">
        <v>1</v>
      </c>
      <c r="AO13" s="50"/>
      <c r="AP13" s="49" t="s">
        <v>3300</v>
      </c>
      <c r="AQ13" s="49" t="s">
        <v>3301</v>
      </c>
      <c r="AR13" s="50">
        <f t="shared" si="3"/>
        <v>14</v>
      </c>
      <c r="AS13" s="50">
        <v>1</v>
      </c>
      <c r="AT13" s="50">
        <v>1</v>
      </c>
      <c r="AU13" s="50">
        <v>7</v>
      </c>
      <c r="AV13" s="50">
        <v>3</v>
      </c>
      <c r="AW13" s="50">
        <v>1</v>
      </c>
      <c r="AX13" s="50">
        <v>1</v>
      </c>
      <c r="AY13" s="49"/>
      <c r="AZ13" s="49"/>
      <c r="BA13" s="49"/>
      <c r="BB13" s="49"/>
      <c r="BC13" s="50">
        <f t="shared" si="4"/>
        <v>5</v>
      </c>
      <c r="BD13" s="50">
        <v>2</v>
      </c>
      <c r="BE13" s="49">
        <v>2</v>
      </c>
      <c r="BF13" s="49">
        <v>1</v>
      </c>
      <c r="BG13" s="53"/>
      <c r="BH13" s="53">
        <f t="shared" si="5"/>
        <v>60</v>
      </c>
      <c r="BI13" s="54"/>
      <c r="BJ13" s="54"/>
    </row>
    <row r="14" s="29" customFormat="1" customHeight="1" spans="1:62">
      <c r="A14" s="44">
        <f>'6'!A14+1</f>
        <v>46119</v>
      </c>
      <c r="B14" s="55" t="s">
        <v>3310</v>
      </c>
      <c r="C14" s="55" t="s">
        <v>3289</v>
      </c>
      <c r="D14" s="55" t="s">
        <v>3311</v>
      </c>
      <c r="E14" s="47">
        <f>SUMIFS(卸车数据!$J$6:$J$1048576,卸车数据!$R$6:$R$1048576,"&gt;="&amp;A14+TIME(11,0,0),卸车数据!$R$6:$R$1048576,"&lt;"&amp;A14+TIME(12,0,0))</f>
        <v>6212</v>
      </c>
      <c r="F14" s="47">
        <v>1744</v>
      </c>
      <c r="G14" s="67">
        <v>62</v>
      </c>
      <c r="H14" s="51">
        <v>1</v>
      </c>
      <c r="I14" s="68" t="s">
        <v>3312</v>
      </c>
      <c r="J14" s="51"/>
      <c r="K14" s="58">
        <f t="shared" si="0"/>
        <v>13</v>
      </c>
      <c r="L14" s="58">
        <v>1</v>
      </c>
      <c r="M14" s="51">
        <v>5</v>
      </c>
      <c r="N14" s="51">
        <v>5</v>
      </c>
      <c r="O14" s="51"/>
      <c r="P14" s="51">
        <v>2</v>
      </c>
      <c r="Q14" s="51"/>
      <c r="R14" s="51"/>
      <c r="S14" s="51"/>
      <c r="T14" s="51"/>
      <c r="U14" s="51" t="s">
        <v>3313</v>
      </c>
      <c r="V14" s="51"/>
      <c r="W14" s="58">
        <f t="shared" si="1"/>
        <v>18</v>
      </c>
      <c r="X14" s="58">
        <v>1</v>
      </c>
      <c r="Y14" s="58">
        <v>9</v>
      </c>
      <c r="Z14" s="58">
        <v>6</v>
      </c>
      <c r="AA14" s="58"/>
      <c r="AB14" s="58"/>
      <c r="AC14" s="58">
        <v>2</v>
      </c>
      <c r="AD14" s="58"/>
      <c r="AE14" s="68" t="s">
        <v>3314</v>
      </c>
      <c r="AF14" s="51"/>
      <c r="AG14" s="58">
        <f t="shared" si="2"/>
        <v>16</v>
      </c>
      <c r="AH14" s="58">
        <v>1</v>
      </c>
      <c r="AI14" s="58">
        <v>1</v>
      </c>
      <c r="AJ14" s="58">
        <v>5</v>
      </c>
      <c r="AK14" s="50">
        <v>7</v>
      </c>
      <c r="AL14" s="58"/>
      <c r="AM14" s="58">
        <v>1</v>
      </c>
      <c r="AN14" s="58">
        <v>1</v>
      </c>
      <c r="AO14" s="58"/>
      <c r="AP14" s="51" t="s">
        <v>3315</v>
      </c>
      <c r="AQ14" s="51" t="s">
        <v>3316</v>
      </c>
      <c r="AR14" s="58">
        <f t="shared" si="3"/>
        <v>14</v>
      </c>
      <c r="AS14" s="58">
        <v>1</v>
      </c>
      <c r="AT14" s="58">
        <v>1</v>
      </c>
      <c r="AU14" s="58">
        <v>7</v>
      </c>
      <c r="AV14" s="58">
        <v>3</v>
      </c>
      <c r="AW14" s="58">
        <v>1</v>
      </c>
      <c r="AX14" s="58">
        <v>1</v>
      </c>
      <c r="AY14" s="51"/>
      <c r="AZ14" s="51"/>
      <c r="BA14" s="51"/>
      <c r="BB14" s="51"/>
      <c r="BC14" s="50">
        <f t="shared" si="4"/>
        <v>5</v>
      </c>
      <c r="BD14" s="58">
        <v>2</v>
      </c>
      <c r="BE14" s="49">
        <v>2</v>
      </c>
      <c r="BF14" s="49">
        <v>1</v>
      </c>
      <c r="BG14" s="69"/>
      <c r="BH14" s="53">
        <f t="shared" si="5"/>
        <v>66</v>
      </c>
      <c r="BI14" s="61" t="s">
        <v>3317</v>
      </c>
      <c r="BJ14" s="61">
        <v>6</v>
      </c>
    </row>
    <row r="15" s="28" customFormat="1" customHeight="1" spans="1:62">
      <c r="A15" s="44">
        <f>'6'!A15+1</f>
        <v>46119</v>
      </c>
      <c r="B15" s="45" t="s">
        <v>3318</v>
      </c>
      <c r="C15" s="45" t="s">
        <v>3289</v>
      </c>
      <c r="D15" s="70" t="s">
        <v>3319</v>
      </c>
      <c r="E15" s="47">
        <f>SUMIFS(卸车数据!$J$6:$J$1048576,卸车数据!$R$6:$R$1048576,"&gt;="&amp;A15+TIME(12,0,0),卸车数据!$R$6:$R$1048576,"&lt;"&amp;A15+TIME(13,0,0))</f>
        <v>13532</v>
      </c>
      <c r="F15" s="49">
        <v>5663</v>
      </c>
      <c r="G15" s="65">
        <v>8</v>
      </c>
      <c r="H15" s="49">
        <v>1</v>
      </c>
      <c r="I15" s="49" t="s">
        <v>3320</v>
      </c>
      <c r="J15" s="49" t="s">
        <v>3321</v>
      </c>
      <c r="K15" s="50">
        <f t="shared" si="0"/>
        <v>18</v>
      </c>
      <c r="L15" s="50">
        <v>1</v>
      </c>
      <c r="M15" s="49">
        <v>5</v>
      </c>
      <c r="N15" s="49">
        <v>5</v>
      </c>
      <c r="O15" s="49"/>
      <c r="P15" s="49">
        <v>3</v>
      </c>
      <c r="Q15" s="49"/>
      <c r="R15" s="49"/>
      <c r="S15" s="49"/>
      <c r="T15" s="66">
        <v>4</v>
      </c>
      <c r="U15" s="49" t="s">
        <v>3322</v>
      </c>
      <c r="V15" s="49" t="s">
        <v>3323</v>
      </c>
      <c r="W15" s="50">
        <f t="shared" si="1"/>
        <v>4</v>
      </c>
      <c r="X15" s="50">
        <v>1</v>
      </c>
      <c r="Y15" s="49"/>
      <c r="Z15" s="49"/>
      <c r="AA15" s="49">
        <v>1</v>
      </c>
      <c r="AB15" s="49"/>
      <c r="AC15" s="58">
        <v>2</v>
      </c>
      <c r="AD15" s="49"/>
      <c r="AE15" s="64" t="s">
        <v>3324</v>
      </c>
      <c r="AF15" s="49"/>
      <c r="AG15" s="50">
        <f t="shared" si="2"/>
        <v>22</v>
      </c>
      <c r="AH15" s="50">
        <v>1</v>
      </c>
      <c r="AI15" s="50">
        <v>3</v>
      </c>
      <c r="AJ15" s="49">
        <v>5</v>
      </c>
      <c r="AK15" s="50">
        <v>7</v>
      </c>
      <c r="AL15" s="49"/>
      <c r="AM15" s="49"/>
      <c r="AN15" s="49"/>
      <c r="AO15" s="66">
        <v>6</v>
      </c>
      <c r="AP15" s="49" t="s">
        <v>3325</v>
      </c>
      <c r="AQ15" s="49" t="s">
        <v>3326</v>
      </c>
      <c r="AR15" s="50">
        <f t="shared" si="3"/>
        <v>17</v>
      </c>
      <c r="AS15" s="50">
        <v>1</v>
      </c>
      <c r="AT15" s="50">
        <v>1</v>
      </c>
      <c r="AU15" s="50">
        <v>7</v>
      </c>
      <c r="AV15" s="50">
        <v>3</v>
      </c>
      <c r="AW15" s="50">
        <v>1</v>
      </c>
      <c r="AX15" s="50"/>
      <c r="AY15" s="49"/>
      <c r="AZ15" s="66">
        <v>4</v>
      </c>
      <c r="BA15" s="49"/>
      <c r="BB15" s="49"/>
      <c r="BC15" s="50">
        <f t="shared" si="4"/>
        <v>5</v>
      </c>
      <c r="BD15" s="50">
        <v>2</v>
      </c>
      <c r="BE15" s="49">
        <v>2</v>
      </c>
      <c r="BF15" s="49">
        <v>1</v>
      </c>
      <c r="BG15" s="53"/>
      <c r="BH15" s="53">
        <f t="shared" si="5"/>
        <v>66</v>
      </c>
      <c r="BI15" s="54"/>
      <c r="BJ15" s="54"/>
    </row>
    <row r="16" s="28" customFormat="1" customHeight="1" spans="1:62">
      <c r="A16" s="44">
        <f>'6'!A16+1</f>
        <v>46119</v>
      </c>
      <c r="B16" s="45" t="s">
        <v>3327</v>
      </c>
      <c r="C16" s="45" t="s">
        <v>3289</v>
      </c>
      <c r="D16" s="70" t="s">
        <v>3319</v>
      </c>
      <c r="E16" s="47">
        <f>SUMIFS(卸车数据!$J$6:$J$1048576,卸车数据!$R$6:$R$1048576,"&gt;="&amp;A16+TIME(13,0,0),卸车数据!$R$6:$R$1048576,"&lt;"&amp;A16+TIME(14,0,0))</f>
        <v>4999</v>
      </c>
      <c r="F16" s="49">
        <v>3654</v>
      </c>
      <c r="G16" s="65">
        <v>5022</v>
      </c>
      <c r="H16" s="49">
        <v>1</v>
      </c>
      <c r="I16" s="49" t="s">
        <v>3320</v>
      </c>
      <c r="J16" s="49" t="s">
        <v>3328</v>
      </c>
      <c r="K16" s="50">
        <f t="shared" si="0"/>
        <v>12</v>
      </c>
      <c r="L16" s="50">
        <v>1</v>
      </c>
      <c r="M16" s="49">
        <v>3</v>
      </c>
      <c r="N16" s="49">
        <v>5</v>
      </c>
      <c r="O16" s="49"/>
      <c r="P16" s="49">
        <v>3</v>
      </c>
      <c r="Q16" s="49"/>
      <c r="R16" s="49"/>
      <c r="S16" s="49"/>
      <c r="T16" s="49"/>
      <c r="U16" s="49" t="s">
        <v>3329</v>
      </c>
      <c r="V16" s="49"/>
      <c r="W16" s="50">
        <f t="shared" si="1"/>
        <v>18</v>
      </c>
      <c r="X16" s="50">
        <v>1</v>
      </c>
      <c r="Y16" s="49">
        <v>10</v>
      </c>
      <c r="Z16" s="49">
        <v>5</v>
      </c>
      <c r="AA16" s="49"/>
      <c r="AB16" s="49"/>
      <c r="AC16" s="58">
        <v>2</v>
      </c>
      <c r="AD16" s="49"/>
      <c r="AE16" s="49" t="s">
        <v>3330</v>
      </c>
      <c r="AF16" s="49"/>
      <c r="AG16" s="50">
        <f t="shared" si="2"/>
        <v>18</v>
      </c>
      <c r="AH16" s="50">
        <v>1</v>
      </c>
      <c r="AI16" s="50">
        <v>1</v>
      </c>
      <c r="AJ16" s="50">
        <v>5</v>
      </c>
      <c r="AK16" s="50">
        <v>7</v>
      </c>
      <c r="AL16" s="50"/>
      <c r="AM16" s="50">
        <v>1</v>
      </c>
      <c r="AN16" s="50">
        <v>1</v>
      </c>
      <c r="AO16" s="66">
        <v>2</v>
      </c>
      <c r="AP16" s="49" t="s">
        <v>3325</v>
      </c>
      <c r="AQ16" s="49" t="s">
        <v>3326</v>
      </c>
      <c r="AR16" s="50">
        <f t="shared" si="3"/>
        <v>13</v>
      </c>
      <c r="AS16" s="50">
        <v>1</v>
      </c>
      <c r="AT16" s="50">
        <v>1</v>
      </c>
      <c r="AU16" s="50">
        <v>7</v>
      </c>
      <c r="AV16" s="50">
        <v>3</v>
      </c>
      <c r="AW16" s="50">
        <v>1</v>
      </c>
      <c r="AX16" s="50"/>
      <c r="AY16" s="49"/>
      <c r="AZ16" s="49"/>
      <c r="BA16" s="49"/>
      <c r="BB16" s="49"/>
      <c r="BC16" s="50">
        <f t="shared" si="4"/>
        <v>5</v>
      </c>
      <c r="BD16" s="50">
        <v>2</v>
      </c>
      <c r="BE16" s="49">
        <v>2</v>
      </c>
      <c r="BF16" s="49">
        <v>1</v>
      </c>
      <c r="BG16" s="53"/>
      <c r="BH16" s="53">
        <f t="shared" si="5"/>
        <v>66</v>
      </c>
      <c r="BI16" s="54"/>
      <c r="BJ16" s="54"/>
    </row>
    <row r="17" s="28" customFormat="1" customHeight="1" spans="1:62">
      <c r="A17" s="44">
        <f>'6'!A17+1</f>
        <v>46119</v>
      </c>
      <c r="B17" s="45" t="s">
        <v>3331</v>
      </c>
      <c r="C17" s="45" t="s">
        <v>3289</v>
      </c>
      <c r="D17" s="70" t="s">
        <v>3319</v>
      </c>
      <c r="E17" s="47">
        <f>SUMIFS(卸车数据!$J$6:$J$1048576,卸车数据!$R$6:$R$1048576,"&gt;="&amp;A17+TIME(14,0,0),卸车数据!$R$6:$R$1048576,"&lt;"&amp;A17+TIME(15,0,0))</f>
        <v>5655</v>
      </c>
      <c r="F17" s="49">
        <v>889</v>
      </c>
      <c r="G17" s="65">
        <v>10034</v>
      </c>
      <c r="H17" s="49">
        <v>1</v>
      </c>
      <c r="I17" s="49" t="s">
        <v>3332</v>
      </c>
      <c r="J17" s="49" t="s">
        <v>3333</v>
      </c>
      <c r="K17" s="50">
        <f t="shared" si="0"/>
        <v>12</v>
      </c>
      <c r="L17" s="50">
        <v>1</v>
      </c>
      <c r="M17" s="49">
        <v>3</v>
      </c>
      <c r="N17" s="49">
        <v>5</v>
      </c>
      <c r="O17" s="49"/>
      <c r="P17" s="49">
        <v>3</v>
      </c>
      <c r="Q17" s="49"/>
      <c r="R17" s="49"/>
      <c r="S17" s="49"/>
      <c r="T17" s="49"/>
      <c r="U17" s="49" t="s">
        <v>3329</v>
      </c>
      <c r="V17" s="49"/>
      <c r="W17" s="50">
        <f t="shared" si="1"/>
        <v>18</v>
      </c>
      <c r="X17" s="50">
        <v>1</v>
      </c>
      <c r="Y17" s="49">
        <v>10</v>
      </c>
      <c r="Z17" s="49">
        <v>5</v>
      </c>
      <c r="AA17" s="49"/>
      <c r="AB17" s="49"/>
      <c r="AC17" s="58">
        <v>2</v>
      </c>
      <c r="AD17" s="49"/>
      <c r="AE17" s="49"/>
      <c r="AF17" s="49"/>
      <c r="AG17" s="50">
        <f t="shared" si="2"/>
        <v>18</v>
      </c>
      <c r="AH17" s="50">
        <v>1</v>
      </c>
      <c r="AI17" s="50">
        <v>1</v>
      </c>
      <c r="AJ17" s="50">
        <v>5</v>
      </c>
      <c r="AK17" s="50">
        <v>7</v>
      </c>
      <c r="AL17" s="50"/>
      <c r="AM17" s="50">
        <v>1</v>
      </c>
      <c r="AN17" s="50">
        <v>1</v>
      </c>
      <c r="AO17" s="66">
        <v>2</v>
      </c>
      <c r="AP17" s="49" t="s">
        <v>3325</v>
      </c>
      <c r="AQ17" s="49" t="s">
        <v>3326</v>
      </c>
      <c r="AR17" s="50">
        <f t="shared" si="3"/>
        <v>13</v>
      </c>
      <c r="AS17" s="50">
        <v>1</v>
      </c>
      <c r="AT17" s="50">
        <v>1</v>
      </c>
      <c r="AU17" s="50">
        <v>7</v>
      </c>
      <c r="AV17" s="50">
        <v>3</v>
      </c>
      <c r="AW17" s="50">
        <v>1</v>
      </c>
      <c r="AX17" s="50"/>
      <c r="AY17" s="49"/>
      <c r="AZ17" s="49"/>
      <c r="BA17" s="49"/>
      <c r="BB17" s="49"/>
      <c r="BC17" s="50">
        <f t="shared" si="4"/>
        <v>5</v>
      </c>
      <c r="BD17" s="50">
        <v>2</v>
      </c>
      <c r="BE17" s="49">
        <v>2</v>
      </c>
      <c r="BF17" s="49">
        <v>1</v>
      </c>
      <c r="BG17" s="53"/>
      <c r="BH17" s="53">
        <f t="shared" si="5"/>
        <v>66</v>
      </c>
      <c r="BI17" s="54"/>
      <c r="BJ17" s="54"/>
    </row>
    <row r="18" s="28" customFormat="1" customHeight="1" spans="1:62">
      <c r="A18" s="44">
        <f>'6'!A18+1</f>
        <v>46119</v>
      </c>
      <c r="B18" s="45" t="s">
        <v>3334</v>
      </c>
      <c r="C18" s="45" t="s">
        <v>3289</v>
      </c>
      <c r="D18" s="46" t="s">
        <v>22</v>
      </c>
      <c r="E18" s="47">
        <f>SUMIFS(卸车数据!$J$6:$J$1048576,卸车数据!$R$6:$R$1048576,"&gt;="&amp;A18+TIME(15,0,0),卸车数据!$R$6:$R$1048576,"&lt;"&amp;A18+TIME(16,0,0))</f>
        <v>0</v>
      </c>
      <c r="F18" s="49">
        <v>4007</v>
      </c>
      <c r="G18" s="65">
        <v>8868</v>
      </c>
      <c r="H18" s="49">
        <v>1</v>
      </c>
      <c r="I18" s="49" t="s">
        <v>3335</v>
      </c>
      <c r="J18" s="49" t="s">
        <v>3336</v>
      </c>
      <c r="K18" s="50">
        <f t="shared" si="0"/>
        <v>12</v>
      </c>
      <c r="L18" s="50">
        <v>1</v>
      </c>
      <c r="M18" s="49">
        <v>5</v>
      </c>
      <c r="N18" s="49">
        <v>2</v>
      </c>
      <c r="O18" s="49"/>
      <c r="P18" s="49">
        <v>2</v>
      </c>
      <c r="Q18" s="49"/>
      <c r="R18" s="49">
        <v>2</v>
      </c>
      <c r="S18" s="49"/>
      <c r="T18" s="49"/>
      <c r="U18" s="49" t="s">
        <v>3337</v>
      </c>
      <c r="V18" s="49"/>
      <c r="W18" s="50">
        <f t="shared" si="1"/>
        <v>18</v>
      </c>
      <c r="X18" s="50">
        <v>1</v>
      </c>
      <c r="Y18" s="49">
        <v>10</v>
      </c>
      <c r="Z18" s="49">
        <v>5</v>
      </c>
      <c r="AA18" s="49"/>
      <c r="AB18" s="49"/>
      <c r="AC18" s="58">
        <v>2</v>
      </c>
      <c r="AD18" s="49"/>
      <c r="AE18" s="49" t="s">
        <v>3338</v>
      </c>
      <c r="AF18" s="49"/>
      <c r="AG18" s="50">
        <f t="shared" si="2"/>
        <v>18</v>
      </c>
      <c r="AH18" s="50">
        <v>1</v>
      </c>
      <c r="AI18" s="50">
        <v>1</v>
      </c>
      <c r="AJ18" s="50">
        <v>5</v>
      </c>
      <c r="AK18" s="50">
        <v>7</v>
      </c>
      <c r="AL18" s="50"/>
      <c r="AM18" s="50">
        <v>1</v>
      </c>
      <c r="AN18" s="50">
        <v>1</v>
      </c>
      <c r="AO18" s="66">
        <v>2</v>
      </c>
      <c r="AP18" s="49" t="s">
        <v>3325</v>
      </c>
      <c r="AQ18" s="49" t="s">
        <v>3326</v>
      </c>
      <c r="AR18" s="50">
        <f t="shared" si="3"/>
        <v>13</v>
      </c>
      <c r="AS18" s="50">
        <v>1</v>
      </c>
      <c r="AT18" s="50">
        <v>1</v>
      </c>
      <c r="AU18" s="50">
        <v>7</v>
      </c>
      <c r="AV18" s="50">
        <v>3</v>
      </c>
      <c r="AW18" s="50">
        <v>1</v>
      </c>
      <c r="AX18" s="50"/>
      <c r="AY18" s="49"/>
      <c r="AZ18" s="49"/>
      <c r="BA18" s="49"/>
      <c r="BB18" s="49"/>
      <c r="BC18" s="50">
        <f t="shared" si="4"/>
        <v>5</v>
      </c>
      <c r="BD18" s="50">
        <v>2</v>
      </c>
      <c r="BE18" s="49">
        <v>2</v>
      </c>
      <c r="BF18" s="49">
        <v>1</v>
      </c>
      <c r="BG18" s="53"/>
      <c r="BH18" s="53">
        <f t="shared" si="5"/>
        <v>66</v>
      </c>
      <c r="BI18" s="54"/>
      <c r="BJ18" s="54"/>
    </row>
    <row r="19" s="28" customFormat="1" customHeight="1" spans="1:62">
      <c r="A19" s="44">
        <f>'6'!A19+1</f>
        <v>46119</v>
      </c>
      <c r="B19" s="45" t="s">
        <v>3339</v>
      </c>
      <c r="C19" s="45" t="s">
        <v>3289</v>
      </c>
      <c r="D19" s="46" t="s">
        <v>22</v>
      </c>
      <c r="E19" s="47">
        <f>SUMIFS(卸车数据!$J$6:$J$1048576,卸车数据!$R$6:$R$1048576,"&gt;="&amp;A19+TIME(16,0,0),卸车数据!$R$6:$R$1048576,"&lt;"&amp;A19+TIME(17,0,0))</f>
        <v>2723</v>
      </c>
      <c r="F19" s="49">
        <v>4009</v>
      </c>
      <c r="G19" s="65">
        <v>11850</v>
      </c>
      <c r="H19" s="49">
        <v>1</v>
      </c>
      <c r="I19" s="49" t="s">
        <v>3335</v>
      </c>
      <c r="J19" s="49" t="s">
        <v>3336</v>
      </c>
      <c r="K19" s="50">
        <f t="shared" si="0"/>
        <v>12</v>
      </c>
      <c r="L19" s="50">
        <v>1</v>
      </c>
      <c r="M19" s="49">
        <v>5</v>
      </c>
      <c r="N19" s="49">
        <v>2</v>
      </c>
      <c r="O19" s="49"/>
      <c r="P19" s="49">
        <v>2</v>
      </c>
      <c r="Q19" s="49"/>
      <c r="R19" s="49">
        <v>2</v>
      </c>
      <c r="S19" s="49"/>
      <c r="T19" s="49"/>
      <c r="U19" s="49" t="s">
        <v>3340</v>
      </c>
      <c r="V19" s="49"/>
      <c r="W19" s="50">
        <f t="shared" si="1"/>
        <v>18</v>
      </c>
      <c r="X19" s="50">
        <v>1</v>
      </c>
      <c r="Y19" s="49">
        <v>10</v>
      </c>
      <c r="Z19" s="49">
        <v>5</v>
      </c>
      <c r="AA19" s="49"/>
      <c r="AB19" s="49"/>
      <c r="AC19" s="58">
        <v>2</v>
      </c>
      <c r="AD19" s="49"/>
      <c r="AE19" s="49" t="s">
        <v>3341</v>
      </c>
      <c r="AF19" s="49"/>
      <c r="AG19" s="50">
        <f t="shared" si="2"/>
        <v>18</v>
      </c>
      <c r="AH19" s="50">
        <v>1</v>
      </c>
      <c r="AI19" s="50">
        <v>1</v>
      </c>
      <c r="AJ19" s="50">
        <v>5</v>
      </c>
      <c r="AK19" s="50">
        <v>7</v>
      </c>
      <c r="AL19" s="50"/>
      <c r="AM19" s="50">
        <v>1</v>
      </c>
      <c r="AN19" s="50">
        <v>1</v>
      </c>
      <c r="AO19" s="66">
        <v>2</v>
      </c>
      <c r="AP19" s="49" t="s">
        <v>3342</v>
      </c>
      <c r="AQ19" s="49" t="s">
        <v>3343</v>
      </c>
      <c r="AR19" s="50">
        <f t="shared" si="3"/>
        <v>13</v>
      </c>
      <c r="AS19" s="50">
        <v>1</v>
      </c>
      <c r="AT19" s="50">
        <v>1</v>
      </c>
      <c r="AU19" s="50">
        <v>7</v>
      </c>
      <c r="AV19" s="50">
        <v>3</v>
      </c>
      <c r="AW19" s="50">
        <v>1</v>
      </c>
      <c r="AX19" s="50"/>
      <c r="AY19" s="49"/>
      <c r="AZ19" s="49"/>
      <c r="BA19" s="49"/>
      <c r="BB19" s="49"/>
      <c r="BC19" s="50">
        <f t="shared" si="4"/>
        <v>5</v>
      </c>
      <c r="BD19" s="50">
        <v>2</v>
      </c>
      <c r="BE19" s="49">
        <v>2</v>
      </c>
      <c r="BF19" s="49">
        <v>1</v>
      </c>
      <c r="BG19" s="53"/>
      <c r="BH19" s="53">
        <f t="shared" si="5"/>
        <v>66</v>
      </c>
      <c r="BI19" s="54"/>
      <c r="BJ19" s="54"/>
    </row>
    <row r="20" s="28" customFormat="1" customHeight="1" spans="1:62">
      <c r="A20" s="44">
        <f>'6'!A20+1</f>
        <v>46119</v>
      </c>
      <c r="B20" s="45" t="s">
        <v>3344</v>
      </c>
      <c r="C20" s="45" t="s">
        <v>3289</v>
      </c>
      <c r="D20" s="70" t="s">
        <v>3319</v>
      </c>
      <c r="E20" s="47">
        <f>SUMIFS(卸车数据!$J$6:$J$1048576,卸车数据!$R$6:$R$1048576,"&gt;="&amp;A20+TIME(17,0,0),卸车数据!$R$6:$R$1048576,"&lt;"&amp;A20+TIME(18,0,0))</f>
        <v>10800</v>
      </c>
      <c r="F20" s="49">
        <v>2183</v>
      </c>
      <c r="G20" s="65">
        <v>6215</v>
      </c>
      <c r="H20" s="49">
        <v>1</v>
      </c>
      <c r="I20" s="49" t="s">
        <v>3335</v>
      </c>
      <c r="J20" s="49" t="s">
        <v>3336</v>
      </c>
      <c r="K20" s="50">
        <f t="shared" si="0"/>
        <v>12</v>
      </c>
      <c r="L20" s="50">
        <v>1</v>
      </c>
      <c r="M20" s="49">
        <v>5</v>
      </c>
      <c r="N20" s="49">
        <v>2</v>
      </c>
      <c r="O20" s="49"/>
      <c r="P20" s="49">
        <v>2</v>
      </c>
      <c r="Q20" s="49"/>
      <c r="R20" s="49">
        <v>2</v>
      </c>
      <c r="S20" s="49"/>
      <c r="T20" s="49"/>
      <c r="U20" s="49" t="s">
        <v>3345</v>
      </c>
      <c r="V20" s="49"/>
      <c r="W20" s="50">
        <f t="shared" si="1"/>
        <v>18</v>
      </c>
      <c r="X20" s="50">
        <v>1</v>
      </c>
      <c r="Y20" s="49">
        <v>10</v>
      </c>
      <c r="Z20" s="49">
        <v>5</v>
      </c>
      <c r="AA20" s="49"/>
      <c r="AB20" s="49"/>
      <c r="AC20" s="58">
        <v>2</v>
      </c>
      <c r="AD20" s="49"/>
      <c r="AE20" s="49" t="s">
        <v>3346</v>
      </c>
      <c r="AF20" s="49"/>
      <c r="AG20" s="50">
        <f t="shared" si="2"/>
        <v>18</v>
      </c>
      <c r="AH20" s="50">
        <v>1</v>
      </c>
      <c r="AI20" s="50">
        <v>1</v>
      </c>
      <c r="AJ20" s="50">
        <v>5</v>
      </c>
      <c r="AK20" s="50">
        <v>7</v>
      </c>
      <c r="AL20" s="50"/>
      <c r="AM20" s="50">
        <v>1</v>
      </c>
      <c r="AN20" s="50">
        <v>1</v>
      </c>
      <c r="AO20" s="66">
        <v>2</v>
      </c>
      <c r="AP20" s="49" t="s">
        <v>3342</v>
      </c>
      <c r="AQ20" s="49" t="s">
        <v>3343</v>
      </c>
      <c r="AR20" s="50">
        <f t="shared" si="3"/>
        <v>13</v>
      </c>
      <c r="AS20" s="50">
        <v>1</v>
      </c>
      <c r="AT20" s="50">
        <v>1</v>
      </c>
      <c r="AU20" s="50">
        <v>7</v>
      </c>
      <c r="AV20" s="50">
        <v>3</v>
      </c>
      <c r="AW20" s="50">
        <v>1</v>
      </c>
      <c r="AX20" s="50"/>
      <c r="AY20" s="49"/>
      <c r="AZ20" s="49"/>
      <c r="BA20" s="49"/>
      <c r="BB20" s="49"/>
      <c r="BC20" s="50">
        <f t="shared" si="4"/>
        <v>5</v>
      </c>
      <c r="BD20" s="50">
        <v>2</v>
      </c>
      <c r="BE20" s="49">
        <v>2</v>
      </c>
      <c r="BF20" s="49">
        <v>1</v>
      </c>
      <c r="BG20" s="53"/>
      <c r="BH20" s="53">
        <f t="shared" si="5"/>
        <v>66</v>
      </c>
      <c r="BI20" s="54"/>
      <c r="BJ20" s="54"/>
    </row>
    <row r="21" s="29" customFormat="1" customHeight="1" spans="1:62">
      <c r="A21" s="44">
        <f>'6'!A21+1</f>
        <v>46119</v>
      </c>
      <c r="B21" s="55" t="s">
        <v>3347</v>
      </c>
      <c r="C21" s="55" t="s">
        <v>3265</v>
      </c>
      <c r="D21" s="70" t="s">
        <v>3319</v>
      </c>
      <c r="E21" s="47">
        <f>SUMIFS(卸车数据!$J$6:$J$1048576,卸车数据!$R$6:$R$1048576,"&gt;="&amp;A21+TIME(18,0,0),卸车数据!$R$6:$R$1048576,"&lt;"&amp;A21+TIME(19,0,0))</f>
        <v>9754</v>
      </c>
      <c r="F21" s="71">
        <v>4642</v>
      </c>
      <c r="G21" s="67">
        <v>2109</v>
      </c>
      <c r="H21" s="49">
        <v>1</v>
      </c>
      <c r="I21" s="51" t="s">
        <v>3348</v>
      </c>
      <c r="J21" s="51"/>
      <c r="K21" s="58">
        <f t="shared" si="0"/>
        <v>26</v>
      </c>
      <c r="L21" s="58">
        <v>1</v>
      </c>
      <c r="M21" s="51">
        <v>9</v>
      </c>
      <c r="N21" s="51">
        <v>3</v>
      </c>
      <c r="O21" s="51"/>
      <c r="P21" s="51">
        <v>6</v>
      </c>
      <c r="Q21" s="51">
        <v>5</v>
      </c>
      <c r="R21" s="51"/>
      <c r="S21" s="51"/>
      <c r="T21" s="66">
        <v>2</v>
      </c>
      <c r="U21" s="51" t="s">
        <v>3349</v>
      </c>
      <c r="V21" s="51"/>
      <c r="W21" s="58">
        <f t="shared" si="1"/>
        <v>15</v>
      </c>
      <c r="X21" s="58">
        <v>1</v>
      </c>
      <c r="Y21" s="51">
        <v>6</v>
      </c>
      <c r="Z21" s="51">
        <v>5</v>
      </c>
      <c r="AA21" s="51">
        <v>1</v>
      </c>
      <c r="AB21" s="51"/>
      <c r="AC21" s="51">
        <v>2</v>
      </c>
      <c r="AD21" s="51"/>
      <c r="AE21" s="51"/>
      <c r="AF21" s="51"/>
      <c r="AG21" s="58">
        <f t="shared" si="2"/>
        <v>39</v>
      </c>
      <c r="AH21" s="58">
        <v>1</v>
      </c>
      <c r="AI21" s="58">
        <v>5</v>
      </c>
      <c r="AJ21" s="51">
        <v>8</v>
      </c>
      <c r="AK21" s="51">
        <v>13</v>
      </c>
      <c r="AL21" s="51"/>
      <c r="AM21" s="51">
        <v>1</v>
      </c>
      <c r="AN21" s="51">
        <v>1</v>
      </c>
      <c r="AO21" s="66">
        <v>10</v>
      </c>
      <c r="AP21" s="51"/>
      <c r="AQ21" s="51" t="s">
        <v>3350</v>
      </c>
      <c r="AR21" s="58">
        <f t="shared" si="3"/>
        <v>16</v>
      </c>
      <c r="AS21" s="58">
        <v>1</v>
      </c>
      <c r="AT21" s="58">
        <v>1</v>
      </c>
      <c r="AU21" s="51">
        <v>8</v>
      </c>
      <c r="AV21" s="51">
        <v>5</v>
      </c>
      <c r="AW21" s="58"/>
      <c r="AX21" s="58">
        <v>1</v>
      </c>
      <c r="AY21" s="51"/>
      <c r="AZ21" s="51"/>
      <c r="BA21" s="52">
        <v>4</v>
      </c>
      <c r="BB21" s="51"/>
      <c r="BC21" s="50">
        <f t="shared" si="4"/>
        <v>4</v>
      </c>
      <c r="BD21" s="58">
        <v>3</v>
      </c>
      <c r="BE21" s="51"/>
      <c r="BF21" s="49">
        <v>1</v>
      </c>
      <c r="BG21" s="69"/>
      <c r="BH21" s="53">
        <f t="shared" si="5"/>
        <v>104</v>
      </c>
      <c r="BI21" s="61" t="s">
        <v>3265</v>
      </c>
      <c r="BJ21" s="61">
        <v>104</v>
      </c>
    </row>
    <row r="22" s="28" customFormat="1" customHeight="1" spans="1:62">
      <c r="A22" s="44">
        <f>'6'!A22+1</f>
        <v>46119</v>
      </c>
      <c r="B22" s="45" t="s">
        <v>3351</v>
      </c>
      <c r="C22" s="45" t="s">
        <v>3265</v>
      </c>
      <c r="D22" s="70" t="s">
        <v>3319</v>
      </c>
      <c r="E22" s="47">
        <f>SUMIFS(卸车数据!$J$6:$J$1048576,卸车数据!$R$6:$R$1048576,"&gt;="&amp;A22+TIME(19,0,0),卸车数据!$R$6:$R$1048576,"&lt;"&amp;A22+TIME(20,0,0))</f>
        <v>37653</v>
      </c>
      <c r="F22" s="71">
        <v>5593</v>
      </c>
      <c r="G22" s="65">
        <v>13903</v>
      </c>
      <c r="H22" s="49">
        <v>1</v>
      </c>
      <c r="I22" s="49"/>
      <c r="J22" s="49"/>
      <c r="K22" s="50">
        <f t="shared" si="0"/>
        <v>25</v>
      </c>
      <c r="L22" s="50">
        <v>1</v>
      </c>
      <c r="M22" s="49">
        <v>9</v>
      </c>
      <c r="N22" s="49">
        <v>3</v>
      </c>
      <c r="O22" s="49">
        <v>1</v>
      </c>
      <c r="P22" s="49">
        <v>6</v>
      </c>
      <c r="Q22" s="49">
        <v>5</v>
      </c>
      <c r="R22" s="49"/>
      <c r="S22" s="49"/>
      <c r="T22" s="49"/>
      <c r="U22" s="49"/>
      <c r="V22" s="49"/>
      <c r="W22" s="50">
        <f t="shared" si="1"/>
        <v>25</v>
      </c>
      <c r="X22" s="50">
        <v>1</v>
      </c>
      <c r="Y22" s="49">
        <v>12</v>
      </c>
      <c r="Z22" s="49">
        <v>9</v>
      </c>
      <c r="AA22" s="49">
        <v>1</v>
      </c>
      <c r="AB22" s="49"/>
      <c r="AC22" s="49">
        <v>2</v>
      </c>
      <c r="AD22" s="49"/>
      <c r="AE22" s="49"/>
      <c r="AF22" s="49"/>
      <c r="AG22" s="50">
        <f t="shared" si="2"/>
        <v>29</v>
      </c>
      <c r="AH22" s="50">
        <v>1</v>
      </c>
      <c r="AI22" s="58">
        <v>5</v>
      </c>
      <c r="AJ22" s="49">
        <v>8</v>
      </c>
      <c r="AK22" s="49">
        <v>13</v>
      </c>
      <c r="AL22" s="49"/>
      <c r="AM22" s="49">
        <v>1</v>
      </c>
      <c r="AN22" s="49">
        <v>1</v>
      </c>
      <c r="AO22" s="49"/>
      <c r="AP22" s="49"/>
      <c r="AQ22" s="49"/>
      <c r="AR22" s="50">
        <f t="shared" si="3"/>
        <v>17</v>
      </c>
      <c r="AS22" s="50">
        <v>1</v>
      </c>
      <c r="AT22" s="50">
        <v>2</v>
      </c>
      <c r="AU22" s="49">
        <v>8</v>
      </c>
      <c r="AV22" s="49">
        <v>5</v>
      </c>
      <c r="AW22" s="50"/>
      <c r="AX22" s="50">
        <v>1</v>
      </c>
      <c r="AY22" s="49"/>
      <c r="AZ22" s="49"/>
      <c r="BA22" s="52">
        <v>4</v>
      </c>
      <c r="BB22" s="49"/>
      <c r="BC22" s="50">
        <f t="shared" si="4"/>
        <v>4</v>
      </c>
      <c r="BD22" s="58">
        <v>3</v>
      </c>
      <c r="BE22" s="49"/>
      <c r="BF22" s="49">
        <v>1</v>
      </c>
      <c r="BG22" s="53"/>
      <c r="BH22" s="53">
        <f t="shared" si="5"/>
        <v>104</v>
      </c>
      <c r="BI22" s="54"/>
      <c r="BJ22" s="54"/>
    </row>
    <row r="23" s="26" customFormat="1" customHeight="1" spans="1:62">
      <c r="A23" s="44">
        <f>'6'!A23+1</f>
        <v>46119</v>
      </c>
      <c r="B23" s="45" t="s">
        <v>3352</v>
      </c>
      <c r="C23" s="45" t="s">
        <v>3265</v>
      </c>
      <c r="D23" s="70" t="s">
        <v>3319</v>
      </c>
      <c r="E23" s="47">
        <f>SUMIFS(卸车数据!$J$6:$J$1048576,卸车数据!$R$6:$R$1048576,"&gt;="&amp;A23+TIME(20,0,0),卸车数据!$R$6:$R$1048576,"&lt;"&amp;A23+TIME(21,0,0))</f>
        <v>17680</v>
      </c>
      <c r="F23" s="71">
        <v>6347</v>
      </c>
      <c r="G23" s="48">
        <v>15001</v>
      </c>
      <c r="H23" s="49">
        <v>1</v>
      </c>
      <c r="I23" s="64" t="s">
        <v>3353</v>
      </c>
      <c r="J23" s="49"/>
      <c r="K23" s="50">
        <f t="shared" si="0"/>
        <v>25</v>
      </c>
      <c r="L23" s="50">
        <v>1</v>
      </c>
      <c r="M23" s="49">
        <v>9</v>
      </c>
      <c r="N23" s="49">
        <v>3</v>
      </c>
      <c r="O23" s="49">
        <v>1</v>
      </c>
      <c r="P23" s="49">
        <v>6</v>
      </c>
      <c r="Q23" s="49">
        <v>5</v>
      </c>
      <c r="R23" s="49"/>
      <c r="S23" s="49"/>
      <c r="T23" s="49"/>
      <c r="U23" s="49"/>
      <c r="V23" s="49"/>
      <c r="W23" s="50">
        <f t="shared" si="1"/>
        <v>25</v>
      </c>
      <c r="X23" s="50">
        <v>1</v>
      </c>
      <c r="Y23" s="49">
        <v>12</v>
      </c>
      <c r="Z23" s="49">
        <v>9</v>
      </c>
      <c r="AA23" s="49">
        <v>1</v>
      </c>
      <c r="AB23" s="49"/>
      <c r="AC23" s="49">
        <v>2</v>
      </c>
      <c r="AD23" s="49"/>
      <c r="AE23" s="49"/>
      <c r="AF23" s="49"/>
      <c r="AG23" s="50">
        <f t="shared" si="2"/>
        <v>29</v>
      </c>
      <c r="AH23" s="50">
        <v>1</v>
      </c>
      <c r="AI23" s="58">
        <v>5</v>
      </c>
      <c r="AJ23" s="49">
        <v>8</v>
      </c>
      <c r="AK23" s="49">
        <v>13</v>
      </c>
      <c r="AL23" s="49"/>
      <c r="AM23" s="49">
        <v>1</v>
      </c>
      <c r="AN23" s="49">
        <v>1</v>
      </c>
      <c r="AO23" s="49"/>
      <c r="AP23" s="49"/>
      <c r="AQ23" s="49"/>
      <c r="AR23" s="50">
        <f t="shared" si="3"/>
        <v>17</v>
      </c>
      <c r="AS23" s="50">
        <v>1</v>
      </c>
      <c r="AT23" s="50">
        <v>2</v>
      </c>
      <c r="AU23" s="49">
        <v>8</v>
      </c>
      <c r="AV23" s="49">
        <v>5</v>
      </c>
      <c r="AW23" s="50"/>
      <c r="AX23" s="50">
        <v>1</v>
      </c>
      <c r="AY23" s="49"/>
      <c r="AZ23" s="49"/>
      <c r="BA23" s="52">
        <v>4</v>
      </c>
      <c r="BB23" s="49"/>
      <c r="BC23" s="50">
        <f t="shared" si="4"/>
        <v>4</v>
      </c>
      <c r="BD23" s="58">
        <v>3</v>
      </c>
      <c r="BE23" s="49"/>
      <c r="BF23" s="49">
        <v>1</v>
      </c>
      <c r="BG23" s="53"/>
      <c r="BH23" s="53">
        <f t="shared" si="5"/>
        <v>104</v>
      </c>
      <c r="BI23" s="54"/>
      <c r="BJ23" s="54"/>
    </row>
    <row r="24" s="26" customFormat="1" customHeight="1" spans="1:62">
      <c r="A24" s="44">
        <f>'6'!A24+1</f>
        <v>46119</v>
      </c>
      <c r="B24" s="45" t="s">
        <v>3354</v>
      </c>
      <c r="C24" s="45" t="s">
        <v>3265</v>
      </c>
      <c r="D24" s="70" t="s">
        <v>3319</v>
      </c>
      <c r="E24" s="47">
        <f>SUMIFS(卸车数据!$J$6:$J$1048576,卸车数据!$R$6:$R$1048576,"&gt;="&amp;A24+TIME(21,0,0),卸车数据!$R$6:$R$1048576,"&lt;"&amp;A24+TIME(22,0,0))</f>
        <v>2</v>
      </c>
      <c r="F24" s="71">
        <v>5273</v>
      </c>
      <c r="G24" s="48">
        <v>14724</v>
      </c>
      <c r="H24" s="49">
        <v>1</v>
      </c>
      <c r="I24" s="49"/>
      <c r="J24" s="49"/>
      <c r="K24" s="50">
        <f t="shared" si="0"/>
        <v>25</v>
      </c>
      <c r="L24" s="50">
        <v>1</v>
      </c>
      <c r="M24" s="49">
        <v>9</v>
      </c>
      <c r="N24" s="49">
        <v>3</v>
      </c>
      <c r="O24" s="49">
        <v>1</v>
      </c>
      <c r="P24" s="49">
        <v>6</v>
      </c>
      <c r="Q24" s="49">
        <v>5</v>
      </c>
      <c r="R24" s="49"/>
      <c r="S24" s="49"/>
      <c r="T24" s="49"/>
      <c r="U24" s="49"/>
      <c r="V24" s="49"/>
      <c r="W24" s="50">
        <f t="shared" si="1"/>
        <v>25</v>
      </c>
      <c r="X24" s="50">
        <v>1</v>
      </c>
      <c r="Y24" s="49">
        <v>12</v>
      </c>
      <c r="Z24" s="49">
        <v>9</v>
      </c>
      <c r="AA24" s="49">
        <v>1</v>
      </c>
      <c r="AB24" s="49"/>
      <c r="AC24" s="49">
        <v>2</v>
      </c>
      <c r="AD24" s="49"/>
      <c r="AE24" s="49"/>
      <c r="AF24" s="49"/>
      <c r="AG24" s="50">
        <f t="shared" si="2"/>
        <v>29</v>
      </c>
      <c r="AH24" s="50">
        <v>1</v>
      </c>
      <c r="AI24" s="58">
        <v>5</v>
      </c>
      <c r="AJ24" s="49">
        <v>8</v>
      </c>
      <c r="AK24" s="49">
        <v>13</v>
      </c>
      <c r="AL24" s="49"/>
      <c r="AM24" s="49">
        <v>1</v>
      </c>
      <c r="AN24" s="49">
        <v>1</v>
      </c>
      <c r="AO24" s="49"/>
      <c r="AP24" s="49"/>
      <c r="AQ24" s="49"/>
      <c r="AR24" s="50">
        <f t="shared" si="3"/>
        <v>17</v>
      </c>
      <c r="AS24" s="50">
        <v>1</v>
      </c>
      <c r="AT24" s="50">
        <v>2</v>
      </c>
      <c r="AU24" s="49">
        <v>8</v>
      </c>
      <c r="AV24" s="49">
        <v>5</v>
      </c>
      <c r="AW24" s="50"/>
      <c r="AX24" s="50">
        <v>1</v>
      </c>
      <c r="AY24" s="49"/>
      <c r="AZ24" s="49"/>
      <c r="BA24" s="52">
        <v>4</v>
      </c>
      <c r="BB24" s="50"/>
      <c r="BC24" s="50">
        <f t="shared" si="4"/>
        <v>4</v>
      </c>
      <c r="BD24" s="58">
        <v>3</v>
      </c>
      <c r="BE24" s="49"/>
      <c r="BF24" s="49">
        <v>1</v>
      </c>
      <c r="BG24" s="53"/>
      <c r="BH24" s="53">
        <f t="shared" si="5"/>
        <v>104</v>
      </c>
      <c r="BI24" s="54"/>
      <c r="BJ24" s="54"/>
    </row>
    <row r="25" s="26" customFormat="1" customHeight="1" spans="1:62">
      <c r="A25" s="44">
        <f>'6'!A25+1</f>
        <v>46119</v>
      </c>
      <c r="B25" s="45" t="s">
        <v>3355</v>
      </c>
      <c r="C25" s="45" t="s">
        <v>3265</v>
      </c>
      <c r="D25" s="70" t="s">
        <v>3319</v>
      </c>
      <c r="E25" s="47">
        <f>SUMIFS(卸车数据!$J$6:$J$1048576,卸车数据!$R$6:$R$1048576,"&gt;="&amp;A25+TIME(22,0,0),卸车数据!$R$6:$R$1048576,"&lt;"&amp;A25+TIME(23,0,0))</f>
        <v>5558</v>
      </c>
      <c r="F25" s="71">
        <v>2272</v>
      </c>
      <c r="G25" s="48">
        <v>11440</v>
      </c>
      <c r="H25" s="49">
        <v>1</v>
      </c>
      <c r="I25" s="64" t="s">
        <v>3356</v>
      </c>
      <c r="J25" s="49"/>
      <c r="K25" s="50">
        <f t="shared" si="0"/>
        <v>25</v>
      </c>
      <c r="L25" s="50">
        <v>1</v>
      </c>
      <c r="M25" s="49">
        <v>9</v>
      </c>
      <c r="N25" s="49">
        <v>3</v>
      </c>
      <c r="O25" s="49">
        <v>1</v>
      </c>
      <c r="P25" s="49">
        <v>6</v>
      </c>
      <c r="Q25" s="49">
        <v>5</v>
      </c>
      <c r="R25" s="49"/>
      <c r="S25" s="49"/>
      <c r="T25" s="49"/>
      <c r="U25" s="49"/>
      <c r="V25" s="49"/>
      <c r="W25" s="50">
        <f t="shared" si="1"/>
        <v>25</v>
      </c>
      <c r="X25" s="50">
        <v>1</v>
      </c>
      <c r="Y25" s="49">
        <v>12</v>
      </c>
      <c r="Z25" s="49">
        <v>9</v>
      </c>
      <c r="AA25" s="49">
        <v>1</v>
      </c>
      <c r="AB25" s="49"/>
      <c r="AC25" s="49">
        <v>2</v>
      </c>
      <c r="AD25" s="49"/>
      <c r="AE25" s="49"/>
      <c r="AF25" s="49"/>
      <c r="AG25" s="50">
        <f t="shared" si="2"/>
        <v>29</v>
      </c>
      <c r="AH25" s="50">
        <v>1</v>
      </c>
      <c r="AI25" s="58">
        <v>5</v>
      </c>
      <c r="AJ25" s="49">
        <v>8</v>
      </c>
      <c r="AK25" s="49">
        <v>13</v>
      </c>
      <c r="AL25" s="49"/>
      <c r="AM25" s="49">
        <v>1</v>
      </c>
      <c r="AN25" s="49">
        <v>1</v>
      </c>
      <c r="AO25" s="49"/>
      <c r="AP25" s="49"/>
      <c r="AQ25" s="49"/>
      <c r="AR25" s="50">
        <f t="shared" si="3"/>
        <v>17</v>
      </c>
      <c r="AS25" s="50">
        <v>1</v>
      </c>
      <c r="AT25" s="50">
        <v>2</v>
      </c>
      <c r="AU25" s="49">
        <v>8</v>
      </c>
      <c r="AV25" s="49">
        <v>5</v>
      </c>
      <c r="AW25" s="50"/>
      <c r="AX25" s="50">
        <v>1</v>
      </c>
      <c r="AY25" s="49"/>
      <c r="AZ25" s="49"/>
      <c r="BA25" s="52">
        <v>4</v>
      </c>
      <c r="BB25" s="50"/>
      <c r="BC25" s="50">
        <f t="shared" si="4"/>
        <v>4</v>
      </c>
      <c r="BD25" s="58">
        <v>3</v>
      </c>
      <c r="BE25" s="49"/>
      <c r="BF25" s="49">
        <v>1</v>
      </c>
      <c r="BG25" s="53"/>
      <c r="BH25" s="53">
        <f t="shared" si="5"/>
        <v>104</v>
      </c>
      <c r="BI25" s="54"/>
      <c r="BJ25" s="54"/>
    </row>
    <row r="26" s="27" customFormat="1" customHeight="1" spans="1:62">
      <c r="A26" s="44">
        <f>'6'!A26+1</f>
        <v>46119</v>
      </c>
      <c r="B26" s="55" t="s">
        <v>3357</v>
      </c>
      <c r="C26" s="55" t="s">
        <v>3265</v>
      </c>
      <c r="D26" s="72" t="s">
        <v>3311</v>
      </c>
      <c r="E26" s="47">
        <f>SUMIFS(卸车数据!$J$6:$J$1048576,卸车数据!$R$6:$R$1048576,"&gt;="&amp;A26+TIME(23,0,0),卸车数据!$R$6:$R$1048576,"&lt;"&amp;A26+TIME(0,0,0))</f>
        <v>0</v>
      </c>
      <c r="F26" s="73">
        <v>3544</v>
      </c>
      <c r="G26" s="57">
        <v>6535</v>
      </c>
      <c r="H26" s="51">
        <v>1</v>
      </c>
      <c r="I26" s="51" t="s">
        <v>3358</v>
      </c>
      <c r="J26" s="51"/>
      <c r="K26" s="58">
        <f t="shared" si="0"/>
        <v>25</v>
      </c>
      <c r="L26" s="58">
        <v>1</v>
      </c>
      <c r="M26" s="51">
        <v>10</v>
      </c>
      <c r="N26" s="51">
        <v>4</v>
      </c>
      <c r="O26" s="51"/>
      <c r="P26" s="51">
        <v>3</v>
      </c>
      <c r="Q26" s="51">
        <v>5</v>
      </c>
      <c r="R26" s="51">
        <v>2</v>
      </c>
      <c r="S26" s="51"/>
      <c r="T26" s="51"/>
      <c r="U26" s="51" t="s">
        <v>3359</v>
      </c>
      <c r="V26" s="51"/>
      <c r="W26" s="58">
        <f t="shared" si="1"/>
        <v>25</v>
      </c>
      <c r="X26" s="58">
        <v>1</v>
      </c>
      <c r="Y26" s="51">
        <v>12</v>
      </c>
      <c r="Z26" s="51">
        <v>9</v>
      </c>
      <c r="AA26" s="51">
        <v>1</v>
      </c>
      <c r="AB26" s="51"/>
      <c r="AC26" s="51">
        <v>2</v>
      </c>
      <c r="AD26" s="51"/>
      <c r="AE26" s="51" t="s">
        <v>3360</v>
      </c>
      <c r="AF26" s="51"/>
      <c r="AG26" s="58">
        <f t="shared" si="2"/>
        <v>29</v>
      </c>
      <c r="AH26" s="58">
        <v>1</v>
      </c>
      <c r="AI26" s="58">
        <v>5</v>
      </c>
      <c r="AJ26" s="58">
        <v>8</v>
      </c>
      <c r="AK26" s="51">
        <v>13</v>
      </c>
      <c r="AL26" s="51"/>
      <c r="AM26" s="51">
        <v>1</v>
      </c>
      <c r="AN26" s="51">
        <v>1</v>
      </c>
      <c r="AO26" s="51"/>
      <c r="AP26" s="51"/>
      <c r="AQ26" s="51"/>
      <c r="AR26" s="58">
        <f t="shared" si="3"/>
        <v>17</v>
      </c>
      <c r="AS26" s="58">
        <v>1</v>
      </c>
      <c r="AT26" s="50">
        <v>2</v>
      </c>
      <c r="AU26" s="51">
        <v>7</v>
      </c>
      <c r="AV26" s="51">
        <v>5</v>
      </c>
      <c r="AW26" s="58"/>
      <c r="AX26" s="58">
        <v>1</v>
      </c>
      <c r="AY26" s="51">
        <v>1</v>
      </c>
      <c r="AZ26" s="51"/>
      <c r="BA26" s="52">
        <v>4</v>
      </c>
      <c r="BB26" s="58"/>
      <c r="BC26" s="50">
        <f t="shared" si="4"/>
        <v>4</v>
      </c>
      <c r="BD26" s="58">
        <v>3</v>
      </c>
      <c r="BE26" s="51"/>
      <c r="BF26" s="49">
        <v>1</v>
      </c>
      <c r="BG26" s="69"/>
      <c r="BH26" s="53">
        <f t="shared" si="5"/>
        <v>104</v>
      </c>
      <c r="BI26" s="61">
        <v>8</v>
      </c>
      <c r="BJ26" s="61" t="s">
        <v>3361</v>
      </c>
    </row>
    <row r="27" s="30" customFormat="1" customHeight="1" spans="1:62">
      <c r="B27" s="74" t="s">
        <v>3362</v>
      </c>
      <c r="C27" s="74"/>
      <c r="D27" s="74"/>
      <c r="E27" s="74"/>
      <c r="F27" s="75"/>
      <c r="G27" s="75"/>
      <c r="H27" s="74"/>
      <c r="P27" s="76"/>
      <c r="Q27" s="76"/>
      <c r="V27" s="77"/>
      <c r="W27" s="77"/>
      <c r="BH27" s="31"/>
    </row>
    <row r="28" s="30" customFormat="1" customHeight="1" spans="1:62">
      <c r="B28" s="78" t="s">
        <v>3363</v>
      </c>
      <c r="C28" s="79"/>
      <c r="D28" s="79"/>
      <c r="E28" s="79"/>
      <c r="F28" s="79"/>
      <c r="G28" s="79"/>
      <c r="H28" s="80"/>
      <c r="I28" s="80"/>
      <c r="J28" s="80"/>
      <c r="K28" s="80"/>
      <c r="L28" s="80"/>
      <c r="M28" s="79"/>
      <c r="N28" s="81" t="s">
        <v>3364</v>
      </c>
      <c r="O28" s="81"/>
      <c r="Q28" s="79" t="s">
        <v>3365</v>
      </c>
      <c r="R28" s="79"/>
      <c r="BC28" s="31"/>
    </row>
    <row r="29" s="30" customFormat="1" customHeight="1" spans="1:62">
      <c r="B29" s="31" t="s">
        <v>3366</v>
      </c>
      <c r="C29" s="31"/>
      <c r="D29" s="82" t="s">
        <v>3367</v>
      </c>
      <c r="E29" s="83"/>
      <c r="F29" s="83"/>
      <c r="G29" s="83"/>
      <c r="H29" s="84"/>
      <c r="I29" s="85" t="s">
        <v>3368</v>
      </c>
      <c r="J29" s="86"/>
      <c r="K29" s="86"/>
      <c r="L29" s="86"/>
      <c r="M29" s="86"/>
      <c r="N29" s="86"/>
      <c r="O29" s="87"/>
      <c r="Q29" s="79"/>
      <c r="R29" s="79"/>
      <c r="BC29" s="31"/>
      <c r="BD29" s="88"/>
    </row>
    <row r="30" s="28" customFormat="1" customHeight="1" spans="1:62">
      <c r="K30" s="89"/>
      <c r="L30" s="89"/>
      <c r="Q30" s="79"/>
      <c r="R30" s="79"/>
      <c r="BC30" s="90"/>
      <c r="BD30" s="91"/>
    </row>
    <row r="31" s="31" customFormat="1" customHeight="1" spans="1:62">
      <c r="B31" s="31" t="s">
        <v>3369</v>
      </c>
      <c r="D31" s="92" t="s">
        <v>3370</v>
      </c>
      <c r="E31" s="93"/>
      <c r="F31" s="94"/>
      <c r="G31" s="94"/>
      <c r="H31" s="94"/>
      <c r="I31" s="95">
        <v>1800</v>
      </c>
      <c r="J31" s="94"/>
      <c r="K31" s="96"/>
      <c r="L31" s="97">
        <v>2330</v>
      </c>
      <c r="M31" s="94"/>
      <c r="N31" s="94"/>
      <c r="O31" s="98" t="s">
        <v>3370</v>
      </c>
      <c r="Q31" s="79"/>
      <c r="R31" s="79"/>
    </row>
  </sheetData>
  <mergeCells count="24">
    <mergeCell ref="I1:T1"/>
    <mergeCell ref="U1:AD1"/>
    <mergeCell ref="AF1:AO1"/>
    <mergeCell ref="AP1:AZ1"/>
    <mergeCell ref="BB1:BG1"/>
    <mergeCell ref="BI6:BJ6"/>
    <mergeCell ref="B27:H27"/>
    <mergeCell ref="V27:W27"/>
    <mergeCell ref="H28:L28"/>
    <mergeCell ref="N28:O28"/>
    <mergeCell ref="D29:H29"/>
    <mergeCell ref="I29:O29"/>
    <mergeCell ref="A1:A2"/>
    <mergeCell ref="B1:B2"/>
    <mergeCell ref="C1:C2"/>
    <mergeCell ref="D1:D2"/>
    <mergeCell ref="E1:E2"/>
    <mergeCell ref="F1:F2"/>
    <mergeCell ref="G1:G2"/>
    <mergeCell ref="H1:H2"/>
    <mergeCell ref="BA1:BA2"/>
    <mergeCell ref="BH1:BH2"/>
    <mergeCell ref="BI1:BJ2"/>
    <mergeCell ref="Q28:R31"/>
  </mergeCells>
  <pageMargins left="0.75" right="0.75" top="1" bottom="1" header="0.5" footer="0.5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J31"/>
  <sheetViews>
    <sheetView topLeftCell="AP18" workbookViewId="0">
      <selection activeCell="Z14" sqref="Z14"/>
    </sheetView>
  </sheetViews>
  <sheetFormatPr defaultColWidth="9.55555555555556" defaultRowHeight="40.2" customHeight="1"/>
  <cols>
    <col min="1" max="1" width="9.55555555555556" style="30"/>
    <col min="2" max="2" width="22.1111111111111" style="30" customWidth="1"/>
    <col min="3" max="7" width="9.55555555555556" style="30" customWidth="1"/>
    <col min="8" max="59" width="9" style="30" customWidth="1"/>
    <col min="60" max="60" width="9" style="31" customWidth="1"/>
    <col min="61" max="61" width="11.6666666666667" style="30" customWidth="1"/>
    <col min="62" max="16384" width="9.55555555555556" style="30"/>
  </cols>
  <sheetData>
    <row r="1" s="25" customFormat="1" customHeight="1" spans="1:62">
      <c r="A1" s="32" t="s">
        <v>3222</v>
      </c>
      <c r="B1" s="32" t="s">
        <v>3223</v>
      </c>
      <c r="C1" s="33" t="s">
        <v>3224</v>
      </c>
      <c r="D1" s="33" t="s">
        <v>3225</v>
      </c>
      <c r="E1" s="33" t="s">
        <v>3226</v>
      </c>
      <c r="F1" s="32" t="s">
        <v>3227</v>
      </c>
      <c r="G1" s="32" t="s">
        <v>3228</v>
      </c>
      <c r="H1" s="32" t="s">
        <v>3229</v>
      </c>
      <c r="I1" s="34" t="s">
        <v>3230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6"/>
      <c r="U1" s="32" t="s">
        <v>3231</v>
      </c>
      <c r="V1" s="32"/>
      <c r="W1" s="32"/>
      <c r="X1" s="32"/>
      <c r="Y1" s="32"/>
      <c r="Z1" s="32"/>
      <c r="AA1" s="32"/>
      <c r="AB1" s="32"/>
      <c r="AC1" s="32"/>
      <c r="AD1" s="32"/>
      <c r="AE1" s="35"/>
      <c r="AF1" s="35" t="s">
        <v>3232</v>
      </c>
      <c r="AG1" s="35"/>
      <c r="AH1" s="35"/>
      <c r="AI1" s="35"/>
      <c r="AJ1" s="35"/>
      <c r="AK1" s="35"/>
      <c r="AL1" s="35"/>
      <c r="AM1" s="35"/>
      <c r="AN1" s="35"/>
      <c r="AO1" s="36"/>
      <c r="AP1" s="34" t="s">
        <v>3233</v>
      </c>
      <c r="AQ1" s="35"/>
      <c r="AR1" s="35"/>
      <c r="AS1" s="35"/>
      <c r="AT1" s="35"/>
      <c r="AU1" s="35"/>
      <c r="AV1" s="35"/>
      <c r="AW1" s="35"/>
      <c r="AX1" s="35"/>
      <c r="AY1" s="35"/>
      <c r="AZ1" s="36"/>
      <c r="BA1" s="32" t="s">
        <v>3234</v>
      </c>
      <c r="BB1" s="34" t="s">
        <v>3235</v>
      </c>
      <c r="BC1" s="35"/>
      <c r="BD1" s="35"/>
      <c r="BE1" s="35"/>
      <c r="BF1" s="35"/>
      <c r="BG1" s="36"/>
      <c r="BH1" s="37" t="s">
        <v>1121</v>
      </c>
      <c r="BI1" s="38" t="s">
        <v>3371</v>
      </c>
      <c r="BJ1" s="39"/>
    </row>
    <row r="2" s="25" customFormat="1" ht="63" customHeight="1" spans="1:62">
      <c r="A2" s="32"/>
      <c r="B2" s="32"/>
      <c r="C2" s="40"/>
      <c r="D2" s="40"/>
      <c r="E2" s="40"/>
      <c r="F2" s="41"/>
      <c r="G2" s="41"/>
      <c r="H2" s="32"/>
      <c r="I2" s="42" t="s">
        <v>3237</v>
      </c>
      <c r="J2" s="42" t="s">
        <v>3238</v>
      </c>
      <c r="K2" s="32" t="s">
        <v>1143</v>
      </c>
      <c r="L2" s="32" t="s">
        <v>3239</v>
      </c>
      <c r="M2" s="32" t="s">
        <v>3240</v>
      </c>
      <c r="N2" s="32" t="s">
        <v>3241</v>
      </c>
      <c r="O2" s="32" t="s">
        <v>3242</v>
      </c>
      <c r="P2" s="32" t="s">
        <v>3243</v>
      </c>
      <c r="Q2" s="32" t="s">
        <v>3244</v>
      </c>
      <c r="R2" s="32" t="s">
        <v>3245</v>
      </c>
      <c r="S2" s="32" t="s">
        <v>3246</v>
      </c>
      <c r="T2" s="43" t="s">
        <v>3247</v>
      </c>
      <c r="U2" s="42" t="s">
        <v>3237</v>
      </c>
      <c r="V2" s="42" t="s">
        <v>3238</v>
      </c>
      <c r="W2" s="32" t="s">
        <v>1143</v>
      </c>
      <c r="X2" s="32" t="s">
        <v>3239</v>
      </c>
      <c r="Y2" s="32" t="s">
        <v>3248</v>
      </c>
      <c r="Z2" s="32" t="s">
        <v>3249</v>
      </c>
      <c r="AA2" s="32" t="s">
        <v>3250</v>
      </c>
      <c r="AB2" s="32" t="s">
        <v>3251</v>
      </c>
      <c r="AC2" s="32" t="s">
        <v>3252</v>
      </c>
      <c r="AD2" s="43" t="s">
        <v>3247</v>
      </c>
      <c r="AE2" s="42" t="s">
        <v>3237</v>
      </c>
      <c r="AF2" s="42" t="s">
        <v>3238</v>
      </c>
      <c r="AG2" s="32" t="s">
        <v>1143</v>
      </c>
      <c r="AH2" s="32" t="s">
        <v>3239</v>
      </c>
      <c r="AI2" s="32" t="s">
        <v>3253</v>
      </c>
      <c r="AJ2" s="32" t="s">
        <v>3254</v>
      </c>
      <c r="AK2" s="32" t="s">
        <v>3255</v>
      </c>
      <c r="AL2" s="32" t="s">
        <v>3256</v>
      </c>
      <c r="AM2" s="32" t="s">
        <v>3257</v>
      </c>
      <c r="AN2" s="32" t="s">
        <v>3258</v>
      </c>
      <c r="AO2" s="43" t="s">
        <v>3247</v>
      </c>
      <c r="AP2" s="42" t="s">
        <v>3237</v>
      </c>
      <c r="AQ2" s="42" t="s">
        <v>3238</v>
      </c>
      <c r="AR2" s="32" t="s">
        <v>1143</v>
      </c>
      <c r="AS2" s="32" t="s">
        <v>3239</v>
      </c>
      <c r="AT2" s="32" t="s">
        <v>3253</v>
      </c>
      <c r="AU2" s="32" t="s">
        <v>3254</v>
      </c>
      <c r="AV2" s="32" t="s">
        <v>3255</v>
      </c>
      <c r="AW2" s="32" t="s">
        <v>3256</v>
      </c>
      <c r="AX2" s="32" t="s">
        <v>3257</v>
      </c>
      <c r="AY2" s="32" t="s">
        <v>3258</v>
      </c>
      <c r="AZ2" s="43" t="s">
        <v>3247</v>
      </c>
      <c r="BA2" s="32"/>
      <c r="BB2" s="32" t="s">
        <v>3259</v>
      </c>
      <c r="BC2" s="32" t="s">
        <v>1143</v>
      </c>
      <c r="BD2" s="32" t="s">
        <v>3260</v>
      </c>
      <c r="BE2" s="32" t="s">
        <v>3261</v>
      </c>
      <c r="BF2" s="32" t="s">
        <v>3262</v>
      </c>
      <c r="BG2" s="32" t="s">
        <v>3263</v>
      </c>
      <c r="BH2" s="37"/>
      <c r="BI2" s="38"/>
      <c r="BJ2" s="39"/>
    </row>
    <row r="3" s="26" customFormat="1" customHeight="1" spans="1:62">
      <c r="A3" s="44">
        <f>'7'!A3+1</f>
        <v>46120</v>
      </c>
      <c r="B3" s="45" t="s">
        <v>3264</v>
      </c>
      <c r="C3" s="45" t="s">
        <v>3265</v>
      </c>
      <c r="D3" s="46" t="s">
        <v>22</v>
      </c>
      <c r="E3" s="47">
        <f>SUMIFS(卸车数据!$J$6:$J$1048576,卸车数据!$R$6:$R$1048576,"&gt;="&amp;A3+TIME(0,0,0),卸车数据!$R$6:$R$1048576,"&lt;"&amp;A3+TIME(1,0,0))</f>
        <v>17371</v>
      </c>
      <c r="F3" s="47">
        <v>2061</v>
      </c>
      <c r="G3" s="48">
        <v>4806</v>
      </c>
      <c r="H3" s="49">
        <v>1</v>
      </c>
      <c r="I3" s="49" t="s">
        <v>3266</v>
      </c>
      <c r="J3" s="49"/>
      <c r="K3" s="50">
        <f t="shared" ref="K3:K26" si="0">SUM(L3:T3)</f>
        <v>15</v>
      </c>
      <c r="L3" s="50">
        <v>1</v>
      </c>
      <c r="M3" s="49">
        <v>4</v>
      </c>
      <c r="N3" s="49">
        <v>2</v>
      </c>
      <c r="O3" s="49">
        <v>1</v>
      </c>
      <c r="P3" s="49">
        <v>4</v>
      </c>
      <c r="Q3" s="49">
        <v>1</v>
      </c>
      <c r="R3" s="49">
        <v>2</v>
      </c>
      <c r="S3" s="49"/>
      <c r="T3" s="49"/>
      <c r="U3" s="49"/>
      <c r="V3" s="49"/>
      <c r="W3" s="50">
        <f t="shared" ref="W3:W26" si="1">SUM(X3:AD3)</f>
        <v>25</v>
      </c>
      <c r="X3" s="50">
        <v>1</v>
      </c>
      <c r="Y3" s="49">
        <v>12</v>
      </c>
      <c r="Z3" s="49">
        <v>9</v>
      </c>
      <c r="AA3" s="49">
        <v>1</v>
      </c>
      <c r="AB3" s="49"/>
      <c r="AC3" s="49">
        <v>2</v>
      </c>
      <c r="AD3" s="49"/>
      <c r="AE3" s="49" t="s">
        <v>3267</v>
      </c>
      <c r="AF3" s="49"/>
      <c r="AG3" s="50">
        <f t="shared" ref="AG3:AG26" si="2">SUM(AH3:AO3)</f>
        <v>27</v>
      </c>
      <c r="AH3" s="50">
        <v>1</v>
      </c>
      <c r="AI3" s="50">
        <v>8</v>
      </c>
      <c r="AJ3" s="50">
        <v>6</v>
      </c>
      <c r="AK3" s="49">
        <v>10</v>
      </c>
      <c r="AL3" s="49"/>
      <c r="AM3" s="49">
        <v>1</v>
      </c>
      <c r="AN3" s="49">
        <v>1</v>
      </c>
      <c r="AO3" s="49"/>
      <c r="AP3" s="49"/>
      <c r="AQ3" s="49"/>
      <c r="AR3" s="50">
        <f t="shared" ref="AR3:AR26" si="3">SUM(AS3:AZ3)</f>
        <v>20</v>
      </c>
      <c r="AS3" s="50">
        <v>1</v>
      </c>
      <c r="AT3" s="50"/>
      <c r="AU3" s="49">
        <v>11</v>
      </c>
      <c r="AV3" s="51">
        <v>6</v>
      </c>
      <c r="AW3" s="50"/>
      <c r="AX3" s="50">
        <v>1</v>
      </c>
      <c r="AY3" s="49">
        <v>1</v>
      </c>
      <c r="AZ3" s="49"/>
      <c r="BA3" s="52">
        <v>4</v>
      </c>
      <c r="BB3" s="50"/>
      <c r="BC3" s="50">
        <f t="shared" ref="BC3:BC26" si="4">BD3+BE3+BF3</f>
        <v>3</v>
      </c>
      <c r="BD3" s="50">
        <v>3</v>
      </c>
      <c r="BE3" s="49"/>
      <c r="BF3" s="49"/>
      <c r="BG3" s="53"/>
      <c r="BH3" s="53">
        <f t="shared" ref="BH3:BH26" si="5">BC3+BA3+AR3+AG3+W3+K3</f>
        <v>94</v>
      </c>
      <c r="BI3" s="54"/>
      <c r="BJ3" s="54"/>
    </row>
    <row r="4" s="26" customFormat="1" customHeight="1" spans="1:62">
      <c r="A4" s="44">
        <f>'7'!A4+1</f>
        <v>46120</v>
      </c>
      <c r="B4" s="45" t="s">
        <v>3268</v>
      </c>
      <c r="C4" s="45" t="s">
        <v>3265</v>
      </c>
      <c r="D4" s="46" t="s">
        <v>22</v>
      </c>
      <c r="E4" s="47">
        <f>SUMIFS(卸车数据!$J$6:$J$1048576,卸车数据!$R$6:$R$1048576,"&gt;="&amp;A4+TIME(1,0,0),卸车数据!$R$6:$R$1048576,"&lt;"&amp;A4+TIME(2,0,0))</f>
        <v>0</v>
      </c>
      <c r="F4" s="47">
        <v>3609</v>
      </c>
      <c r="G4" s="48">
        <v>13761</v>
      </c>
      <c r="H4" s="49">
        <v>1</v>
      </c>
      <c r="I4" s="49"/>
      <c r="J4" s="49"/>
      <c r="K4" s="50">
        <f t="shared" si="0"/>
        <v>15</v>
      </c>
      <c r="L4" s="50">
        <v>1</v>
      </c>
      <c r="M4" s="49">
        <v>4</v>
      </c>
      <c r="N4" s="49">
        <v>2</v>
      </c>
      <c r="O4" s="49">
        <v>1</v>
      </c>
      <c r="P4" s="49">
        <v>4</v>
      </c>
      <c r="Q4" s="49">
        <v>1</v>
      </c>
      <c r="R4" s="49">
        <v>2</v>
      </c>
      <c r="S4" s="49"/>
      <c r="T4" s="50"/>
      <c r="U4" s="49"/>
      <c r="V4" s="49"/>
      <c r="W4" s="50">
        <f t="shared" si="1"/>
        <v>25</v>
      </c>
      <c r="X4" s="50">
        <v>1</v>
      </c>
      <c r="Y4" s="49">
        <v>12</v>
      </c>
      <c r="Z4" s="49">
        <v>9</v>
      </c>
      <c r="AA4" s="49">
        <v>1</v>
      </c>
      <c r="AB4" s="49"/>
      <c r="AC4" s="49">
        <v>2</v>
      </c>
      <c r="AD4" s="49"/>
      <c r="AE4" s="49" t="s">
        <v>3269</v>
      </c>
      <c r="AF4" s="49"/>
      <c r="AG4" s="50">
        <f t="shared" si="2"/>
        <v>27</v>
      </c>
      <c r="AH4" s="50">
        <v>1</v>
      </c>
      <c r="AI4" s="50">
        <v>8</v>
      </c>
      <c r="AJ4" s="50">
        <v>6</v>
      </c>
      <c r="AK4" s="49">
        <v>10</v>
      </c>
      <c r="AL4" s="49"/>
      <c r="AM4" s="49">
        <v>1</v>
      </c>
      <c r="AN4" s="49">
        <v>1</v>
      </c>
      <c r="AO4" s="50"/>
      <c r="AP4" s="49"/>
      <c r="AQ4" s="49"/>
      <c r="AR4" s="50">
        <f t="shared" si="3"/>
        <v>20</v>
      </c>
      <c r="AS4" s="50">
        <v>1</v>
      </c>
      <c r="AT4" s="50"/>
      <c r="AU4" s="49">
        <v>11</v>
      </c>
      <c r="AV4" s="51">
        <v>6</v>
      </c>
      <c r="AW4" s="50"/>
      <c r="AX4" s="50">
        <v>1</v>
      </c>
      <c r="AY4" s="49">
        <v>1</v>
      </c>
      <c r="AZ4" s="50"/>
      <c r="BA4" s="52">
        <v>4</v>
      </c>
      <c r="BB4" s="50"/>
      <c r="BC4" s="50">
        <f t="shared" si="4"/>
        <v>3</v>
      </c>
      <c r="BD4" s="50">
        <v>3</v>
      </c>
      <c r="BE4" s="49"/>
      <c r="BF4" s="49"/>
      <c r="BG4" s="53"/>
      <c r="BH4" s="53">
        <f t="shared" si="5"/>
        <v>94</v>
      </c>
      <c r="BI4" s="54"/>
      <c r="BJ4" s="54"/>
    </row>
    <row r="5" s="26" customFormat="1" customHeight="1" spans="1:62">
      <c r="A5" s="44">
        <f>'7'!A5+1</f>
        <v>46120</v>
      </c>
      <c r="B5" s="45" t="s">
        <v>3270</v>
      </c>
      <c r="C5" s="45" t="s">
        <v>3265</v>
      </c>
      <c r="D5" s="46" t="s">
        <v>22</v>
      </c>
      <c r="E5" s="47">
        <f>SUMIFS(卸车数据!$J$6:$J$1048576,卸车数据!$R$6:$R$1048576,"&gt;="&amp;A5+TIME(2,0,0),卸车数据!$R$6:$R$1048576,"&lt;"&amp;A5+TIME(3,0,0))</f>
        <v>0</v>
      </c>
      <c r="F5" s="47">
        <v>1236</v>
      </c>
      <c r="G5" s="48">
        <v>12311</v>
      </c>
      <c r="H5" s="49">
        <v>1</v>
      </c>
      <c r="I5" s="49" t="s">
        <v>3271</v>
      </c>
      <c r="J5" s="49"/>
      <c r="K5" s="50">
        <f t="shared" si="0"/>
        <v>15</v>
      </c>
      <c r="L5" s="50">
        <v>1</v>
      </c>
      <c r="M5" s="49">
        <v>4</v>
      </c>
      <c r="N5" s="49">
        <v>2</v>
      </c>
      <c r="O5" s="49">
        <v>1</v>
      </c>
      <c r="P5" s="49">
        <v>4</v>
      </c>
      <c r="Q5" s="49">
        <v>1</v>
      </c>
      <c r="R5" s="49">
        <v>2</v>
      </c>
      <c r="S5" s="49"/>
      <c r="T5" s="50"/>
      <c r="U5" s="49" t="s">
        <v>3272</v>
      </c>
      <c r="V5" s="49"/>
      <c r="W5" s="50">
        <f t="shared" si="1"/>
        <v>25</v>
      </c>
      <c r="X5" s="50">
        <v>1</v>
      </c>
      <c r="Y5" s="49">
        <v>12</v>
      </c>
      <c r="Z5" s="49">
        <v>9</v>
      </c>
      <c r="AA5" s="49">
        <v>1</v>
      </c>
      <c r="AB5" s="49"/>
      <c r="AC5" s="49">
        <v>2</v>
      </c>
      <c r="AD5" s="49"/>
      <c r="AE5" s="49"/>
      <c r="AF5" s="49"/>
      <c r="AG5" s="50">
        <f t="shared" si="2"/>
        <v>27</v>
      </c>
      <c r="AH5" s="50">
        <v>1</v>
      </c>
      <c r="AI5" s="50">
        <v>8</v>
      </c>
      <c r="AJ5" s="50">
        <v>6</v>
      </c>
      <c r="AK5" s="49">
        <v>10</v>
      </c>
      <c r="AL5" s="49"/>
      <c r="AM5" s="49">
        <v>1</v>
      </c>
      <c r="AN5" s="49">
        <v>1</v>
      </c>
      <c r="AO5" s="50"/>
      <c r="AP5" s="49"/>
      <c r="AQ5" s="49"/>
      <c r="AR5" s="50">
        <f t="shared" si="3"/>
        <v>20</v>
      </c>
      <c r="AS5" s="50">
        <v>1</v>
      </c>
      <c r="AT5" s="50"/>
      <c r="AU5" s="49">
        <v>11</v>
      </c>
      <c r="AV5" s="51">
        <v>6</v>
      </c>
      <c r="AW5" s="50"/>
      <c r="AX5" s="50">
        <v>1</v>
      </c>
      <c r="AY5" s="49">
        <v>1</v>
      </c>
      <c r="AZ5" s="50"/>
      <c r="BA5" s="52">
        <v>4</v>
      </c>
      <c r="BB5" s="50"/>
      <c r="BC5" s="50">
        <f t="shared" si="4"/>
        <v>3</v>
      </c>
      <c r="BD5" s="50">
        <v>3</v>
      </c>
      <c r="BE5" s="49"/>
      <c r="BF5" s="49"/>
      <c r="BG5" s="49"/>
      <c r="BH5" s="53">
        <f t="shared" si="5"/>
        <v>94</v>
      </c>
      <c r="BI5" s="54"/>
      <c r="BJ5" s="54"/>
    </row>
    <row r="6" s="27" customFormat="1" customHeight="1" spans="1:62">
      <c r="A6" s="44">
        <f>'7'!A6+1</f>
        <v>46120</v>
      </c>
      <c r="B6" s="55" t="s">
        <v>3273</v>
      </c>
      <c r="C6" s="55" t="s">
        <v>3265</v>
      </c>
      <c r="D6" s="46" t="s">
        <v>22</v>
      </c>
      <c r="E6" s="47">
        <f>SUMIFS(卸车数据!$J$6:$J$1048576,卸车数据!$R$6:$R$1048576,"&gt;="&amp;A6+TIME(3,0,0),卸车数据!$R$6:$R$1048576,"&lt;"&amp;A6+TIME(4,0,0))</f>
        <v>1931</v>
      </c>
      <c r="F6" s="56">
        <v>2544</v>
      </c>
      <c r="G6" s="57">
        <v>10964</v>
      </c>
      <c r="H6" s="51">
        <v>1</v>
      </c>
      <c r="I6" s="51" t="s">
        <v>3274</v>
      </c>
      <c r="J6" s="51"/>
      <c r="K6" s="58">
        <f t="shared" si="0"/>
        <v>15</v>
      </c>
      <c r="L6" s="58">
        <v>1</v>
      </c>
      <c r="M6" s="51">
        <v>4</v>
      </c>
      <c r="N6" s="51">
        <v>2</v>
      </c>
      <c r="O6" s="51">
        <v>1</v>
      </c>
      <c r="P6" s="51">
        <v>4</v>
      </c>
      <c r="Q6" s="51">
        <v>1</v>
      </c>
      <c r="R6" s="51">
        <v>2</v>
      </c>
      <c r="S6" s="51"/>
      <c r="T6" s="58"/>
      <c r="U6" s="51" t="s">
        <v>3275</v>
      </c>
      <c r="V6" s="51" t="s">
        <v>3276</v>
      </c>
      <c r="W6" s="58">
        <f t="shared" si="1"/>
        <v>18</v>
      </c>
      <c r="X6" s="58">
        <v>1</v>
      </c>
      <c r="Y6" s="51">
        <v>5</v>
      </c>
      <c r="Z6" s="51">
        <v>9</v>
      </c>
      <c r="AA6" s="51">
        <v>1</v>
      </c>
      <c r="AB6" s="49"/>
      <c r="AC6" s="51">
        <v>2</v>
      </c>
      <c r="AD6" s="51"/>
      <c r="AE6" s="51"/>
      <c r="AF6" s="51"/>
      <c r="AG6" s="58">
        <f t="shared" si="2"/>
        <v>31</v>
      </c>
      <c r="AH6" s="58">
        <v>1</v>
      </c>
      <c r="AI6" s="58">
        <v>8</v>
      </c>
      <c r="AJ6" s="58">
        <v>6</v>
      </c>
      <c r="AK6" s="49">
        <v>10</v>
      </c>
      <c r="AL6" s="51"/>
      <c r="AM6" s="51">
        <v>1</v>
      </c>
      <c r="AN6" s="51">
        <v>1</v>
      </c>
      <c r="AO6" s="59">
        <v>4</v>
      </c>
      <c r="AP6" s="51" t="s">
        <v>3277</v>
      </c>
      <c r="AQ6" s="51" t="s">
        <v>3278</v>
      </c>
      <c r="AR6" s="58">
        <f t="shared" si="3"/>
        <v>23</v>
      </c>
      <c r="AS6" s="58">
        <v>1</v>
      </c>
      <c r="AT6" s="58"/>
      <c r="AU6" s="51">
        <v>11</v>
      </c>
      <c r="AV6" s="51">
        <v>6</v>
      </c>
      <c r="AW6" s="58"/>
      <c r="AX6" s="58">
        <v>1</v>
      </c>
      <c r="AY6" s="51">
        <v>1</v>
      </c>
      <c r="AZ6" s="59">
        <v>3</v>
      </c>
      <c r="BA6" s="52">
        <v>4</v>
      </c>
      <c r="BB6" s="58"/>
      <c r="BC6" s="50">
        <f t="shared" si="4"/>
        <v>3</v>
      </c>
      <c r="BD6" s="58">
        <v>3</v>
      </c>
      <c r="BE6" s="51"/>
      <c r="BF6" s="49"/>
      <c r="BG6" s="51"/>
      <c r="BH6" s="53">
        <f t="shared" si="5"/>
        <v>94</v>
      </c>
      <c r="BI6" s="60" t="s">
        <v>3279</v>
      </c>
      <c r="BJ6" s="61"/>
    </row>
    <row r="7" s="26" customFormat="1" customHeight="1" spans="1:62">
      <c r="A7" s="44">
        <f>'7'!A7+1</f>
        <v>46120</v>
      </c>
      <c r="B7" s="45" t="s">
        <v>3280</v>
      </c>
      <c r="C7" s="45" t="s">
        <v>3265</v>
      </c>
      <c r="D7" s="46" t="s">
        <v>22</v>
      </c>
      <c r="E7" s="47">
        <f>SUMIFS(卸车数据!$J$6:$J$1048576,卸车数据!$R$6:$R$1048576,"&gt;="&amp;A7+TIME(4,0,0),卸车数据!$R$6:$R$1048576,"&lt;"&amp;A7+TIME(5,0,0))</f>
        <v>3944</v>
      </c>
      <c r="F7" s="47">
        <v>2088</v>
      </c>
      <c r="G7" s="48">
        <v>131</v>
      </c>
      <c r="H7" s="49">
        <v>1</v>
      </c>
      <c r="I7" s="49" t="s">
        <v>3281</v>
      </c>
      <c r="J7" s="49"/>
      <c r="K7" s="50">
        <f t="shared" si="0"/>
        <v>15</v>
      </c>
      <c r="L7" s="50">
        <v>1</v>
      </c>
      <c r="M7" s="49">
        <v>4</v>
      </c>
      <c r="N7" s="49">
        <v>2</v>
      </c>
      <c r="O7" s="49">
        <v>1</v>
      </c>
      <c r="P7" s="49">
        <v>4</v>
      </c>
      <c r="Q7" s="49">
        <v>1</v>
      </c>
      <c r="R7" s="49">
        <v>2</v>
      </c>
      <c r="S7" s="49"/>
      <c r="T7" s="50"/>
      <c r="U7" s="49"/>
      <c r="V7" s="49"/>
      <c r="W7" s="50">
        <f t="shared" si="1"/>
        <v>25</v>
      </c>
      <c r="X7" s="50">
        <v>1</v>
      </c>
      <c r="Y7" s="49">
        <v>12</v>
      </c>
      <c r="Z7" s="49">
        <v>9</v>
      </c>
      <c r="AA7" s="49">
        <v>1</v>
      </c>
      <c r="AB7" s="49"/>
      <c r="AC7" s="49">
        <v>2</v>
      </c>
      <c r="AD7" s="49"/>
      <c r="AE7" s="49" t="s">
        <v>3282</v>
      </c>
      <c r="AF7" s="49"/>
      <c r="AG7" s="50">
        <f t="shared" si="2"/>
        <v>27</v>
      </c>
      <c r="AH7" s="50">
        <v>1</v>
      </c>
      <c r="AI7" s="50">
        <v>8</v>
      </c>
      <c r="AJ7" s="50">
        <v>6</v>
      </c>
      <c r="AK7" s="49">
        <v>10</v>
      </c>
      <c r="AL7" s="49"/>
      <c r="AM7" s="49">
        <v>1</v>
      </c>
      <c r="AN7" s="49">
        <v>1</v>
      </c>
      <c r="AO7" s="50"/>
      <c r="AP7" s="49"/>
      <c r="AQ7" s="49"/>
      <c r="AR7" s="50">
        <f t="shared" si="3"/>
        <v>20</v>
      </c>
      <c r="AS7" s="50">
        <v>1</v>
      </c>
      <c r="AT7" s="50"/>
      <c r="AU7" s="49">
        <v>11</v>
      </c>
      <c r="AV7" s="51">
        <v>6</v>
      </c>
      <c r="AW7" s="50"/>
      <c r="AX7" s="50">
        <v>1</v>
      </c>
      <c r="AY7" s="49">
        <v>1</v>
      </c>
      <c r="AZ7" s="50"/>
      <c r="BA7" s="52">
        <v>4</v>
      </c>
      <c r="BB7" s="50"/>
      <c r="BC7" s="50">
        <f t="shared" si="4"/>
        <v>3</v>
      </c>
      <c r="BD7" s="50">
        <v>3</v>
      </c>
      <c r="BE7" s="49"/>
      <c r="BF7" s="49"/>
      <c r="BG7" s="49"/>
      <c r="BH7" s="53">
        <f t="shared" si="5"/>
        <v>94</v>
      </c>
      <c r="BI7" s="54"/>
      <c r="BJ7" s="54"/>
    </row>
    <row r="8" s="26" customFormat="1" customHeight="1" spans="1:62">
      <c r="A8" s="44">
        <f>'7'!A8+1</f>
        <v>46120</v>
      </c>
      <c r="B8" s="45" t="s">
        <v>3283</v>
      </c>
      <c r="C8" s="45" t="s">
        <v>3265</v>
      </c>
      <c r="D8" s="46" t="s">
        <v>22</v>
      </c>
      <c r="E8" s="47">
        <f>SUMIFS(卸车数据!$J$6:$J$1048576,卸车数据!$R$6:$R$1048576,"&gt;="&amp;A8+TIME(5,0,0),卸车数据!$R$6:$R$1048576,"&lt;"&amp;A8+TIME(6,0,0))</f>
        <v>265</v>
      </c>
      <c r="F8" s="47">
        <v>985</v>
      </c>
      <c r="G8" s="48">
        <v>147</v>
      </c>
      <c r="H8" s="49">
        <v>1</v>
      </c>
      <c r="I8" s="49" t="s">
        <v>3284</v>
      </c>
      <c r="J8" s="49"/>
      <c r="K8" s="50">
        <f t="shared" si="0"/>
        <v>15</v>
      </c>
      <c r="L8" s="50">
        <v>1</v>
      </c>
      <c r="M8" s="49">
        <v>4</v>
      </c>
      <c r="N8" s="49">
        <v>2</v>
      </c>
      <c r="O8" s="49">
        <v>1</v>
      </c>
      <c r="P8" s="49">
        <v>4</v>
      </c>
      <c r="Q8" s="49">
        <v>1</v>
      </c>
      <c r="R8" s="49">
        <v>2</v>
      </c>
      <c r="S8" s="50"/>
      <c r="T8" s="50"/>
      <c r="U8" s="49"/>
      <c r="V8" s="49"/>
      <c r="W8" s="50">
        <f t="shared" si="1"/>
        <v>25</v>
      </c>
      <c r="X8" s="50">
        <v>1</v>
      </c>
      <c r="Y8" s="49">
        <v>12</v>
      </c>
      <c r="Z8" s="49">
        <v>9</v>
      </c>
      <c r="AA8" s="49">
        <v>1</v>
      </c>
      <c r="AB8" s="49"/>
      <c r="AC8" s="49">
        <v>2</v>
      </c>
      <c r="AD8" s="50"/>
      <c r="AE8" s="49" t="s">
        <v>3285</v>
      </c>
      <c r="AF8" s="49"/>
      <c r="AG8" s="50">
        <f t="shared" si="2"/>
        <v>27</v>
      </c>
      <c r="AH8" s="50">
        <v>1</v>
      </c>
      <c r="AI8" s="50">
        <v>8</v>
      </c>
      <c r="AJ8" s="50">
        <v>6</v>
      </c>
      <c r="AK8" s="49">
        <v>10</v>
      </c>
      <c r="AL8" s="49"/>
      <c r="AM8" s="49">
        <v>1</v>
      </c>
      <c r="AN8" s="49">
        <v>1</v>
      </c>
      <c r="AO8" s="50"/>
      <c r="AP8" s="49"/>
      <c r="AQ8" s="49"/>
      <c r="AR8" s="50">
        <f t="shared" si="3"/>
        <v>20</v>
      </c>
      <c r="AS8" s="50">
        <v>1</v>
      </c>
      <c r="AT8" s="50"/>
      <c r="AU8" s="49">
        <v>11</v>
      </c>
      <c r="AV8" s="51">
        <v>6</v>
      </c>
      <c r="AW8" s="50"/>
      <c r="AX8" s="50">
        <v>1</v>
      </c>
      <c r="AY8" s="49">
        <v>1</v>
      </c>
      <c r="AZ8" s="50"/>
      <c r="BA8" s="52">
        <v>4</v>
      </c>
      <c r="BB8" s="50"/>
      <c r="BC8" s="50">
        <f t="shared" si="4"/>
        <v>3</v>
      </c>
      <c r="BD8" s="50">
        <v>3</v>
      </c>
      <c r="BE8" s="49"/>
      <c r="BF8" s="49"/>
      <c r="BG8" s="49"/>
      <c r="BH8" s="53">
        <f t="shared" si="5"/>
        <v>94</v>
      </c>
      <c r="BI8" s="54"/>
      <c r="BJ8" s="54"/>
    </row>
    <row r="9" s="26" customFormat="1" customHeight="1" spans="1:62">
      <c r="A9" s="44">
        <f>'7'!A9+1</f>
        <v>46120</v>
      </c>
      <c r="B9" s="45" t="s">
        <v>3286</v>
      </c>
      <c r="C9" s="45" t="s">
        <v>3265</v>
      </c>
      <c r="D9" s="46" t="s">
        <v>22</v>
      </c>
      <c r="E9" s="47">
        <f>SUMIFS(卸车数据!$J$6:$J$1048576,卸车数据!$R$6:$R$1048576,"&gt;="&amp;A9+TIME(6,0,0),卸车数据!$R$6:$R$1048576,"&lt;"&amp;A9+TIME(7,0,0))</f>
        <v>810</v>
      </c>
      <c r="F9" s="47">
        <v>2651</v>
      </c>
      <c r="G9" s="48">
        <v>6035</v>
      </c>
      <c r="H9" s="49">
        <v>1</v>
      </c>
      <c r="I9" s="49" t="s">
        <v>3287</v>
      </c>
      <c r="J9" s="49"/>
      <c r="K9" s="50">
        <f t="shared" si="0"/>
        <v>15</v>
      </c>
      <c r="L9" s="50">
        <v>1</v>
      </c>
      <c r="M9" s="49">
        <v>4</v>
      </c>
      <c r="N9" s="49">
        <v>2</v>
      </c>
      <c r="O9" s="49">
        <v>1</v>
      </c>
      <c r="P9" s="49">
        <v>4</v>
      </c>
      <c r="Q9" s="49">
        <v>1</v>
      </c>
      <c r="R9" s="49">
        <v>2</v>
      </c>
      <c r="S9" s="50"/>
      <c r="T9" s="50"/>
      <c r="U9" s="49"/>
      <c r="V9" s="49"/>
      <c r="W9" s="50">
        <f t="shared" si="1"/>
        <v>25</v>
      </c>
      <c r="X9" s="50">
        <v>1</v>
      </c>
      <c r="Y9" s="49">
        <v>12</v>
      </c>
      <c r="Z9" s="49">
        <v>9</v>
      </c>
      <c r="AA9" s="49">
        <v>1</v>
      </c>
      <c r="AB9" s="49"/>
      <c r="AC9" s="49">
        <v>2</v>
      </c>
      <c r="AD9" s="50"/>
      <c r="AE9" s="49"/>
      <c r="AF9" s="49"/>
      <c r="AG9" s="50">
        <f t="shared" si="2"/>
        <v>27</v>
      </c>
      <c r="AH9" s="50">
        <v>1</v>
      </c>
      <c r="AI9" s="50">
        <v>8</v>
      </c>
      <c r="AJ9" s="50">
        <v>6</v>
      </c>
      <c r="AK9" s="49">
        <v>10</v>
      </c>
      <c r="AL9" s="49"/>
      <c r="AM9" s="49">
        <v>1</v>
      </c>
      <c r="AN9" s="49">
        <v>1</v>
      </c>
      <c r="AO9" s="50"/>
      <c r="AP9" s="49"/>
      <c r="AQ9" s="49"/>
      <c r="AR9" s="50">
        <f t="shared" si="3"/>
        <v>20</v>
      </c>
      <c r="AS9" s="50">
        <v>1</v>
      </c>
      <c r="AT9" s="50"/>
      <c r="AU9" s="49">
        <v>11</v>
      </c>
      <c r="AV9" s="51">
        <v>6</v>
      </c>
      <c r="AW9" s="50"/>
      <c r="AX9" s="50">
        <v>1</v>
      </c>
      <c r="AY9" s="49">
        <v>1</v>
      </c>
      <c r="AZ9" s="50"/>
      <c r="BA9" s="52">
        <v>4</v>
      </c>
      <c r="BB9" s="50"/>
      <c r="BC9" s="50">
        <f t="shared" si="4"/>
        <v>3</v>
      </c>
      <c r="BD9" s="50">
        <v>3</v>
      </c>
      <c r="BE9" s="49"/>
      <c r="BF9" s="49"/>
      <c r="BG9" s="49"/>
      <c r="BH9" s="53">
        <f t="shared" si="5"/>
        <v>94</v>
      </c>
      <c r="BI9" s="54"/>
      <c r="BJ9" s="54"/>
    </row>
    <row r="10" s="26" customFormat="1" customHeight="1" spans="1:62">
      <c r="A10" s="44">
        <f>'7'!A10+1</f>
        <v>46120</v>
      </c>
      <c r="B10" s="45" t="s">
        <v>3288</v>
      </c>
      <c r="C10" s="45" t="s">
        <v>3289</v>
      </c>
      <c r="D10" s="46" t="s">
        <v>22</v>
      </c>
      <c r="E10" s="47">
        <f>SUMIFS(卸车数据!$J$6:$J$1048576,卸车数据!$R$6:$R$1048576,"&gt;="&amp;A10+TIME(7,0,0),卸车数据!$R$6:$R$1048576,"&lt;"&amp;A10+TIME(8,0,0))</f>
        <v>1012</v>
      </c>
      <c r="F10" s="62">
        <v>2386</v>
      </c>
      <c r="G10" s="63">
        <v>4536</v>
      </c>
      <c r="H10" s="49">
        <v>1</v>
      </c>
      <c r="I10" s="49" t="s">
        <v>3290</v>
      </c>
      <c r="J10" s="49" t="s">
        <v>3291</v>
      </c>
      <c r="K10" s="50">
        <f t="shared" si="0"/>
        <v>9</v>
      </c>
      <c r="L10" s="50">
        <v>1</v>
      </c>
      <c r="M10" s="50">
        <v>2</v>
      </c>
      <c r="N10" s="50">
        <v>1</v>
      </c>
      <c r="O10" s="50">
        <v>1</v>
      </c>
      <c r="P10" s="50">
        <v>2</v>
      </c>
      <c r="Q10" s="50"/>
      <c r="R10" s="50">
        <v>1</v>
      </c>
      <c r="S10" s="50">
        <v>1</v>
      </c>
      <c r="T10" s="49"/>
      <c r="U10" s="49" t="s">
        <v>3292</v>
      </c>
      <c r="V10" s="49"/>
      <c r="W10" s="50">
        <f t="shared" si="1"/>
        <v>12</v>
      </c>
      <c r="X10" s="50">
        <v>1</v>
      </c>
      <c r="Y10" s="50">
        <v>6</v>
      </c>
      <c r="Z10" s="50">
        <v>4</v>
      </c>
      <c r="AA10" s="50"/>
      <c r="AB10" s="50"/>
      <c r="AC10" s="50">
        <v>1</v>
      </c>
      <c r="AD10" s="50"/>
      <c r="AE10" s="64" t="s">
        <v>3293</v>
      </c>
      <c r="AF10" s="49" t="s">
        <v>3294</v>
      </c>
      <c r="AG10" s="50">
        <f t="shared" si="2"/>
        <v>16</v>
      </c>
      <c r="AH10" s="50">
        <v>1</v>
      </c>
      <c r="AI10" s="50">
        <v>1</v>
      </c>
      <c r="AJ10" s="50">
        <v>6</v>
      </c>
      <c r="AK10" s="50">
        <v>3</v>
      </c>
      <c r="AL10" s="50"/>
      <c r="AM10" s="50">
        <v>1</v>
      </c>
      <c r="AN10" s="50">
        <v>1</v>
      </c>
      <c r="AO10" s="59">
        <v>3</v>
      </c>
      <c r="AP10" s="49" t="s">
        <v>3295</v>
      </c>
      <c r="AQ10" s="49"/>
      <c r="AR10" s="50">
        <f t="shared" si="3"/>
        <v>16</v>
      </c>
      <c r="AS10" s="50">
        <v>1</v>
      </c>
      <c r="AT10" s="50">
        <v>1</v>
      </c>
      <c r="AU10" s="50">
        <v>7</v>
      </c>
      <c r="AV10" s="50">
        <v>3</v>
      </c>
      <c r="AW10" s="50">
        <v>1</v>
      </c>
      <c r="AX10" s="50">
        <v>1</v>
      </c>
      <c r="AY10" s="50"/>
      <c r="AZ10" s="59">
        <v>2</v>
      </c>
      <c r="BA10" s="50"/>
      <c r="BB10" s="50"/>
      <c r="BC10" s="50">
        <f t="shared" si="4"/>
        <v>3</v>
      </c>
      <c r="BD10" s="50">
        <v>2</v>
      </c>
      <c r="BE10" s="49">
        <v>1</v>
      </c>
      <c r="BF10" s="49"/>
      <c r="BG10" s="49"/>
      <c r="BH10" s="53">
        <f t="shared" si="5"/>
        <v>56</v>
      </c>
      <c r="BI10" s="61" t="s">
        <v>3296</v>
      </c>
      <c r="BJ10" s="61">
        <v>58</v>
      </c>
    </row>
    <row r="11" s="28" customFormat="1" customHeight="1" spans="1:62">
      <c r="A11" s="44">
        <f>'7'!A11+1</f>
        <v>46120</v>
      </c>
      <c r="B11" s="45" t="s">
        <v>3297</v>
      </c>
      <c r="C11" s="45" t="s">
        <v>3289</v>
      </c>
      <c r="D11" s="46" t="s">
        <v>22</v>
      </c>
      <c r="E11" s="47">
        <f>SUMIFS(卸车数据!$J$6:$J$1048576,卸车数据!$R$6:$R$1048576,"&gt;="&amp;A11+TIME(8,0,0),卸车数据!$R$6:$R$1048576,"&lt;"&amp;A11+TIME(9,0,0))</f>
        <v>1735</v>
      </c>
      <c r="F11" s="62">
        <v>406</v>
      </c>
      <c r="G11" s="65">
        <v>2838</v>
      </c>
      <c r="H11" s="49">
        <v>1</v>
      </c>
      <c r="I11" s="49" t="s">
        <v>3290</v>
      </c>
      <c r="J11" s="49" t="s">
        <v>3291</v>
      </c>
      <c r="K11" s="50">
        <f t="shared" si="0"/>
        <v>9</v>
      </c>
      <c r="L11" s="50">
        <v>1</v>
      </c>
      <c r="M11" s="50">
        <v>2</v>
      </c>
      <c r="N11" s="50">
        <v>1</v>
      </c>
      <c r="O11" s="50">
        <v>1</v>
      </c>
      <c r="P11" s="50">
        <v>2</v>
      </c>
      <c r="Q11" s="50"/>
      <c r="R11" s="50">
        <v>1</v>
      </c>
      <c r="S11" s="49">
        <v>1</v>
      </c>
      <c r="T11" s="49"/>
      <c r="U11" s="49" t="s">
        <v>3298</v>
      </c>
      <c r="V11" s="49"/>
      <c r="W11" s="50">
        <f t="shared" si="1"/>
        <v>12</v>
      </c>
      <c r="X11" s="50">
        <v>1</v>
      </c>
      <c r="Y11" s="50">
        <v>6</v>
      </c>
      <c r="Z11" s="50">
        <v>4</v>
      </c>
      <c r="AA11" s="50"/>
      <c r="AB11" s="50"/>
      <c r="AC11" s="50">
        <v>1</v>
      </c>
      <c r="AD11" s="50"/>
      <c r="AE11" s="64" t="s">
        <v>3299</v>
      </c>
      <c r="AF11" s="49"/>
      <c r="AG11" s="50">
        <f t="shared" si="2"/>
        <v>16</v>
      </c>
      <c r="AH11" s="50">
        <v>1</v>
      </c>
      <c r="AI11" s="50">
        <v>1</v>
      </c>
      <c r="AJ11" s="50">
        <v>6</v>
      </c>
      <c r="AK11" s="50">
        <v>3</v>
      </c>
      <c r="AL11" s="50"/>
      <c r="AM11" s="50">
        <v>1</v>
      </c>
      <c r="AN11" s="50">
        <v>1</v>
      </c>
      <c r="AO11" s="59">
        <v>3</v>
      </c>
      <c r="AP11" s="49" t="s">
        <v>3300</v>
      </c>
      <c r="AQ11" s="49" t="s">
        <v>3301</v>
      </c>
      <c r="AR11" s="50">
        <f t="shared" si="3"/>
        <v>16</v>
      </c>
      <c r="AS11" s="50">
        <v>1</v>
      </c>
      <c r="AT11" s="50">
        <v>1</v>
      </c>
      <c r="AU11" s="50">
        <v>7</v>
      </c>
      <c r="AV11" s="50">
        <v>3</v>
      </c>
      <c r="AW11" s="50">
        <v>1</v>
      </c>
      <c r="AX11" s="50">
        <v>1</v>
      </c>
      <c r="AY11" s="49"/>
      <c r="AZ11" s="66">
        <v>2</v>
      </c>
      <c r="BA11" s="49"/>
      <c r="BB11" s="49"/>
      <c r="BC11" s="50">
        <f t="shared" si="4"/>
        <v>3</v>
      </c>
      <c r="BD11" s="50">
        <v>2</v>
      </c>
      <c r="BE11" s="49">
        <v>1</v>
      </c>
      <c r="BF11" s="49"/>
      <c r="BG11" s="53"/>
      <c r="BH11" s="53">
        <f t="shared" si="5"/>
        <v>56</v>
      </c>
      <c r="BI11" s="54"/>
      <c r="BJ11" s="54"/>
    </row>
    <row r="12" s="28" customFormat="1" customHeight="1" spans="1:62">
      <c r="A12" s="44">
        <f>'7'!A12+1</f>
        <v>46120</v>
      </c>
      <c r="B12" s="45" t="s">
        <v>3302</v>
      </c>
      <c r="C12" s="45" t="s">
        <v>3289</v>
      </c>
      <c r="D12" s="46" t="s">
        <v>22</v>
      </c>
      <c r="E12" s="47">
        <f>SUMIFS(卸车数据!$J$6:$J$1048576,卸车数据!$R$6:$R$1048576,"&gt;="&amp;A12+TIME(9,0,0),卸车数据!$R$6:$R$1048576,"&lt;"&amp;A12+TIME(10,0,0))</f>
        <v>3817</v>
      </c>
      <c r="F12" s="47">
        <v>2756</v>
      </c>
      <c r="G12" s="65">
        <v>9419</v>
      </c>
      <c r="H12" s="49">
        <v>1</v>
      </c>
      <c r="I12" s="49" t="s">
        <v>3303</v>
      </c>
      <c r="J12" s="49"/>
      <c r="K12" s="50">
        <f t="shared" si="0"/>
        <v>12</v>
      </c>
      <c r="L12" s="50">
        <v>1</v>
      </c>
      <c r="M12" s="50">
        <v>4</v>
      </c>
      <c r="N12" s="50">
        <v>2</v>
      </c>
      <c r="O12" s="50">
        <v>1</v>
      </c>
      <c r="P12" s="50">
        <v>2</v>
      </c>
      <c r="Q12" s="50">
        <v>1</v>
      </c>
      <c r="R12" s="50">
        <v>1</v>
      </c>
      <c r="S12" s="49"/>
      <c r="T12" s="49"/>
      <c r="U12" s="49" t="s">
        <v>3304</v>
      </c>
      <c r="V12" s="49"/>
      <c r="W12" s="50">
        <f t="shared" si="1"/>
        <v>14</v>
      </c>
      <c r="X12" s="50">
        <v>1</v>
      </c>
      <c r="Y12" s="50">
        <v>8</v>
      </c>
      <c r="Z12" s="50">
        <v>4</v>
      </c>
      <c r="AA12" s="50"/>
      <c r="AB12" s="50"/>
      <c r="AC12" s="50">
        <v>1</v>
      </c>
      <c r="AD12" s="50"/>
      <c r="AE12" s="64" t="s">
        <v>3305</v>
      </c>
      <c r="AF12" s="49"/>
      <c r="AG12" s="50">
        <f t="shared" si="2"/>
        <v>13</v>
      </c>
      <c r="AH12" s="50">
        <v>1</v>
      </c>
      <c r="AI12" s="50">
        <v>1</v>
      </c>
      <c r="AJ12" s="50">
        <v>6</v>
      </c>
      <c r="AK12" s="50">
        <v>3</v>
      </c>
      <c r="AL12" s="50"/>
      <c r="AM12" s="50">
        <v>1</v>
      </c>
      <c r="AN12" s="50">
        <v>1</v>
      </c>
      <c r="AO12" s="50"/>
      <c r="AP12" s="49" t="s">
        <v>3300</v>
      </c>
      <c r="AQ12" s="49" t="s">
        <v>3301</v>
      </c>
      <c r="AR12" s="50">
        <f t="shared" si="3"/>
        <v>14</v>
      </c>
      <c r="AS12" s="50">
        <v>1</v>
      </c>
      <c r="AT12" s="50">
        <v>1</v>
      </c>
      <c r="AU12" s="50">
        <v>7</v>
      </c>
      <c r="AV12" s="50">
        <v>3</v>
      </c>
      <c r="AW12" s="50">
        <v>1</v>
      </c>
      <c r="AX12" s="50">
        <v>1</v>
      </c>
      <c r="AY12" s="49"/>
      <c r="AZ12" s="49"/>
      <c r="BA12" s="49"/>
      <c r="BB12" s="49"/>
      <c r="BC12" s="50">
        <f t="shared" si="4"/>
        <v>3</v>
      </c>
      <c r="BD12" s="50">
        <v>2</v>
      </c>
      <c r="BE12" s="49">
        <v>1</v>
      </c>
      <c r="BF12" s="49"/>
      <c r="BG12" s="53"/>
      <c r="BH12" s="53">
        <f t="shared" si="5"/>
        <v>56</v>
      </c>
      <c r="BI12" s="54"/>
      <c r="BJ12" s="54"/>
    </row>
    <row r="13" s="28" customFormat="1" customHeight="1" spans="1:62">
      <c r="A13" s="44">
        <f>'7'!A13+1</f>
        <v>46120</v>
      </c>
      <c r="B13" s="45" t="s">
        <v>3306</v>
      </c>
      <c r="C13" s="45" t="s">
        <v>3289</v>
      </c>
      <c r="D13" s="46" t="s">
        <v>22</v>
      </c>
      <c r="E13" s="47">
        <f>SUMIFS(卸车数据!$J$6:$J$1048576,卸车数据!$R$6:$R$1048576,"&gt;="&amp;A13+TIME(10,0,0),卸车数据!$R$6:$R$1048576,"&lt;"&amp;A13+TIME(11,0,0))</f>
        <v>501</v>
      </c>
      <c r="F13" s="47">
        <v>162</v>
      </c>
      <c r="G13" s="65">
        <v>198</v>
      </c>
      <c r="H13" s="49">
        <v>1</v>
      </c>
      <c r="I13" s="64" t="s">
        <v>3307</v>
      </c>
      <c r="J13" s="49"/>
      <c r="K13" s="50">
        <f t="shared" si="0"/>
        <v>12</v>
      </c>
      <c r="L13" s="50">
        <v>1</v>
      </c>
      <c r="M13" s="50">
        <v>4</v>
      </c>
      <c r="N13" s="50">
        <v>2</v>
      </c>
      <c r="O13" s="50">
        <v>1</v>
      </c>
      <c r="P13" s="50">
        <v>2</v>
      </c>
      <c r="Q13" s="50">
        <v>1</v>
      </c>
      <c r="R13" s="50">
        <v>1</v>
      </c>
      <c r="S13" s="49"/>
      <c r="T13" s="49"/>
      <c r="U13" s="49" t="s">
        <v>3308</v>
      </c>
      <c r="V13" s="49"/>
      <c r="W13" s="50">
        <f t="shared" si="1"/>
        <v>14</v>
      </c>
      <c r="X13" s="50">
        <v>1</v>
      </c>
      <c r="Y13" s="50">
        <v>8</v>
      </c>
      <c r="Z13" s="50">
        <v>4</v>
      </c>
      <c r="AA13" s="50"/>
      <c r="AB13" s="50"/>
      <c r="AC13" s="50">
        <v>1</v>
      </c>
      <c r="AD13" s="50"/>
      <c r="AE13" s="64" t="s">
        <v>3309</v>
      </c>
      <c r="AF13" s="49"/>
      <c r="AG13" s="50">
        <f t="shared" si="2"/>
        <v>13</v>
      </c>
      <c r="AH13" s="50">
        <v>1</v>
      </c>
      <c r="AI13" s="50">
        <v>1</v>
      </c>
      <c r="AJ13" s="50">
        <v>6</v>
      </c>
      <c r="AK13" s="50">
        <v>3</v>
      </c>
      <c r="AL13" s="50"/>
      <c r="AM13" s="50">
        <v>1</v>
      </c>
      <c r="AN13" s="50">
        <v>1</v>
      </c>
      <c r="AO13" s="50"/>
      <c r="AP13" s="49" t="s">
        <v>3300</v>
      </c>
      <c r="AQ13" s="49" t="s">
        <v>3301</v>
      </c>
      <c r="AR13" s="50">
        <f t="shared" si="3"/>
        <v>14</v>
      </c>
      <c r="AS13" s="50">
        <v>1</v>
      </c>
      <c r="AT13" s="50">
        <v>1</v>
      </c>
      <c r="AU13" s="50">
        <v>7</v>
      </c>
      <c r="AV13" s="50">
        <v>3</v>
      </c>
      <c r="AW13" s="50">
        <v>1</v>
      </c>
      <c r="AX13" s="50">
        <v>1</v>
      </c>
      <c r="AY13" s="49"/>
      <c r="AZ13" s="49"/>
      <c r="BA13" s="49"/>
      <c r="BB13" s="49"/>
      <c r="BC13" s="50">
        <f t="shared" si="4"/>
        <v>3</v>
      </c>
      <c r="BD13" s="50">
        <v>2</v>
      </c>
      <c r="BE13" s="49">
        <v>1</v>
      </c>
      <c r="BF13" s="49"/>
      <c r="BG13" s="53"/>
      <c r="BH13" s="53">
        <f t="shared" si="5"/>
        <v>56</v>
      </c>
      <c r="BI13" s="54"/>
      <c r="BJ13" s="54"/>
    </row>
    <row r="14" s="29" customFormat="1" customHeight="1" spans="1:62">
      <c r="A14" s="44">
        <f>'7'!A14+1</f>
        <v>46120</v>
      </c>
      <c r="B14" s="55" t="s">
        <v>3310</v>
      </c>
      <c r="C14" s="55" t="s">
        <v>3289</v>
      </c>
      <c r="D14" s="55" t="s">
        <v>3311</v>
      </c>
      <c r="E14" s="47">
        <f>SUMIFS(卸车数据!$J$6:$J$1048576,卸车数据!$R$6:$R$1048576,"&gt;="&amp;A14+TIME(11,0,0),卸车数据!$R$6:$R$1048576,"&lt;"&amp;A14+TIME(12,0,0))</f>
        <v>5783</v>
      </c>
      <c r="F14" s="47">
        <v>2079</v>
      </c>
      <c r="G14" s="67">
        <v>108</v>
      </c>
      <c r="H14" s="51">
        <v>1</v>
      </c>
      <c r="I14" s="68" t="s">
        <v>3312</v>
      </c>
      <c r="J14" s="51"/>
      <c r="K14" s="58">
        <f t="shared" si="0"/>
        <v>13</v>
      </c>
      <c r="L14" s="58">
        <v>1</v>
      </c>
      <c r="M14" s="51">
        <v>5</v>
      </c>
      <c r="N14" s="51">
        <v>5</v>
      </c>
      <c r="O14" s="51"/>
      <c r="P14" s="51">
        <v>2</v>
      </c>
      <c r="Q14" s="51"/>
      <c r="R14" s="51"/>
      <c r="S14" s="51"/>
      <c r="T14" s="51"/>
      <c r="U14" s="51" t="s">
        <v>3313</v>
      </c>
      <c r="V14" s="51"/>
      <c r="W14" s="58">
        <f t="shared" si="1"/>
        <v>16</v>
      </c>
      <c r="X14" s="58">
        <v>1</v>
      </c>
      <c r="Y14" s="58">
        <v>8</v>
      </c>
      <c r="Z14" s="58">
        <v>5</v>
      </c>
      <c r="AA14" s="58"/>
      <c r="AB14" s="58"/>
      <c r="AC14" s="58">
        <v>2</v>
      </c>
      <c r="AD14" s="58"/>
      <c r="AE14" s="68" t="s">
        <v>3314</v>
      </c>
      <c r="AF14" s="51"/>
      <c r="AG14" s="58">
        <f t="shared" si="2"/>
        <v>16</v>
      </c>
      <c r="AH14" s="58">
        <v>1</v>
      </c>
      <c r="AI14" s="58">
        <v>1</v>
      </c>
      <c r="AJ14" s="58">
        <v>5</v>
      </c>
      <c r="AK14" s="50">
        <v>7</v>
      </c>
      <c r="AL14" s="58"/>
      <c r="AM14" s="58">
        <v>1</v>
      </c>
      <c r="AN14" s="58">
        <v>1</v>
      </c>
      <c r="AO14" s="58"/>
      <c r="AP14" s="51" t="s">
        <v>3315</v>
      </c>
      <c r="AQ14" s="51" t="s">
        <v>3316</v>
      </c>
      <c r="AR14" s="58">
        <f t="shared" si="3"/>
        <v>14</v>
      </c>
      <c r="AS14" s="58">
        <v>1</v>
      </c>
      <c r="AT14" s="58">
        <v>1</v>
      </c>
      <c r="AU14" s="58">
        <v>7</v>
      </c>
      <c r="AV14" s="58">
        <v>3</v>
      </c>
      <c r="AW14" s="58">
        <v>1</v>
      </c>
      <c r="AX14" s="58">
        <v>1</v>
      </c>
      <c r="AY14" s="51"/>
      <c r="AZ14" s="51"/>
      <c r="BA14" s="51"/>
      <c r="BB14" s="51"/>
      <c r="BC14" s="50">
        <f t="shared" si="4"/>
        <v>3</v>
      </c>
      <c r="BD14" s="58">
        <v>2</v>
      </c>
      <c r="BE14" s="49">
        <v>1</v>
      </c>
      <c r="BF14" s="49"/>
      <c r="BG14" s="69"/>
      <c r="BH14" s="53">
        <f t="shared" si="5"/>
        <v>62</v>
      </c>
      <c r="BI14" s="61" t="s">
        <v>3317</v>
      </c>
      <c r="BJ14" s="61">
        <v>6</v>
      </c>
    </row>
    <row r="15" s="28" customFormat="1" customHeight="1" spans="1:62">
      <c r="A15" s="44">
        <f>'7'!A15+1</f>
        <v>46120</v>
      </c>
      <c r="B15" s="45" t="s">
        <v>3318</v>
      </c>
      <c r="C15" s="45" t="s">
        <v>3289</v>
      </c>
      <c r="D15" s="70" t="s">
        <v>3319</v>
      </c>
      <c r="E15" s="47">
        <f>SUMIFS(卸车数据!$J$6:$J$1048576,卸车数据!$R$6:$R$1048576,"&gt;="&amp;A15+TIME(12,0,0),卸车数据!$R$6:$R$1048576,"&lt;"&amp;A15+TIME(13,0,0))</f>
        <v>15494</v>
      </c>
      <c r="F15" s="49">
        <v>6447</v>
      </c>
      <c r="G15" s="65">
        <v>15</v>
      </c>
      <c r="H15" s="49">
        <v>1</v>
      </c>
      <c r="I15" s="49" t="s">
        <v>3320</v>
      </c>
      <c r="J15" s="49" t="s">
        <v>3321</v>
      </c>
      <c r="K15" s="50">
        <f t="shared" si="0"/>
        <v>18</v>
      </c>
      <c r="L15" s="50">
        <v>1</v>
      </c>
      <c r="M15" s="49">
        <v>5</v>
      </c>
      <c r="N15" s="49">
        <v>5</v>
      </c>
      <c r="O15" s="49"/>
      <c r="P15" s="49">
        <v>3</v>
      </c>
      <c r="Q15" s="49"/>
      <c r="R15" s="49"/>
      <c r="S15" s="49"/>
      <c r="T15" s="66">
        <v>4</v>
      </c>
      <c r="U15" s="49" t="s">
        <v>3322</v>
      </c>
      <c r="V15" s="49" t="s">
        <v>3323</v>
      </c>
      <c r="W15" s="50">
        <f t="shared" si="1"/>
        <v>4</v>
      </c>
      <c r="X15" s="50">
        <v>1</v>
      </c>
      <c r="Y15" s="49"/>
      <c r="Z15" s="49"/>
      <c r="AA15" s="49">
        <v>1</v>
      </c>
      <c r="AB15" s="49"/>
      <c r="AC15" s="58">
        <v>2</v>
      </c>
      <c r="AD15" s="49"/>
      <c r="AE15" s="64" t="s">
        <v>3324</v>
      </c>
      <c r="AF15" s="49"/>
      <c r="AG15" s="50">
        <f t="shared" si="2"/>
        <v>20</v>
      </c>
      <c r="AH15" s="50">
        <v>1</v>
      </c>
      <c r="AI15" s="50">
        <v>3</v>
      </c>
      <c r="AJ15" s="49">
        <v>5</v>
      </c>
      <c r="AK15" s="50">
        <v>7</v>
      </c>
      <c r="AL15" s="49"/>
      <c r="AM15" s="49"/>
      <c r="AN15" s="49"/>
      <c r="AO15" s="66">
        <v>4</v>
      </c>
      <c r="AP15" s="49" t="s">
        <v>3325</v>
      </c>
      <c r="AQ15" s="49" t="s">
        <v>3326</v>
      </c>
      <c r="AR15" s="50">
        <f t="shared" si="3"/>
        <v>17</v>
      </c>
      <c r="AS15" s="50">
        <v>1</v>
      </c>
      <c r="AT15" s="50">
        <v>1</v>
      </c>
      <c r="AU15" s="50">
        <v>7</v>
      </c>
      <c r="AV15" s="50">
        <v>3</v>
      </c>
      <c r="AW15" s="50">
        <v>1</v>
      </c>
      <c r="AX15" s="50"/>
      <c r="AY15" s="49"/>
      <c r="AZ15" s="66">
        <v>4</v>
      </c>
      <c r="BA15" s="49"/>
      <c r="BB15" s="49"/>
      <c r="BC15" s="50">
        <f t="shared" si="4"/>
        <v>3</v>
      </c>
      <c r="BD15" s="50">
        <v>2</v>
      </c>
      <c r="BE15" s="49">
        <v>1</v>
      </c>
      <c r="BF15" s="49"/>
      <c r="BG15" s="53"/>
      <c r="BH15" s="53">
        <f t="shared" si="5"/>
        <v>62</v>
      </c>
      <c r="BI15" s="54"/>
      <c r="BJ15" s="54"/>
    </row>
    <row r="16" s="28" customFormat="1" customHeight="1" spans="1:62">
      <c r="A16" s="44">
        <f>'7'!A16+1</f>
        <v>46120</v>
      </c>
      <c r="B16" s="45" t="s">
        <v>3327</v>
      </c>
      <c r="C16" s="45" t="s">
        <v>3289</v>
      </c>
      <c r="D16" s="70" t="s">
        <v>3319</v>
      </c>
      <c r="E16" s="47">
        <f>SUMIFS(卸车数据!$J$6:$J$1048576,卸车数据!$R$6:$R$1048576,"&gt;="&amp;A16+TIME(13,0,0),卸车数据!$R$6:$R$1048576,"&lt;"&amp;A16+TIME(14,0,0))</f>
        <v>7807</v>
      </c>
      <c r="F16" s="49">
        <v>2601</v>
      </c>
      <c r="G16" s="65">
        <v>5148</v>
      </c>
      <c r="H16" s="49">
        <v>1</v>
      </c>
      <c r="I16" s="49" t="s">
        <v>3320</v>
      </c>
      <c r="J16" s="49" t="s">
        <v>3328</v>
      </c>
      <c r="K16" s="50">
        <f t="shared" si="0"/>
        <v>12</v>
      </c>
      <c r="L16" s="50">
        <v>1</v>
      </c>
      <c r="M16" s="49">
        <v>3</v>
      </c>
      <c r="N16" s="49">
        <v>5</v>
      </c>
      <c r="O16" s="49"/>
      <c r="P16" s="49">
        <v>3</v>
      </c>
      <c r="Q16" s="49"/>
      <c r="R16" s="49"/>
      <c r="S16" s="49"/>
      <c r="T16" s="49"/>
      <c r="U16" s="49" t="s">
        <v>3329</v>
      </c>
      <c r="V16" s="49"/>
      <c r="W16" s="50">
        <f t="shared" si="1"/>
        <v>16</v>
      </c>
      <c r="X16" s="50">
        <v>1</v>
      </c>
      <c r="Y16" s="49">
        <v>9</v>
      </c>
      <c r="Z16" s="49">
        <v>4</v>
      </c>
      <c r="AA16" s="49"/>
      <c r="AB16" s="49"/>
      <c r="AC16" s="58">
        <v>2</v>
      </c>
      <c r="AD16" s="49"/>
      <c r="AE16" s="49" t="s">
        <v>3330</v>
      </c>
      <c r="AF16" s="49"/>
      <c r="AG16" s="50">
        <f t="shared" si="2"/>
        <v>18</v>
      </c>
      <c r="AH16" s="50">
        <v>1</v>
      </c>
      <c r="AI16" s="50">
        <v>1</v>
      </c>
      <c r="AJ16" s="50">
        <v>5</v>
      </c>
      <c r="AK16" s="50">
        <v>7</v>
      </c>
      <c r="AL16" s="50"/>
      <c r="AM16" s="50">
        <v>1</v>
      </c>
      <c r="AN16" s="50">
        <v>1</v>
      </c>
      <c r="AO16" s="66">
        <v>2</v>
      </c>
      <c r="AP16" s="49" t="s">
        <v>3325</v>
      </c>
      <c r="AQ16" s="49" t="s">
        <v>3326</v>
      </c>
      <c r="AR16" s="50">
        <f t="shared" si="3"/>
        <v>13</v>
      </c>
      <c r="AS16" s="50">
        <v>1</v>
      </c>
      <c r="AT16" s="50">
        <v>1</v>
      </c>
      <c r="AU16" s="50">
        <v>7</v>
      </c>
      <c r="AV16" s="50">
        <v>3</v>
      </c>
      <c r="AW16" s="50">
        <v>1</v>
      </c>
      <c r="AX16" s="50"/>
      <c r="AY16" s="49"/>
      <c r="AZ16" s="49"/>
      <c r="BA16" s="49"/>
      <c r="BB16" s="49"/>
      <c r="BC16" s="50">
        <f t="shared" si="4"/>
        <v>3</v>
      </c>
      <c r="BD16" s="50">
        <v>2</v>
      </c>
      <c r="BE16" s="49">
        <v>1</v>
      </c>
      <c r="BF16" s="49"/>
      <c r="BG16" s="53"/>
      <c r="BH16" s="53">
        <f t="shared" si="5"/>
        <v>62</v>
      </c>
      <c r="BI16" s="54"/>
      <c r="BJ16" s="54"/>
    </row>
    <row r="17" s="28" customFormat="1" customHeight="1" spans="1:62">
      <c r="A17" s="44">
        <f>'7'!A17+1</f>
        <v>46120</v>
      </c>
      <c r="B17" s="45" t="s">
        <v>3331</v>
      </c>
      <c r="C17" s="45" t="s">
        <v>3289</v>
      </c>
      <c r="D17" s="70" t="s">
        <v>3319</v>
      </c>
      <c r="E17" s="47">
        <f>SUMIFS(卸车数据!$J$6:$J$1048576,卸车数据!$R$6:$R$1048576,"&gt;="&amp;A17+TIME(14,0,0),卸车数据!$R$6:$R$1048576,"&lt;"&amp;A17+TIME(15,0,0))</f>
        <v>5350</v>
      </c>
      <c r="F17" s="49">
        <v>1373</v>
      </c>
      <c r="G17" s="65">
        <v>7939</v>
      </c>
      <c r="H17" s="49">
        <v>1</v>
      </c>
      <c r="I17" s="49" t="s">
        <v>3332</v>
      </c>
      <c r="J17" s="49" t="s">
        <v>3333</v>
      </c>
      <c r="K17" s="50">
        <f t="shared" si="0"/>
        <v>12</v>
      </c>
      <c r="L17" s="50">
        <v>1</v>
      </c>
      <c r="M17" s="49">
        <v>3</v>
      </c>
      <c r="N17" s="49">
        <v>5</v>
      </c>
      <c r="O17" s="49"/>
      <c r="P17" s="49">
        <v>3</v>
      </c>
      <c r="Q17" s="49"/>
      <c r="R17" s="49"/>
      <c r="S17" s="49"/>
      <c r="T17" s="49"/>
      <c r="U17" s="49" t="s">
        <v>3329</v>
      </c>
      <c r="V17" s="49"/>
      <c r="W17" s="50">
        <f t="shared" si="1"/>
        <v>16</v>
      </c>
      <c r="X17" s="50">
        <v>1</v>
      </c>
      <c r="Y17" s="49">
        <v>9</v>
      </c>
      <c r="Z17" s="49">
        <v>4</v>
      </c>
      <c r="AA17" s="49"/>
      <c r="AB17" s="49"/>
      <c r="AC17" s="58">
        <v>2</v>
      </c>
      <c r="AD17" s="49"/>
      <c r="AE17" s="49"/>
      <c r="AF17" s="49"/>
      <c r="AG17" s="50">
        <f t="shared" si="2"/>
        <v>18</v>
      </c>
      <c r="AH17" s="50">
        <v>1</v>
      </c>
      <c r="AI17" s="50">
        <v>1</v>
      </c>
      <c r="AJ17" s="50">
        <v>5</v>
      </c>
      <c r="AK17" s="50">
        <v>7</v>
      </c>
      <c r="AL17" s="50"/>
      <c r="AM17" s="50">
        <v>1</v>
      </c>
      <c r="AN17" s="50">
        <v>1</v>
      </c>
      <c r="AO17" s="66">
        <v>2</v>
      </c>
      <c r="AP17" s="49" t="s">
        <v>3325</v>
      </c>
      <c r="AQ17" s="49" t="s">
        <v>3326</v>
      </c>
      <c r="AR17" s="50">
        <f t="shared" si="3"/>
        <v>13</v>
      </c>
      <c r="AS17" s="50">
        <v>1</v>
      </c>
      <c r="AT17" s="50">
        <v>1</v>
      </c>
      <c r="AU17" s="50">
        <v>7</v>
      </c>
      <c r="AV17" s="50">
        <v>3</v>
      </c>
      <c r="AW17" s="50">
        <v>1</v>
      </c>
      <c r="AX17" s="50"/>
      <c r="AY17" s="49"/>
      <c r="AZ17" s="49"/>
      <c r="BA17" s="49"/>
      <c r="BB17" s="49"/>
      <c r="BC17" s="50">
        <f t="shared" si="4"/>
        <v>3</v>
      </c>
      <c r="BD17" s="50">
        <v>2</v>
      </c>
      <c r="BE17" s="49">
        <v>1</v>
      </c>
      <c r="BF17" s="49"/>
      <c r="BG17" s="53"/>
      <c r="BH17" s="53">
        <f t="shared" si="5"/>
        <v>62</v>
      </c>
      <c r="BI17" s="54"/>
      <c r="BJ17" s="54"/>
    </row>
    <row r="18" s="28" customFormat="1" customHeight="1" spans="1:62">
      <c r="A18" s="44">
        <f>'7'!A18+1</f>
        <v>46120</v>
      </c>
      <c r="B18" s="45" t="s">
        <v>3334</v>
      </c>
      <c r="C18" s="45" t="s">
        <v>3289</v>
      </c>
      <c r="D18" s="46" t="s">
        <v>22</v>
      </c>
      <c r="E18" s="47">
        <f>SUMIFS(卸车数据!$J$6:$J$1048576,卸车数据!$R$6:$R$1048576,"&gt;="&amp;A18+TIME(15,0,0),卸车数据!$R$6:$R$1048576,"&lt;"&amp;A18+TIME(16,0,0))</f>
        <v>0</v>
      </c>
      <c r="F18" s="49">
        <v>3773</v>
      </c>
      <c r="G18" s="65">
        <v>7371</v>
      </c>
      <c r="H18" s="49">
        <v>1</v>
      </c>
      <c r="I18" s="49" t="s">
        <v>3335</v>
      </c>
      <c r="J18" s="49" t="s">
        <v>3336</v>
      </c>
      <c r="K18" s="50">
        <f t="shared" si="0"/>
        <v>12</v>
      </c>
      <c r="L18" s="50">
        <v>1</v>
      </c>
      <c r="M18" s="49">
        <v>5</v>
      </c>
      <c r="N18" s="49">
        <v>2</v>
      </c>
      <c r="O18" s="49"/>
      <c r="P18" s="49">
        <v>2</v>
      </c>
      <c r="Q18" s="49"/>
      <c r="R18" s="49">
        <v>2</v>
      </c>
      <c r="S18" s="49"/>
      <c r="T18" s="49"/>
      <c r="U18" s="49" t="s">
        <v>3337</v>
      </c>
      <c r="V18" s="49"/>
      <c r="W18" s="50">
        <f t="shared" si="1"/>
        <v>16</v>
      </c>
      <c r="X18" s="50">
        <v>1</v>
      </c>
      <c r="Y18" s="49">
        <v>9</v>
      </c>
      <c r="Z18" s="49">
        <v>4</v>
      </c>
      <c r="AA18" s="49"/>
      <c r="AB18" s="49"/>
      <c r="AC18" s="58">
        <v>2</v>
      </c>
      <c r="AD18" s="49"/>
      <c r="AE18" s="49" t="s">
        <v>3338</v>
      </c>
      <c r="AF18" s="49"/>
      <c r="AG18" s="50">
        <f t="shared" si="2"/>
        <v>18</v>
      </c>
      <c r="AH18" s="50">
        <v>1</v>
      </c>
      <c r="AI18" s="50">
        <v>1</v>
      </c>
      <c r="AJ18" s="50">
        <v>5</v>
      </c>
      <c r="AK18" s="50">
        <v>7</v>
      </c>
      <c r="AL18" s="50"/>
      <c r="AM18" s="50">
        <v>1</v>
      </c>
      <c r="AN18" s="50">
        <v>1</v>
      </c>
      <c r="AO18" s="66">
        <v>2</v>
      </c>
      <c r="AP18" s="49" t="s">
        <v>3325</v>
      </c>
      <c r="AQ18" s="49" t="s">
        <v>3326</v>
      </c>
      <c r="AR18" s="50">
        <f t="shared" si="3"/>
        <v>13</v>
      </c>
      <c r="AS18" s="50">
        <v>1</v>
      </c>
      <c r="AT18" s="50">
        <v>1</v>
      </c>
      <c r="AU18" s="50">
        <v>7</v>
      </c>
      <c r="AV18" s="50">
        <v>3</v>
      </c>
      <c r="AW18" s="50">
        <v>1</v>
      </c>
      <c r="AX18" s="50"/>
      <c r="AY18" s="49"/>
      <c r="AZ18" s="49"/>
      <c r="BA18" s="49"/>
      <c r="BB18" s="49"/>
      <c r="BC18" s="50">
        <f t="shared" si="4"/>
        <v>3</v>
      </c>
      <c r="BD18" s="50">
        <v>2</v>
      </c>
      <c r="BE18" s="49">
        <v>1</v>
      </c>
      <c r="BF18" s="49"/>
      <c r="BG18" s="53"/>
      <c r="BH18" s="53">
        <f t="shared" si="5"/>
        <v>62</v>
      </c>
      <c r="BI18" s="54"/>
      <c r="BJ18" s="54"/>
    </row>
    <row r="19" s="28" customFormat="1" customHeight="1" spans="1:62">
      <c r="A19" s="44">
        <f>'7'!A19+1</f>
        <v>46120</v>
      </c>
      <c r="B19" s="45" t="s">
        <v>3339</v>
      </c>
      <c r="C19" s="45" t="s">
        <v>3289</v>
      </c>
      <c r="D19" s="46" t="s">
        <v>22</v>
      </c>
      <c r="E19" s="47">
        <f>SUMIFS(卸车数据!$J$6:$J$1048576,卸车数据!$R$6:$R$1048576,"&gt;="&amp;A19+TIME(16,0,0),卸车数据!$R$6:$R$1048576,"&lt;"&amp;A19+TIME(17,0,0))</f>
        <v>0</v>
      </c>
      <c r="F19" s="49">
        <v>2631</v>
      </c>
      <c r="G19" s="65">
        <v>14176</v>
      </c>
      <c r="H19" s="49">
        <v>1</v>
      </c>
      <c r="I19" s="49" t="s">
        <v>3335</v>
      </c>
      <c r="J19" s="49" t="s">
        <v>3336</v>
      </c>
      <c r="K19" s="50">
        <f t="shared" si="0"/>
        <v>12</v>
      </c>
      <c r="L19" s="50">
        <v>1</v>
      </c>
      <c r="M19" s="49">
        <v>5</v>
      </c>
      <c r="N19" s="49">
        <v>2</v>
      </c>
      <c r="O19" s="49"/>
      <c r="P19" s="49">
        <v>2</v>
      </c>
      <c r="Q19" s="49"/>
      <c r="R19" s="49">
        <v>2</v>
      </c>
      <c r="S19" s="49"/>
      <c r="T19" s="49"/>
      <c r="U19" s="49" t="s">
        <v>3340</v>
      </c>
      <c r="V19" s="49"/>
      <c r="W19" s="50">
        <f t="shared" si="1"/>
        <v>16</v>
      </c>
      <c r="X19" s="50">
        <v>1</v>
      </c>
      <c r="Y19" s="49">
        <v>9</v>
      </c>
      <c r="Z19" s="49">
        <v>4</v>
      </c>
      <c r="AA19" s="49"/>
      <c r="AB19" s="49"/>
      <c r="AC19" s="58">
        <v>2</v>
      </c>
      <c r="AD19" s="49"/>
      <c r="AE19" s="49" t="s">
        <v>3341</v>
      </c>
      <c r="AF19" s="49"/>
      <c r="AG19" s="50">
        <f t="shared" si="2"/>
        <v>18</v>
      </c>
      <c r="AH19" s="50">
        <v>1</v>
      </c>
      <c r="AI19" s="50">
        <v>1</v>
      </c>
      <c r="AJ19" s="50">
        <v>5</v>
      </c>
      <c r="AK19" s="50">
        <v>7</v>
      </c>
      <c r="AL19" s="50"/>
      <c r="AM19" s="50">
        <v>1</v>
      </c>
      <c r="AN19" s="50">
        <v>1</v>
      </c>
      <c r="AO19" s="66">
        <v>2</v>
      </c>
      <c r="AP19" s="49" t="s">
        <v>3342</v>
      </c>
      <c r="AQ19" s="49" t="s">
        <v>3343</v>
      </c>
      <c r="AR19" s="50">
        <f t="shared" si="3"/>
        <v>13</v>
      </c>
      <c r="AS19" s="50">
        <v>1</v>
      </c>
      <c r="AT19" s="50">
        <v>1</v>
      </c>
      <c r="AU19" s="50">
        <v>7</v>
      </c>
      <c r="AV19" s="50">
        <v>3</v>
      </c>
      <c r="AW19" s="50">
        <v>1</v>
      </c>
      <c r="AX19" s="50"/>
      <c r="AY19" s="49"/>
      <c r="AZ19" s="49"/>
      <c r="BA19" s="49"/>
      <c r="BB19" s="49"/>
      <c r="BC19" s="50">
        <f t="shared" si="4"/>
        <v>3</v>
      </c>
      <c r="BD19" s="50">
        <v>2</v>
      </c>
      <c r="BE19" s="49">
        <v>1</v>
      </c>
      <c r="BF19" s="49"/>
      <c r="BG19" s="53"/>
      <c r="BH19" s="53">
        <f t="shared" si="5"/>
        <v>62</v>
      </c>
      <c r="BI19" s="54"/>
      <c r="BJ19" s="54"/>
    </row>
    <row r="20" s="28" customFormat="1" customHeight="1" spans="1:62">
      <c r="A20" s="44">
        <f>'7'!A20+1</f>
        <v>46120</v>
      </c>
      <c r="B20" s="45" t="s">
        <v>3344</v>
      </c>
      <c r="C20" s="45" t="s">
        <v>3289</v>
      </c>
      <c r="D20" s="70" t="s">
        <v>3319</v>
      </c>
      <c r="E20" s="47">
        <f>SUMIFS(卸车数据!$J$6:$J$1048576,卸车数据!$R$6:$R$1048576,"&gt;="&amp;A20+TIME(17,0,0),卸车数据!$R$6:$R$1048576,"&lt;"&amp;A20+TIME(18,0,0))</f>
        <v>11635</v>
      </c>
      <c r="F20" s="49">
        <v>3387</v>
      </c>
      <c r="G20" s="65">
        <v>25</v>
      </c>
      <c r="H20" s="49">
        <v>1</v>
      </c>
      <c r="I20" s="49" t="s">
        <v>3335</v>
      </c>
      <c r="J20" s="49" t="s">
        <v>3336</v>
      </c>
      <c r="K20" s="50">
        <f t="shared" si="0"/>
        <v>12</v>
      </c>
      <c r="L20" s="50">
        <v>1</v>
      </c>
      <c r="M20" s="49">
        <v>5</v>
      </c>
      <c r="N20" s="49">
        <v>2</v>
      </c>
      <c r="O20" s="49"/>
      <c r="P20" s="49">
        <v>2</v>
      </c>
      <c r="Q20" s="49"/>
      <c r="R20" s="49">
        <v>2</v>
      </c>
      <c r="S20" s="49"/>
      <c r="T20" s="49"/>
      <c r="U20" s="49" t="s">
        <v>3345</v>
      </c>
      <c r="V20" s="49"/>
      <c r="W20" s="50">
        <f t="shared" si="1"/>
        <v>16</v>
      </c>
      <c r="X20" s="50">
        <v>1</v>
      </c>
      <c r="Y20" s="49">
        <v>9</v>
      </c>
      <c r="Z20" s="49">
        <v>4</v>
      </c>
      <c r="AA20" s="49"/>
      <c r="AB20" s="49"/>
      <c r="AC20" s="58">
        <v>2</v>
      </c>
      <c r="AD20" s="49"/>
      <c r="AE20" s="49" t="s">
        <v>3346</v>
      </c>
      <c r="AF20" s="49"/>
      <c r="AG20" s="50">
        <f t="shared" si="2"/>
        <v>18</v>
      </c>
      <c r="AH20" s="50">
        <v>1</v>
      </c>
      <c r="AI20" s="50">
        <v>1</v>
      </c>
      <c r="AJ20" s="50">
        <v>5</v>
      </c>
      <c r="AK20" s="50">
        <v>7</v>
      </c>
      <c r="AL20" s="50"/>
      <c r="AM20" s="50">
        <v>1</v>
      </c>
      <c r="AN20" s="50">
        <v>1</v>
      </c>
      <c r="AO20" s="66">
        <v>2</v>
      </c>
      <c r="AP20" s="49" t="s">
        <v>3342</v>
      </c>
      <c r="AQ20" s="49" t="s">
        <v>3343</v>
      </c>
      <c r="AR20" s="50">
        <f t="shared" si="3"/>
        <v>13</v>
      </c>
      <c r="AS20" s="50">
        <v>1</v>
      </c>
      <c r="AT20" s="50">
        <v>1</v>
      </c>
      <c r="AU20" s="50">
        <v>7</v>
      </c>
      <c r="AV20" s="50">
        <v>3</v>
      </c>
      <c r="AW20" s="50">
        <v>1</v>
      </c>
      <c r="AX20" s="50"/>
      <c r="AY20" s="49"/>
      <c r="AZ20" s="49"/>
      <c r="BA20" s="49"/>
      <c r="BB20" s="49"/>
      <c r="BC20" s="50">
        <f t="shared" si="4"/>
        <v>3</v>
      </c>
      <c r="BD20" s="50">
        <v>2</v>
      </c>
      <c r="BE20" s="49">
        <v>1</v>
      </c>
      <c r="BF20" s="49"/>
      <c r="BG20" s="53"/>
      <c r="BH20" s="53">
        <f t="shared" si="5"/>
        <v>62</v>
      </c>
      <c r="BI20" s="54"/>
      <c r="BJ20" s="54"/>
    </row>
    <row r="21" s="29" customFormat="1" customHeight="1" spans="1:62">
      <c r="A21" s="44">
        <f>'7'!A21+1</f>
        <v>46120</v>
      </c>
      <c r="B21" s="55" t="s">
        <v>3347</v>
      </c>
      <c r="C21" s="55" t="s">
        <v>3265</v>
      </c>
      <c r="D21" s="70" t="s">
        <v>3319</v>
      </c>
      <c r="E21" s="47">
        <f>SUMIFS(卸车数据!$J$6:$J$1048576,卸车数据!$R$6:$R$1048576,"&gt;="&amp;A21+TIME(18,0,0),卸车数据!$R$6:$R$1048576,"&lt;"&amp;A21+TIME(19,0,0))</f>
        <v>7162</v>
      </c>
      <c r="F21" s="71">
        <v>2478</v>
      </c>
      <c r="G21" s="67">
        <v>1502</v>
      </c>
      <c r="H21" s="49">
        <v>1</v>
      </c>
      <c r="I21" s="51" t="s">
        <v>3348</v>
      </c>
      <c r="J21" s="51"/>
      <c r="K21" s="58">
        <f t="shared" si="0"/>
        <v>25</v>
      </c>
      <c r="L21" s="58">
        <v>1</v>
      </c>
      <c r="M21" s="51">
        <v>8</v>
      </c>
      <c r="N21" s="51">
        <v>3</v>
      </c>
      <c r="O21" s="51"/>
      <c r="P21" s="51">
        <v>6</v>
      </c>
      <c r="Q21" s="51">
        <v>5</v>
      </c>
      <c r="R21" s="51"/>
      <c r="S21" s="51"/>
      <c r="T21" s="66">
        <v>2</v>
      </c>
      <c r="U21" s="51" t="s">
        <v>3349</v>
      </c>
      <c r="V21" s="51"/>
      <c r="W21" s="58">
        <f t="shared" si="1"/>
        <v>18</v>
      </c>
      <c r="X21" s="58">
        <v>1</v>
      </c>
      <c r="Y21" s="51">
        <v>9</v>
      </c>
      <c r="Z21" s="51">
        <v>5</v>
      </c>
      <c r="AA21" s="51">
        <v>1</v>
      </c>
      <c r="AB21" s="51"/>
      <c r="AC21" s="51">
        <v>2</v>
      </c>
      <c r="AD21" s="51"/>
      <c r="AE21" s="51"/>
      <c r="AF21" s="51"/>
      <c r="AG21" s="58">
        <f t="shared" si="2"/>
        <v>35</v>
      </c>
      <c r="AH21" s="58">
        <v>1</v>
      </c>
      <c r="AI21" s="58">
        <v>8</v>
      </c>
      <c r="AJ21" s="51">
        <v>5</v>
      </c>
      <c r="AK21" s="51">
        <v>10</v>
      </c>
      <c r="AL21" s="51"/>
      <c r="AM21" s="51">
        <v>1</v>
      </c>
      <c r="AN21" s="51">
        <v>1</v>
      </c>
      <c r="AO21" s="66">
        <v>9</v>
      </c>
      <c r="AP21" s="51"/>
      <c r="AQ21" s="51" t="s">
        <v>3350</v>
      </c>
      <c r="AR21" s="58">
        <f t="shared" si="3"/>
        <v>15</v>
      </c>
      <c r="AS21" s="58">
        <v>1</v>
      </c>
      <c r="AT21" s="58"/>
      <c r="AU21" s="51">
        <v>8</v>
      </c>
      <c r="AV21" s="51">
        <v>5</v>
      </c>
      <c r="AW21" s="58"/>
      <c r="AX21" s="58">
        <v>1</v>
      </c>
      <c r="AY21" s="51"/>
      <c r="AZ21" s="51"/>
      <c r="BA21" s="52">
        <v>4</v>
      </c>
      <c r="BB21" s="51"/>
      <c r="BC21" s="50">
        <f t="shared" si="4"/>
        <v>3</v>
      </c>
      <c r="BD21" s="58">
        <v>3</v>
      </c>
      <c r="BE21" s="51"/>
      <c r="BF21" s="49"/>
      <c r="BG21" s="69"/>
      <c r="BH21" s="53">
        <f t="shared" si="5"/>
        <v>100</v>
      </c>
      <c r="BI21" s="61" t="s">
        <v>3265</v>
      </c>
      <c r="BJ21" s="61">
        <v>101</v>
      </c>
    </row>
    <row r="22" s="28" customFormat="1" customHeight="1" spans="1:62">
      <c r="A22" s="44">
        <f>'7'!A22+1</f>
        <v>46120</v>
      </c>
      <c r="B22" s="45" t="s">
        <v>3351</v>
      </c>
      <c r="C22" s="45" t="s">
        <v>3265</v>
      </c>
      <c r="D22" s="70" t="s">
        <v>3319</v>
      </c>
      <c r="E22" s="47">
        <f>SUMIFS(卸车数据!$J$6:$J$1048576,卸车数据!$R$6:$R$1048576,"&gt;="&amp;A22+TIME(19,0,0),卸车数据!$R$6:$R$1048576,"&lt;"&amp;A22+TIME(20,0,0))</f>
        <v>36383</v>
      </c>
      <c r="F22" s="71">
        <v>4544</v>
      </c>
      <c r="G22" s="65">
        <v>13682</v>
      </c>
      <c r="H22" s="49">
        <v>1</v>
      </c>
      <c r="I22" s="49"/>
      <c r="J22" s="49"/>
      <c r="K22" s="50">
        <f t="shared" si="0"/>
        <v>24</v>
      </c>
      <c r="L22" s="50">
        <v>1</v>
      </c>
      <c r="M22" s="51">
        <v>8</v>
      </c>
      <c r="N22" s="51">
        <v>3</v>
      </c>
      <c r="O22" s="51">
        <v>1</v>
      </c>
      <c r="P22" s="49">
        <v>6</v>
      </c>
      <c r="Q22" s="49">
        <v>5</v>
      </c>
      <c r="R22" s="49"/>
      <c r="S22" s="49"/>
      <c r="T22" s="49"/>
      <c r="U22" s="49"/>
      <c r="V22" s="49"/>
      <c r="W22" s="50">
        <f t="shared" si="1"/>
        <v>27</v>
      </c>
      <c r="X22" s="50">
        <v>1</v>
      </c>
      <c r="Y22" s="49">
        <v>13</v>
      </c>
      <c r="Z22" s="49">
        <v>10</v>
      </c>
      <c r="AA22" s="49">
        <v>1</v>
      </c>
      <c r="AB22" s="49"/>
      <c r="AC22" s="49">
        <v>2</v>
      </c>
      <c r="AD22" s="49"/>
      <c r="AE22" s="49"/>
      <c r="AF22" s="49"/>
      <c r="AG22" s="50">
        <f t="shared" si="2"/>
        <v>25</v>
      </c>
      <c r="AH22" s="50">
        <v>1</v>
      </c>
      <c r="AI22" s="58">
        <v>8</v>
      </c>
      <c r="AJ22" s="49">
        <v>5</v>
      </c>
      <c r="AK22" s="49">
        <v>9</v>
      </c>
      <c r="AL22" s="49"/>
      <c r="AM22" s="49">
        <v>1</v>
      </c>
      <c r="AN22" s="49">
        <v>1</v>
      </c>
      <c r="AO22" s="49"/>
      <c r="AP22" s="49"/>
      <c r="AQ22" s="49"/>
      <c r="AR22" s="50">
        <f t="shared" si="3"/>
        <v>17</v>
      </c>
      <c r="AS22" s="50">
        <v>1</v>
      </c>
      <c r="AT22" s="50">
        <v>2</v>
      </c>
      <c r="AU22" s="49">
        <v>8</v>
      </c>
      <c r="AV22" s="49">
        <v>5</v>
      </c>
      <c r="AW22" s="50"/>
      <c r="AX22" s="50">
        <v>1</v>
      </c>
      <c r="AY22" s="49"/>
      <c r="AZ22" s="49"/>
      <c r="BA22" s="52">
        <v>4</v>
      </c>
      <c r="BB22" s="49"/>
      <c r="BC22" s="50">
        <f t="shared" si="4"/>
        <v>3</v>
      </c>
      <c r="BD22" s="58">
        <v>3</v>
      </c>
      <c r="BE22" s="49"/>
      <c r="BF22" s="49"/>
      <c r="BG22" s="53"/>
      <c r="BH22" s="53">
        <f t="shared" si="5"/>
        <v>100</v>
      </c>
      <c r="BI22" s="54"/>
      <c r="BJ22" s="54"/>
    </row>
    <row r="23" s="26" customFormat="1" customHeight="1" spans="1:62">
      <c r="A23" s="44">
        <f>'7'!A23+1</f>
        <v>46120</v>
      </c>
      <c r="B23" s="45" t="s">
        <v>3352</v>
      </c>
      <c r="C23" s="45" t="s">
        <v>3265</v>
      </c>
      <c r="D23" s="70" t="s">
        <v>3319</v>
      </c>
      <c r="E23" s="47">
        <f>SUMIFS(卸车数据!$J$6:$J$1048576,卸车数据!$R$6:$R$1048576,"&gt;="&amp;A23+TIME(20,0,0),卸车数据!$R$6:$R$1048576,"&lt;"&amp;A23+TIME(21,0,0))</f>
        <v>20687</v>
      </c>
      <c r="F23" s="71">
        <v>6471</v>
      </c>
      <c r="G23" s="48">
        <v>13545</v>
      </c>
      <c r="H23" s="49">
        <v>1</v>
      </c>
      <c r="I23" s="64" t="s">
        <v>3353</v>
      </c>
      <c r="J23" s="49"/>
      <c r="K23" s="50">
        <f t="shared" si="0"/>
        <v>24</v>
      </c>
      <c r="L23" s="50">
        <v>1</v>
      </c>
      <c r="M23" s="51">
        <v>8</v>
      </c>
      <c r="N23" s="51">
        <v>3</v>
      </c>
      <c r="O23" s="51">
        <v>1</v>
      </c>
      <c r="P23" s="49">
        <v>6</v>
      </c>
      <c r="Q23" s="49">
        <v>5</v>
      </c>
      <c r="R23" s="49"/>
      <c r="S23" s="49"/>
      <c r="T23" s="49"/>
      <c r="U23" s="49"/>
      <c r="V23" s="49"/>
      <c r="W23" s="50">
        <f t="shared" si="1"/>
        <v>27</v>
      </c>
      <c r="X23" s="50">
        <v>1</v>
      </c>
      <c r="Y23" s="49">
        <v>13</v>
      </c>
      <c r="Z23" s="49">
        <v>10</v>
      </c>
      <c r="AA23" s="49">
        <v>1</v>
      </c>
      <c r="AB23" s="49"/>
      <c r="AC23" s="49">
        <v>2</v>
      </c>
      <c r="AD23" s="49"/>
      <c r="AE23" s="49"/>
      <c r="AF23" s="49"/>
      <c r="AG23" s="50">
        <f t="shared" si="2"/>
        <v>25</v>
      </c>
      <c r="AH23" s="50">
        <v>1</v>
      </c>
      <c r="AI23" s="58">
        <v>8</v>
      </c>
      <c r="AJ23" s="49">
        <v>5</v>
      </c>
      <c r="AK23" s="49">
        <v>9</v>
      </c>
      <c r="AL23" s="49"/>
      <c r="AM23" s="49">
        <v>1</v>
      </c>
      <c r="AN23" s="49">
        <v>1</v>
      </c>
      <c r="AO23" s="49"/>
      <c r="AP23" s="49"/>
      <c r="AQ23" s="49"/>
      <c r="AR23" s="50">
        <f t="shared" si="3"/>
        <v>17</v>
      </c>
      <c r="AS23" s="50">
        <v>1</v>
      </c>
      <c r="AT23" s="50">
        <v>2</v>
      </c>
      <c r="AU23" s="49">
        <v>8</v>
      </c>
      <c r="AV23" s="49">
        <v>5</v>
      </c>
      <c r="AW23" s="50"/>
      <c r="AX23" s="50">
        <v>1</v>
      </c>
      <c r="AY23" s="49"/>
      <c r="AZ23" s="49"/>
      <c r="BA23" s="52">
        <v>4</v>
      </c>
      <c r="BB23" s="49"/>
      <c r="BC23" s="50">
        <f t="shared" si="4"/>
        <v>3</v>
      </c>
      <c r="BD23" s="58">
        <v>3</v>
      </c>
      <c r="BE23" s="49"/>
      <c r="BF23" s="49"/>
      <c r="BG23" s="53"/>
      <c r="BH23" s="53">
        <f t="shared" si="5"/>
        <v>100</v>
      </c>
      <c r="BI23" s="54"/>
      <c r="BJ23" s="54"/>
    </row>
    <row r="24" s="26" customFormat="1" customHeight="1" spans="1:62">
      <c r="A24" s="44">
        <f>'7'!A24+1</f>
        <v>46120</v>
      </c>
      <c r="B24" s="45" t="s">
        <v>3354</v>
      </c>
      <c r="C24" s="45" t="s">
        <v>3265</v>
      </c>
      <c r="D24" s="70" t="s">
        <v>3319</v>
      </c>
      <c r="E24" s="47">
        <f>SUMIFS(卸车数据!$J$6:$J$1048576,卸车数据!$R$6:$R$1048576,"&gt;="&amp;A24+TIME(21,0,0),卸车数据!$R$6:$R$1048576,"&lt;"&amp;A24+TIME(22,0,0))</f>
        <v>734</v>
      </c>
      <c r="F24" s="71">
        <v>3859</v>
      </c>
      <c r="G24" s="48">
        <v>13677</v>
      </c>
      <c r="H24" s="49">
        <v>1</v>
      </c>
      <c r="I24" s="49"/>
      <c r="J24" s="49"/>
      <c r="K24" s="50">
        <f t="shared" si="0"/>
        <v>24</v>
      </c>
      <c r="L24" s="50">
        <v>1</v>
      </c>
      <c r="M24" s="51">
        <v>8</v>
      </c>
      <c r="N24" s="51">
        <v>3</v>
      </c>
      <c r="O24" s="51">
        <v>1</v>
      </c>
      <c r="P24" s="49">
        <v>6</v>
      </c>
      <c r="Q24" s="49">
        <v>5</v>
      </c>
      <c r="R24" s="49"/>
      <c r="S24" s="49"/>
      <c r="T24" s="49"/>
      <c r="U24" s="49"/>
      <c r="V24" s="49"/>
      <c r="W24" s="50">
        <f t="shared" si="1"/>
        <v>27</v>
      </c>
      <c r="X24" s="50">
        <v>1</v>
      </c>
      <c r="Y24" s="49">
        <v>13</v>
      </c>
      <c r="Z24" s="49">
        <v>10</v>
      </c>
      <c r="AA24" s="49">
        <v>1</v>
      </c>
      <c r="AB24" s="49"/>
      <c r="AC24" s="49">
        <v>2</v>
      </c>
      <c r="AD24" s="49"/>
      <c r="AE24" s="49"/>
      <c r="AF24" s="49"/>
      <c r="AG24" s="50">
        <f t="shared" si="2"/>
        <v>25</v>
      </c>
      <c r="AH24" s="50">
        <v>1</v>
      </c>
      <c r="AI24" s="58">
        <v>8</v>
      </c>
      <c r="AJ24" s="49">
        <v>5</v>
      </c>
      <c r="AK24" s="49">
        <v>9</v>
      </c>
      <c r="AL24" s="49"/>
      <c r="AM24" s="49">
        <v>1</v>
      </c>
      <c r="AN24" s="49">
        <v>1</v>
      </c>
      <c r="AO24" s="49"/>
      <c r="AP24" s="49"/>
      <c r="AQ24" s="49"/>
      <c r="AR24" s="50">
        <f t="shared" si="3"/>
        <v>17</v>
      </c>
      <c r="AS24" s="50">
        <v>1</v>
      </c>
      <c r="AT24" s="50">
        <v>2</v>
      </c>
      <c r="AU24" s="49">
        <v>8</v>
      </c>
      <c r="AV24" s="49">
        <v>5</v>
      </c>
      <c r="AW24" s="50"/>
      <c r="AX24" s="50">
        <v>1</v>
      </c>
      <c r="AY24" s="49"/>
      <c r="AZ24" s="49"/>
      <c r="BA24" s="52">
        <v>4</v>
      </c>
      <c r="BB24" s="50"/>
      <c r="BC24" s="50">
        <f t="shared" si="4"/>
        <v>3</v>
      </c>
      <c r="BD24" s="58">
        <v>3</v>
      </c>
      <c r="BE24" s="49"/>
      <c r="BF24" s="49"/>
      <c r="BG24" s="53"/>
      <c r="BH24" s="53">
        <f t="shared" si="5"/>
        <v>100</v>
      </c>
      <c r="BI24" s="54"/>
      <c r="BJ24" s="54"/>
    </row>
    <row r="25" s="26" customFormat="1" customHeight="1" spans="1:62">
      <c r="A25" s="44">
        <f>'7'!A25+1</f>
        <v>46120</v>
      </c>
      <c r="B25" s="45" t="s">
        <v>3355</v>
      </c>
      <c r="C25" s="45" t="s">
        <v>3265</v>
      </c>
      <c r="D25" s="70" t="s">
        <v>3319</v>
      </c>
      <c r="E25" s="47">
        <f>SUMIFS(卸车数据!$J$6:$J$1048576,卸车数据!$R$6:$R$1048576,"&gt;="&amp;A25+TIME(22,0,0),卸车数据!$R$6:$R$1048576,"&lt;"&amp;A25+TIME(23,0,0))</f>
        <v>3355</v>
      </c>
      <c r="F25" s="71">
        <v>1190</v>
      </c>
      <c r="G25" s="48">
        <v>9503</v>
      </c>
      <c r="H25" s="49">
        <v>1</v>
      </c>
      <c r="I25" s="64" t="s">
        <v>3356</v>
      </c>
      <c r="J25" s="49"/>
      <c r="K25" s="50">
        <f t="shared" si="0"/>
        <v>24</v>
      </c>
      <c r="L25" s="50">
        <v>1</v>
      </c>
      <c r="M25" s="51">
        <v>8</v>
      </c>
      <c r="N25" s="51">
        <v>3</v>
      </c>
      <c r="O25" s="51">
        <v>1</v>
      </c>
      <c r="P25" s="49">
        <v>6</v>
      </c>
      <c r="Q25" s="49">
        <v>5</v>
      </c>
      <c r="R25" s="49"/>
      <c r="S25" s="49"/>
      <c r="T25" s="49"/>
      <c r="U25" s="49"/>
      <c r="V25" s="49"/>
      <c r="W25" s="50">
        <f t="shared" si="1"/>
        <v>27</v>
      </c>
      <c r="X25" s="50">
        <v>1</v>
      </c>
      <c r="Y25" s="49">
        <v>13</v>
      </c>
      <c r="Z25" s="49">
        <v>10</v>
      </c>
      <c r="AA25" s="49">
        <v>1</v>
      </c>
      <c r="AB25" s="49"/>
      <c r="AC25" s="49">
        <v>2</v>
      </c>
      <c r="AD25" s="49"/>
      <c r="AE25" s="49"/>
      <c r="AF25" s="49"/>
      <c r="AG25" s="50">
        <f t="shared" si="2"/>
        <v>25</v>
      </c>
      <c r="AH25" s="50">
        <v>1</v>
      </c>
      <c r="AI25" s="58">
        <v>8</v>
      </c>
      <c r="AJ25" s="49">
        <v>5</v>
      </c>
      <c r="AK25" s="49">
        <v>9</v>
      </c>
      <c r="AL25" s="49"/>
      <c r="AM25" s="49">
        <v>1</v>
      </c>
      <c r="AN25" s="49">
        <v>1</v>
      </c>
      <c r="AO25" s="49"/>
      <c r="AP25" s="49"/>
      <c r="AQ25" s="49"/>
      <c r="AR25" s="50">
        <f t="shared" si="3"/>
        <v>17</v>
      </c>
      <c r="AS25" s="50">
        <v>1</v>
      </c>
      <c r="AT25" s="50">
        <v>2</v>
      </c>
      <c r="AU25" s="49">
        <v>8</v>
      </c>
      <c r="AV25" s="49">
        <v>5</v>
      </c>
      <c r="AW25" s="50"/>
      <c r="AX25" s="50">
        <v>1</v>
      </c>
      <c r="AY25" s="49"/>
      <c r="AZ25" s="49"/>
      <c r="BA25" s="52">
        <v>4</v>
      </c>
      <c r="BB25" s="50"/>
      <c r="BC25" s="50">
        <f t="shared" si="4"/>
        <v>3</v>
      </c>
      <c r="BD25" s="58">
        <v>3</v>
      </c>
      <c r="BE25" s="49"/>
      <c r="BF25" s="49"/>
      <c r="BG25" s="53"/>
      <c r="BH25" s="53">
        <f t="shared" si="5"/>
        <v>100</v>
      </c>
      <c r="BI25" s="54"/>
      <c r="BJ25" s="54"/>
    </row>
    <row r="26" s="27" customFormat="1" customHeight="1" spans="1:62">
      <c r="A26" s="44">
        <f>'7'!A26+1</f>
        <v>46120</v>
      </c>
      <c r="B26" s="55" t="s">
        <v>3357</v>
      </c>
      <c r="C26" s="55" t="s">
        <v>3265</v>
      </c>
      <c r="D26" s="72" t="s">
        <v>3311</v>
      </c>
      <c r="E26" s="47">
        <f>SUMIFS(卸车数据!$J$6:$J$1048576,卸车数据!$R$6:$R$1048576,"&gt;="&amp;A26+TIME(23,0,0),卸车数据!$R$6:$R$1048576,"&lt;"&amp;A26+TIME(0,0,0))</f>
        <v>0</v>
      </c>
      <c r="F26" s="73">
        <v>4306</v>
      </c>
      <c r="G26" s="57">
        <v>10328</v>
      </c>
      <c r="H26" s="51">
        <v>1</v>
      </c>
      <c r="I26" s="51" t="s">
        <v>3358</v>
      </c>
      <c r="J26" s="51"/>
      <c r="K26" s="58">
        <f t="shared" si="0"/>
        <v>24</v>
      </c>
      <c r="L26" s="58">
        <v>1</v>
      </c>
      <c r="M26" s="51">
        <v>10</v>
      </c>
      <c r="N26" s="51">
        <v>3</v>
      </c>
      <c r="O26" s="51"/>
      <c r="P26" s="51">
        <v>3</v>
      </c>
      <c r="Q26" s="51">
        <v>5</v>
      </c>
      <c r="R26" s="51">
        <v>2</v>
      </c>
      <c r="S26" s="51"/>
      <c r="T26" s="51"/>
      <c r="U26" s="51" t="s">
        <v>3359</v>
      </c>
      <c r="V26" s="51"/>
      <c r="W26" s="58">
        <f t="shared" si="1"/>
        <v>27</v>
      </c>
      <c r="X26" s="58">
        <v>1</v>
      </c>
      <c r="Y26" s="51">
        <v>13</v>
      </c>
      <c r="Z26" s="51">
        <v>10</v>
      </c>
      <c r="AA26" s="51">
        <v>1</v>
      </c>
      <c r="AB26" s="51"/>
      <c r="AC26" s="51">
        <v>2</v>
      </c>
      <c r="AD26" s="51"/>
      <c r="AE26" s="51" t="s">
        <v>3360</v>
      </c>
      <c r="AF26" s="51"/>
      <c r="AG26" s="58">
        <f t="shared" si="2"/>
        <v>25</v>
      </c>
      <c r="AH26" s="58">
        <v>1</v>
      </c>
      <c r="AI26" s="58">
        <v>8</v>
      </c>
      <c r="AJ26" s="58">
        <v>5</v>
      </c>
      <c r="AK26" s="51">
        <v>9</v>
      </c>
      <c r="AL26" s="51"/>
      <c r="AM26" s="51">
        <v>1</v>
      </c>
      <c r="AN26" s="51">
        <v>1</v>
      </c>
      <c r="AO26" s="51"/>
      <c r="AP26" s="51"/>
      <c r="AQ26" s="51"/>
      <c r="AR26" s="58">
        <f t="shared" si="3"/>
        <v>17</v>
      </c>
      <c r="AS26" s="58">
        <v>1</v>
      </c>
      <c r="AT26" s="50">
        <v>2</v>
      </c>
      <c r="AU26" s="51">
        <v>7</v>
      </c>
      <c r="AV26" s="51">
        <v>5</v>
      </c>
      <c r="AW26" s="58"/>
      <c r="AX26" s="58">
        <v>1</v>
      </c>
      <c r="AY26" s="51">
        <v>1</v>
      </c>
      <c r="AZ26" s="51"/>
      <c r="BA26" s="52">
        <v>4</v>
      </c>
      <c r="BB26" s="58"/>
      <c r="BC26" s="50">
        <f t="shared" si="4"/>
        <v>3</v>
      </c>
      <c r="BD26" s="58">
        <v>3</v>
      </c>
      <c r="BE26" s="51"/>
      <c r="BF26" s="49"/>
      <c r="BG26" s="69"/>
      <c r="BH26" s="53">
        <f t="shared" si="5"/>
        <v>100</v>
      </c>
      <c r="BI26" s="61">
        <v>8</v>
      </c>
      <c r="BJ26" s="61" t="s">
        <v>3361</v>
      </c>
    </row>
    <row r="27" s="30" customFormat="1" customHeight="1" spans="1:62">
      <c r="B27" s="74" t="s">
        <v>3362</v>
      </c>
      <c r="C27" s="74"/>
      <c r="D27" s="74"/>
      <c r="E27" s="74"/>
      <c r="F27" s="75"/>
      <c r="G27" s="75"/>
      <c r="H27" s="74"/>
      <c r="P27" s="76"/>
      <c r="Q27" s="76"/>
      <c r="V27" s="77"/>
      <c r="W27" s="77"/>
      <c r="BH27" s="31"/>
    </row>
    <row r="28" s="30" customFormat="1" customHeight="1" spans="1:62">
      <c r="B28" s="78" t="s">
        <v>3363</v>
      </c>
      <c r="C28" s="79"/>
      <c r="D28" s="79"/>
      <c r="E28" s="79"/>
      <c r="F28" s="79"/>
      <c r="G28" s="79"/>
      <c r="H28" s="80"/>
      <c r="I28" s="80"/>
      <c r="J28" s="80"/>
      <c r="K28" s="80"/>
      <c r="L28" s="80"/>
      <c r="M28" s="79"/>
      <c r="N28" s="81" t="s">
        <v>3364</v>
      </c>
      <c r="O28" s="81"/>
      <c r="Q28" s="79" t="s">
        <v>3365</v>
      </c>
      <c r="R28" s="79"/>
      <c r="BC28" s="31"/>
    </row>
    <row r="29" s="30" customFormat="1" customHeight="1" spans="1:62">
      <c r="B29" s="31" t="s">
        <v>3366</v>
      </c>
      <c r="C29" s="31"/>
      <c r="D29" s="82" t="s">
        <v>3367</v>
      </c>
      <c r="E29" s="83"/>
      <c r="F29" s="83"/>
      <c r="G29" s="83"/>
      <c r="H29" s="84"/>
      <c r="I29" s="85" t="s">
        <v>3368</v>
      </c>
      <c r="J29" s="86"/>
      <c r="K29" s="86"/>
      <c r="L29" s="86"/>
      <c r="M29" s="86"/>
      <c r="N29" s="86"/>
      <c r="O29" s="87"/>
      <c r="Q29" s="79"/>
      <c r="R29" s="79"/>
      <c r="BC29" s="31"/>
      <c r="BD29" s="88"/>
    </row>
    <row r="30" s="28" customFormat="1" customHeight="1" spans="1:62">
      <c r="K30" s="89"/>
      <c r="L30" s="89"/>
      <c r="Q30" s="79"/>
      <c r="R30" s="79"/>
      <c r="BC30" s="90"/>
      <c r="BD30" s="91"/>
    </row>
    <row r="31" s="31" customFormat="1" customHeight="1" spans="1:62">
      <c r="B31" s="31" t="s">
        <v>3369</v>
      </c>
      <c r="D31" s="92" t="s">
        <v>3370</v>
      </c>
      <c r="E31" s="93"/>
      <c r="F31" s="94"/>
      <c r="G31" s="94"/>
      <c r="H31" s="94"/>
      <c r="I31" s="95">
        <v>1800</v>
      </c>
      <c r="J31" s="94"/>
      <c r="K31" s="96"/>
      <c r="L31" s="97">
        <v>2330</v>
      </c>
      <c r="M31" s="94"/>
      <c r="N31" s="94"/>
      <c r="O31" s="98" t="s">
        <v>3370</v>
      </c>
      <c r="Q31" s="79"/>
      <c r="R31" s="79"/>
    </row>
  </sheetData>
  <mergeCells count="24">
    <mergeCell ref="I1:T1"/>
    <mergeCell ref="U1:AD1"/>
    <mergeCell ref="AF1:AO1"/>
    <mergeCell ref="AP1:AZ1"/>
    <mergeCell ref="BB1:BG1"/>
    <mergeCell ref="BI6:BJ6"/>
    <mergeCell ref="B27:H27"/>
    <mergeCell ref="V27:W27"/>
    <mergeCell ref="H28:L28"/>
    <mergeCell ref="N28:O28"/>
    <mergeCell ref="D29:H29"/>
    <mergeCell ref="I29:O29"/>
    <mergeCell ref="A1:A2"/>
    <mergeCell ref="B1:B2"/>
    <mergeCell ref="C1:C2"/>
    <mergeCell ref="D1:D2"/>
    <mergeCell ref="E1:E2"/>
    <mergeCell ref="F1:F2"/>
    <mergeCell ref="G1:G2"/>
    <mergeCell ref="H1:H2"/>
    <mergeCell ref="BA1:BA2"/>
    <mergeCell ref="BH1:BH2"/>
    <mergeCell ref="BI1:BJ2"/>
    <mergeCell ref="Q28:R31"/>
  </mergeCells>
  <pageMargins left="0.75" right="0.75" top="1" bottom="1" header="0.5" footer="0.5"/>
  <headerFooter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31"/>
  <sheetViews>
    <sheetView topLeftCell="Z9" workbookViewId="0">
      <selection activeCell="Z14" sqref="Z14"/>
    </sheetView>
  </sheetViews>
  <sheetFormatPr defaultColWidth="9.55555555555556" defaultRowHeight="40.2" customHeight="1"/>
  <cols>
    <col min="1" max="1" width="9.55555555555556" style="30"/>
    <col min="2" max="2" width="22.1111111111111" style="30" customWidth="1"/>
    <col min="3" max="7" width="9.55555555555556" style="30" customWidth="1"/>
    <col min="8" max="59" width="9" style="30" customWidth="1"/>
    <col min="60" max="60" width="9" style="31" customWidth="1"/>
    <col min="61" max="61" width="11.6666666666667" style="30" customWidth="1"/>
    <col min="62" max="16384" width="9.55555555555556" style="30"/>
  </cols>
  <sheetData>
    <row r="1" s="25" customFormat="1" customHeight="1" spans="1:62">
      <c r="A1" s="32" t="s">
        <v>3222</v>
      </c>
      <c r="B1" s="32" t="s">
        <v>3223</v>
      </c>
      <c r="C1" s="33" t="s">
        <v>3224</v>
      </c>
      <c r="D1" s="33" t="s">
        <v>3225</v>
      </c>
      <c r="E1" s="33" t="s">
        <v>3226</v>
      </c>
      <c r="F1" s="32" t="s">
        <v>3227</v>
      </c>
      <c r="G1" s="32" t="s">
        <v>3228</v>
      </c>
      <c r="H1" s="32" t="s">
        <v>3229</v>
      </c>
      <c r="I1" s="34" t="s">
        <v>3230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6"/>
      <c r="U1" s="32" t="s">
        <v>3231</v>
      </c>
      <c r="V1" s="32"/>
      <c r="W1" s="32"/>
      <c r="X1" s="32"/>
      <c r="Y1" s="32"/>
      <c r="Z1" s="32"/>
      <c r="AA1" s="32"/>
      <c r="AB1" s="32"/>
      <c r="AC1" s="32"/>
      <c r="AD1" s="32"/>
      <c r="AE1" s="35"/>
      <c r="AF1" s="35" t="s">
        <v>3232</v>
      </c>
      <c r="AG1" s="35"/>
      <c r="AH1" s="35"/>
      <c r="AI1" s="35"/>
      <c r="AJ1" s="35"/>
      <c r="AK1" s="35"/>
      <c r="AL1" s="35"/>
      <c r="AM1" s="35"/>
      <c r="AN1" s="35"/>
      <c r="AO1" s="36"/>
      <c r="AP1" s="34" t="s">
        <v>3233</v>
      </c>
      <c r="AQ1" s="35"/>
      <c r="AR1" s="35"/>
      <c r="AS1" s="35"/>
      <c r="AT1" s="35"/>
      <c r="AU1" s="35"/>
      <c r="AV1" s="35"/>
      <c r="AW1" s="35"/>
      <c r="AX1" s="35"/>
      <c r="AY1" s="35"/>
      <c r="AZ1" s="36"/>
      <c r="BA1" s="32" t="s">
        <v>3234</v>
      </c>
      <c r="BB1" s="34" t="s">
        <v>3235</v>
      </c>
      <c r="BC1" s="35"/>
      <c r="BD1" s="35"/>
      <c r="BE1" s="35"/>
      <c r="BF1" s="35"/>
      <c r="BG1" s="36"/>
      <c r="BH1" s="37" t="s">
        <v>1121</v>
      </c>
      <c r="BI1" s="38" t="s">
        <v>3371</v>
      </c>
      <c r="BJ1" s="39"/>
    </row>
    <row r="2" s="25" customFormat="1" ht="63" customHeight="1" spans="1:62">
      <c r="A2" s="32"/>
      <c r="B2" s="32"/>
      <c r="C2" s="40"/>
      <c r="D2" s="40"/>
      <c r="E2" s="40"/>
      <c r="F2" s="41"/>
      <c r="G2" s="41"/>
      <c r="H2" s="32"/>
      <c r="I2" s="42" t="s">
        <v>3237</v>
      </c>
      <c r="J2" s="42" t="s">
        <v>3238</v>
      </c>
      <c r="K2" s="32" t="s">
        <v>1143</v>
      </c>
      <c r="L2" s="32" t="s">
        <v>3239</v>
      </c>
      <c r="M2" s="32" t="s">
        <v>3240</v>
      </c>
      <c r="N2" s="32" t="s">
        <v>3241</v>
      </c>
      <c r="O2" s="32" t="s">
        <v>3242</v>
      </c>
      <c r="P2" s="32" t="s">
        <v>3243</v>
      </c>
      <c r="Q2" s="32" t="s">
        <v>3244</v>
      </c>
      <c r="R2" s="32" t="s">
        <v>3245</v>
      </c>
      <c r="S2" s="32" t="s">
        <v>3246</v>
      </c>
      <c r="T2" s="43" t="s">
        <v>3247</v>
      </c>
      <c r="U2" s="42" t="s">
        <v>3237</v>
      </c>
      <c r="V2" s="42" t="s">
        <v>3238</v>
      </c>
      <c r="W2" s="32" t="s">
        <v>1143</v>
      </c>
      <c r="X2" s="32" t="s">
        <v>3239</v>
      </c>
      <c r="Y2" s="32" t="s">
        <v>3248</v>
      </c>
      <c r="Z2" s="32" t="s">
        <v>3249</v>
      </c>
      <c r="AA2" s="32" t="s">
        <v>3250</v>
      </c>
      <c r="AB2" s="32" t="s">
        <v>3251</v>
      </c>
      <c r="AC2" s="32" t="s">
        <v>3252</v>
      </c>
      <c r="AD2" s="43" t="s">
        <v>3247</v>
      </c>
      <c r="AE2" s="42" t="s">
        <v>3237</v>
      </c>
      <c r="AF2" s="42" t="s">
        <v>3238</v>
      </c>
      <c r="AG2" s="32" t="s">
        <v>1143</v>
      </c>
      <c r="AH2" s="32" t="s">
        <v>3239</v>
      </c>
      <c r="AI2" s="32" t="s">
        <v>3253</v>
      </c>
      <c r="AJ2" s="32" t="s">
        <v>3254</v>
      </c>
      <c r="AK2" s="32" t="s">
        <v>3255</v>
      </c>
      <c r="AL2" s="32" t="s">
        <v>3256</v>
      </c>
      <c r="AM2" s="32" t="s">
        <v>3257</v>
      </c>
      <c r="AN2" s="32" t="s">
        <v>3258</v>
      </c>
      <c r="AO2" s="43" t="s">
        <v>3247</v>
      </c>
      <c r="AP2" s="42" t="s">
        <v>3237</v>
      </c>
      <c r="AQ2" s="42" t="s">
        <v>3238</v>
      </c>
      <c r="AR2" s="32" t="s">
        <v>1143</v>
      </c>
      <c r="AS2" s="32" t="s">
        <v>3239</v>
      </c>
      <c r="AT2" s="32" t="s">
        <v>3253</v>
      </c>
      <c r="AU2" s="32" t="s">
        <v>3254</v>
      </c>
      <c r="AV2" s="32" t="s">
        <v>3255</v>
      </c>
      <c r="AW2" s="32" t="s">
        <v>3256</v>
      </c>
      <c r="AX2" s="32" t="s">
        <v>3257</v>
      </c>
      <c r="AY2" s="32" t="s">
        <v>3258</v>
      </c>
      <c r="AZ2" s="43" t="s">
        <v>3247</v>
      </c>
      <c r="BA2" s="32"/>
      <c r="BB2" s="32" t="s">
        <v>3259</v>
      </c>
      <c r="BC2" s="32" t="s">
        <v>1143</v>
      </c>
      <c r="BD2" s="32" t="s">
        <v>3260</v>
      </c>
      <c r="BE2" s="32" t="s">
        <v>3261</v>
      </c>
      <c r="BF2" s="32" t="s">
        <v>3262</v>
      </c>
      <c r="BG2" s="32" t="s">
        <v>3263</v>
      </c>
      <c r="BH2" s="37"/>
      <c r="BI2" s="38"/>
      <c r="BJ2" s="39"/>
    </row>
    <row r="3" s="26" customFormat="1" customHeight="1" spans="1:62">
      <c r="A3" s="44">
        <f>'8'!A3+1</f>
        <v>46121</v>
      </c>
      <c r="B3" s="45" t="s">
        <v>3264</v>
      </c>
      <c r="C3" s="45" t="s">
        <v>3265</v>
      </c>
      <c r="D3" s="46" t="s">
        <v>22</v>
      </c>
      <c r="E3" s="47">
        <f>SUMIFS(卸车数据!$J$6:$J$1048576,卸车数据!$R$6:$R$1048576,"&gt;="&amp;A3+TIME(0,0,0),卸车数据!$R$6:$R$1048576,"&lt;"&amp;A3+TIME(1,0,0))</f>
        <v>19201</v>
      </c>
      <c r="F3" s="47">
        <v>1630</v>
      </c>
      <c r="G3" s="48">
        <v>10077</v>
      </c>
      <c r="H3" s="49">
        <v>1</v>
      </c>
      <c r="I3" s="49" t="s">
        <v>3266</v>
      </c>
      <c r="J3" s="49"/>
      <c r="K3" s="50">
        <f t="shared" ref="K3:K26" si="0">SUM(L3:T3)</f>
        <v>15</v>
      </c>
      <c r="L3" s="50">
        <v>1</v>
      </c>
      <c r="M3" s="49">
        <v>4</v>
      </c>
      <c r="N3" s="49">
        <v>2</v>
      </c>
      <c r="O3" s="49">
        <v>1</v>
      </c>
      <c r="P3" s="49">
        <v>4</v>
      </c>
      <c r="Q3" s="49">
        <v>1</v>
      </c>
      <c r="R3" s="49">
        <v>2</v>
      </c>
      <c r="S3" s="49"/>
      <c r="T3" s="49"/>
      <c r="U3" s="49"/>
      <c r="V3" s="49"/>
      <c r="W3" s="50">
        <f t="shared" ref="W3:W26" si="1">SUM(X3:AD3)</f>
        <v>21</v>
      </c>
      <c r="X3" s="50">
        <v>1</v>
      </c>
      <c r="Y3" s="49">
        <v>10</v>
      </c>
      <c r="Z3" s="49">
        <v>7</v>
      </c>
      <c r="AA3" s="49">
        <v>1</v>
      </c>
      <c r="AB3" s="49"/>
      <c r="AC3" s="49">
        <v>2</v>
      </c>
      <c r="AD3" s="49"/>
      <c r="AE3" s="49" t="s">
        <v>3267</v>
      </c>
      <c r="AF3" s="49"/>
      <c r="AG3" s="50">
        <f t="shared" ref="AG3:AG26" si="2">SUM(AH3:AO3)</f>
        <v>27</v>
      </c>
      <c r="AH3" s="50">
        <v>1</v>
      </c>
      <c r="AI3" s="50">
        <v>8</v>
      </c>
      <c r="AJ3" s="50">
        <v>6</v>
      </c>
      <c r="AK3" s="49">
        <v>10</v>
      </c>
      <c r="AL3" s="49"/>
      <c r="AM3" s="49">
        <v>1</v>
      </c>
      <c r="AN3" s="49">
        <v>1</v>
      </c>
      <c r="AO3" s="49"/>
      <c r="AP3" s="49"/>
      <c r="AQ3" s="49"/>
      <c r="AR3" s="50">
        <f t="shared" ref="AR3:AR26" si="3">SUM(AS3:AZ3)</f>
        <v>19</v>
      </c>
      <c r="AS3" s="50">
        <v>1</v>
      </c>
      <c r="AT3" s="50"/>
      <c r="AU3" s="49">
        <v>11</v>
      </c>
      <c r="AV3" s="51">
        <v>5</v>
      </c>
      <c r="AW3" s="50"/>
      <c r="AX3" s="50">
        <v>1</v>
      </c>
      <c r="AY3" s="49">
        <v>1</v>
      </c>
      <c r="AZ3" s="49"/>
      <c r="BA3" s="52">
        <v>4</v>
      </c>
      <c r="BB3" s="50"/>
      <c r="BC3" s="50">
        <f t="shared" ref="BC3:BC26" si="4">BD3+BE3+BF3</f>
        <v>3</v>
      </c>
      <c r="BD3" s="50">
        <v>3</v>
      </c>
      <c r="BE3" s="49"/>
      <c r="BF3" s="49"/>
      <c r="BG3" s="53"/>
      <c r="BH3" s="53">
        <f t="shared" ref="BH3:BH26" si="5">BC3+BA3+AR3+AG3+W3+K3</f>
        <v>89</v>
      </c>
      <c r="BI3" s="54"/>
      <c r="BJ3" s="54"/>
    </row>
    <row r="4" s="26" customFormat="1" customHeight="1" spans="1:62">
      <c r="A4" s="44">
        <f>'8'!A4+1</f>
        <v>46121</v>
      </c>
      <c r="B4" s="45" t="s">
        <v>3268</v>
      </c>
      <c r="C4" s="45" t="s">
        <v>3265</v>
      </c>
      <c r="D4" s="46" t="s">
        <v>22</v>
      </c>
      <c r="E4" s="47">
        <f>SUMIFS(卸车数据!$J$6:$J$1048576,卸车数据!$R$6:$R$1048576,"&gt;="&amp;A4+TIME(1,0,0),卸车数据!$R$6:$R$1048576,"&lt;"&amp;A4+TIME(2,0,0))</f>
        <v>2619</v>
      </c>
      <c r="F4" s="47">
        <v>3864</v>
      </c>
      <c r="G4" s="48">
        <v>12387</v>
      </c>
      <c r="H4" s="49">
        <v>1</v>
      </c>
      <c r="I4" s="49"/>
      <c r="J4" s="49"/>
      <c r="K4" s="50">
        <f t="shared" si="0"/>
        <v>15</v>
      </c>
      <c r="L4" s="50">
        <v>1</v>
      </c>
      <c r="M4" s="49">
        <v>4</v>
      </c>
      <c r="N4" s="49">
        <v>2</v>
      </c>
      <c r="O4" s="49">
        <v>1</v>
      </c>
      <c r="P4" s="49">
        <v>4</v>
      </c>
      <c r="Q4" s="49">
        <v>1</v>
      </c>
      <c r="R4" s="49">
        <v>2</v>
      </c>
      <c r="S4" s="49"/>
      <c r="T4" s="50"/>
      <c r="U4" s="49"/>
      <c r="V4" s="49"/>
      <c r="W4" s="50">
        <f t="shared" si="1"/>
        <v>21</v>
      </c>
      <c r="X4" s="50">
        <v>1</v>
      </c>
      <c r="Y4" s="49">
        <v>10</v>
      </c>
      <c r="Z4" s="49">
        <v>7</v>
      </c>
      <c r="AA4" s="49">
        <v>1</v>
      </c>
      <c r="AB4" s="49"/>
      <c r="AC4" s="49">
        <v>2</v>
      </c>
      <c r="AD4" s="49"/>
      <c r="AE4" s="49" t="s">
        <v>3269</v>
      </c>
      <c r="AF4" s="49"/>
      <c r="AG4" s="50">
        <f t="shared" si="2"/>
        <v>27</v>
      </c>
      <c r="AH4" s="50">
        <v>1</v>
      </c>
      <c r="AI4" s="50">
        <v>8</v>
      </c>
      <c r="AJ4" s="50">
        <v>6</v>
      </c>
      <c r="AK4" s="49">
        <v>10</v>
      </c>
      <c r="AL4" s="49"/>
      <c r="AM4" s="49">
        <v>1</v>
      </c>
      <c r="AN4" s="49">
        <v>1</v>
      </c>
      <c r="AO4" s="50"/>
      <c r="AP4" s="49"/>
      <c r="AQ4" s="49"/>
      <c r="AR4" s="50">
        <f t="shared" si="3"/>
        <v>19</v>
      </c>
      <c r="AS4" s="50">
        <v>1</v>
      </c>
      <c r="AT4" s="50"/>
      <c r="AU4" s="49">
        <v>11</v>
      </c>
      <c r="AV4" s="51">
        <v>5</v>
      </c>
      <c r="AW4" s="50"/>
      <c r="AX4" s="50">
        <v>1</v>
      </c>
      <c r="AY4" s="49">
        <v>1</v>
      </c>
      <c r="AZ4" s="50"/>
      <c r="BA4" s="52">
        <v>4</v>
      </c>
      <c r="BB4" s="50"/>
      <c r="BC4" s="50">
        <f t="shared" si="4"/>
        <v>3</v>
      </c>
      <c r="BD4" s="50">
        <v>3</v>
      </c>
      <c r="BE4" s="49"/>
      <c r="BF4" s="49"/>
      <c r="BG4" s="53"/>
      <c r="BH4" s="53">
        <f t="shared" si="5"/>
        <v>89</v>
      </c>
      <c r="BI4" s="54"/>
      <c r="BJ4" s="54"/>
    </row>
    <row r="5" s="26" customFormat="1" customHeight="1" spans="1:62">
      <c r="A5" s="44">
        <f>'8'!A5+1</f>
        <v>46121</v>
      </c>
      <c r="B5" s="45" t="s">
        <v>3270</v>
      </c>
      <c r="C5" s="45" t="s">
        <v>3265</v>
      </c>
      <c r="D5" s="46" t="s">
        <v>22</v>
      </c>
      <c r="E5" s="47">
        <f>SUMIFS(卸车数据!$J$6:$J$1048576,卸车数据!$R$6:$R$1048576,"&gt;="&amp;A5+TIME(2,0,0),卸车数据!$R$6:$R$1048576,"&lt;"&amp;A5+TIME(3,0,0))</f>
        <v>0</v>
      </c>
      <c r="F5" s="47">
        <v>3864</v>
      </c>
      <c r="G5" s="48">
        <v>14609</v>
      </c>
      <c r="H5" s="49">
        <v>1</v>
      </c>
      <c r="I5" s="49" t="s">
        <v>3271</v>
      </c>
      <c r="J5" s="49"/>
      <c r="K5" s="50">
        <f t="shared" si="0"/>
        <v>15</v>
      </c>
      <c r="L5" s="50">
        <v>1</v>
      </c>
      <c r="M5" s="49">
        <v>4</v>
      </c>
      <c r="N5" s="49">
        <v>2</v>
      </c>
      <c r="O5" s="49">
        <v>1</v>
      </c>
      <c r="P5" s="49">
        <v>4</v>
      </c>
      <c r="Q5" s="49">
        <v>1</v>
      </c>
      <c r="R5" s="49">
        <v>2</v>
      </c>
      <c r="S5" s="49"/>
      <c r="T5" s="50"/>
      <c r="U5" s="49" t="s">
        <v>3272</v>
      </c>
      <c r="V5" s="49"/>
      <c r="W5" s="50">
        <f t="shared" si="1"/>
        <v>21</v>
      </c>
      <c r="X5" s="50">
        <v>1</v>
      </c>
      <c r="Y5" s="49">
        <v>10</v>
      </c>
      <c r="Z5" s="49">
        <v>7</v>
      </c>
      <c r="AA5" s="49">
        <v>1</v>
      </c>
      <c r="AB5" s="49"/>
      <c r="AC5" s="49">
        <v>2</v>
      </c>
      <c r="AD5" s="49"/>
      <c r="AE5" s="49"/>
      <c r="AF5" s="49"/>
      <c r="AG5" s="50">
        <f t="shared" si="2"/>
        <v>27</v>
      </c>
      <c r="AH5" s="50">
        <v>1</v>
      </c>
      <c r="AI5" s="50">
        <v>8</v>
      </c>
      <c r="AJ5" s="50">
        <v>6</v>
      </c>
      <c r="AK5" s="49">
        <v>10</v>
      </c>
      <c r="AL5" s="49"/>
      <c r="AM5" s="49">
        <v>1</v>
      </c>
      <c r="AN5" s="49">
        <v>1</v>
      </c>
      <c r="AO5" s="50"/>
      <c r="AP5" s="49"/>
      <c r="AQ5" s="49"/>
      <c r="AR5" s="50">
        <f t="shared" si="3"/>
        <v>19</v>
      </c>
      <c r="AS5" s="50">
        <v>1</v>
      </c>
      <c r="AT5" s="50"/>
      <c r="AU5" s="49">
        <v>11</v>
      </c>
      <c r="AV5" s="51">
        <v>5</v>
      </c>
      <c r="AW5" s="50"/>
      <c r="AX5" s="50">
        <v>1</v>
      </c>
      <c r="AY5" s="49">
        <v>1</v>
      </c>
      <c r="AZ5" s="50"/>
      <c r="BA5" s="52">
        <v>4</v>
      </c>
      <c r="BB5" s="50"/>
      <c r="BC5" s="50">
        <f t="shared" si="4"/>
        <v>3</v>
      </c>
      <c r="BD5" s="50">
        <v>3</v>
      </c>
      <c r="BE5" s="49"/>
      <c r="BF5" s="49"/>
      <c r="BG5" s="49"/>
      <c r="BH5" s="53">
        <f t="shared" si="5"/>
        <v>89</v>
      </c>
      <c r="BI5" s="54"/>
      <c r="BJ5" s="54"/>
    </row>
    <row r="6" s="27" customFormat="1" customHeight="1" spans="1:62">
      <c r="A6" s="44">
        <f>'8'!A6+1</f>
        <v>46121</v>
      </c>
      <c r="B6" s="55" t="s">
        <v>3273</v>
      </c>
      <c r="C6" s="55" t="s">
        <v>3265</v>
      </c>
      <c r="D6" s="46" t="s">
        <v>22</v>
      </c>
      <c r="E6" s="47">
        <f>SUMIFS(卸车数据!$J$6:$J$1048576,卸车数据!$R$6:$R$1048576,"&gt;="&amp;A6+TIME(3,0,0),卸车数据!$R$6:$R$1048576,"&lt;"&amp;A6+TIME(4,0,0))</f>
        <v>502</v>
      </c>
      <c r="F6" s="56">
        <v>4335</v>
      </c>
      <c r="G6" s="57">
        <v>8116</v>
      </c>
      <c r="H6" s="51">
        <v>1</v>
      </c>
      <c r="I6" s="51" t="s">
        <v>3274</v>
      </c>
      <c r="J6" s="51"/>
      <c r="K6" s="58">
        <f t="shared" si="0"/>
        <v>15</v>
      </c>
      <c r="L6" s="58">
        <v>1</v>
      </c>
      <c r="M6" s="51">
        <v>4</v>
      </c>
      <c r="N6" s="51">
        <v>2</v>
      </c>
      <c r="O6" s="51">
        <v>1</v>
      </c>
      <c r="P6" s="51">
        <v>4</v>
      </c>
      <c r="Q6" s="51">
        <v>1</v>
      </c>
      <c r="R6" s="51">
        <v>2</v>
      </c>
      <c r="S6" s="51"/>
      <c r="T6" s="58"/>
      <c r="U6" s="51" t="s">
        <v>3275</v>
      </c>
      <c r="V6" s="51" t="s">
        <v>3276</v>
      </c>
      <c r="W6" s="58">
        <f t="shared" si="1"/>
        <v>13</v>
      </c>
      <c r="X6" s="58">
        <v>1</v>
      </c>
      <c r="Y6" s="51">
        <v>4</v>
      </c>
      <c r="Z6" s="51">
        <v>5</v>
      </c>
      <c r="AA6" s="51">
        <v>1</v>
      </c>
      <c r="AB6" s="49"/>
      <c r="AC6" s="51">
        <v>2</v>
      </c>
      <c r="AD6" s="51"/>
      <c r="AE6" s="51"/>
      <c r="AF6" s="51"/>
      <c r="AG6" s="58">
        <f t="shared" si="2"/>
        <v>31</v>
      </c>
      <c r="AH6" s="58">
        <v>1</v>
      </c>
      <c r="AI6" s="58">
        <v>8</v>
      </c>
      <c r="AJ6" s="58">
        <v>6</v>
      </c>
      <c r="AK6" s="49">
        <v>10</v>
      </c>
      <c r="AL6" s="51"/>
      <c r="AM6" s="51">
        <v>1</v>
      </c>
      <c r="AN6" s="51">
        <v>1</v>
      </c>
      <c r="AO6" s="59">
        <v>4</v>
      </c>
      <c r="AP6" s="51" t="s">
        <v>3277</v>
      </c>
      <c r="AQ6" s="51" t="s">
        <v>3278</v>
      </c>
      <c r="AR6" s="58">
        <f t="shared" si="3"/>
        <v>22</v>
      </c>
      <c r="AS6" s="58">
        <v>1</v>
      </c>
      <c r="AT6" s="58"/>
      <c r="AU6" s="51">
        <v>11</v>
      </c>
      <c r="AV6" s="51">
        <v>5</v>
      </c>
      <c r="AW6" s="58"/>
      <c r="AX6" s="58">
        <v>1</v>
      </c>
      <c r="AY6" s="51">
        <v>1</v>
      </c>
      <c r="AZ6" s="59">
        <v>3</v>
      </c>
      <c r="BA6" s="52">
        <v>4</v>
      </c>
      <c r="BB6" s="58"/>
      <c r="BC6" s="50">
        <f t="shared" si="4"/>
        <v>3</v>
      </c>
      <c r="BD6" s="58">
        <v>3</v>
      </c>
      <c r="BE6" s="51"/>
      <c r="BF6" s="49"/>
      <c r="BG6" s="51"/>
      <c r="BH6" s="53">
        <f t="shared" si="5"/>
        <v>88</v>
      </c>
      <c r="BI6" s="60" t="s">
        <v>3279</v>
      </c>
      <c r="BJ6" s="61"/>
    </row>
    <row r="7" s="26" customFormat="1" customHeight="1" spans="1:62">
      <c r="A7" s="44">
        <f>'8'!A7+1</f>
        <v>46121</v>
      </c>
      <c r="B7" s="45" t="s">
        <v>3280</v>
      </c>
      <c r="C7" s="45" t="s">
        <v>3265</v>
      </c>
      <c r="D7" s="46" t="s">
        <v>22</v>
      </c>
      <c r="E7" s="47">
        <f>SUMIFS(卸车数据!$J$6:$J$1048576,卸车数据!$R$6:$R$1048576,"&gt;="&amp;A7+TIME(4,0,0),卸车数据!$R$6:$R$1048576,"&lt;"&amp;A7+TIME(5,0,0))</f>
        <v>5365</v>
      </c>
      <c r="F7" s="47">
        <v>4885</v>
      </c>
      <c r="G7" s="48">
        <v>1427</v>
      </c>
      <c r="H7" s="49">
        <v>1</v>
      </c>
      <c r="I7" s="49" t="s">
        <v>3281</v>
      </c>
      <c r="J7" s="49"/>
      <c r="K7" s="50">
        <f t="shared" si="0"/>
        <v>15</v>
      </c>
      <c r="L7" s="50">
        <v>1</v>
      </c>
      <c r="M7" s="49">
        <v>4</v>
      </c>
      <c r="N7" s="49">
        <v>2</v>
      </c>
      <c r="O7" s="49">
        <v>1</v>
      </c>
      <c r="P7" s="49">
        <v>4</v>
      </c>
      <c r="Q7" s="49">
        <v>1</v>
      </c>
      <c r="R7" s="49">
        <v>2</v>
      </c>
      <c r="S7" s="49"/>
      <c r="T7" s="50"/>
      <c r="U7" s="49"/>
      <c r="V7" s="49"/>
      <c r="W7" s="50">
        <f t="shared" si="1"/>
        <v>21</v>
      </c>
      <c r="X7" s="50">
        <v>1</v>
      </c>
      <c r="Y7" s="49">
        <v>10</v>
      </c>
      <c r="Z7" s="49">
        <v>7</v>
      </c>
      <c r="AA7" s="49">
        <v>1</v>
      </c>
      <c r="AB7" s="49"/>
      <c r="AC7" s="49">
        <v>2</v>
      </c>
      <c r="AD7" s="49"/>
      <c r="AE7" s="49" t="s">
        <v>3282</v>
      </c>
      <c r="AF7" s="49"/>
      <c r="AG7" s="50">
        <f t="shared" si="2"/>
        <v>27</v>
      </c>
      <c r="AH7" s="50">
        <v>1</v>
      </c>
      <c r="AI7" s="50">
        <v>8</v>
      </c>
      <c r="AJ7" s="50">
        <v>6</v>
      </c>
      <c r="AK7" s="49">
        <v>10</v>
      </c>
      <c r="AL7" s="49"/>
      <c r="AM7" s="49">
        <v>1</v>
      </c>
      <c r="AN7" s="49">
        <v>1</v>
      </c>
      <c r="AO7" s="50"/>
      <c r="AP7" s="49"/>
      <c r="AQ7" s="49"/>
      <c r="AR7" s="50">
        <f t="shared" si="3"/>
        <v>19</v>
      </c>
      <c r="AS7" s="50">
        <v>1</v>
      </c>
      <c r="AT7" s="50"/>
      <c r="AU7" s="49">
        <v>11</v>
      </c>
      <c r="AV7" s="51">
        <v>5</v>
      </c>
      <c r="AW7" s="50"/>
      <c r="AX7" s="50">
        <v>1</v>
      </c>
      <c r="AY7" s="49">
        <v>1</v>
      </c>
      <c r="AZ7" s="50"/>
      <c r="BA7" s="52">
        <v>4</v>
      </c>
      <c r="BB7" s="50"/>
      <c r="BC7" s="50">
        <f t="shared" si="4"/>
        <v>3</v>
      </c>
      <c r="BD7" s="50">
        <v>3</v>
      </c>
      <c r="BE7" s="49"/>
      <c r="BF7" s="49"/>
      <c r="BG7" s="49"/>
      <c r="BH7" s="53">
        <f t="shared" si="5"/>
        <v>89</v>
      </c>
      <c r="BI7" s="54"/>
      <c r="BJ7" s="54"/>
    </row>
    <row r="8" s="26" customFormat="1" customHeight="1" spans="1:62">
      <c r="A8" s="44">
        <f>'8'!A8+1</f>
        <v>46121</v>
      </c>
      <c r="B8" s="45" t="s">
        <v>3283</v>
      </c>
      <c r="C8" s="45" t="s">
        <v>3265</v>
      </c>
      <c r="D8" s="46" t="s">
        <v>22</v>
      </c>
      <c r="E8" s="47">
        <f>SUMIFS(卸车数据!$J$6:$J$1048576,卸车数据!$R$6:$R$1048576,"&gt;="&amp;A8+TIME(5,0,0),卸车数据!$R$6:$R$1048576,"&lt;"&amp;A8+TIME(6,0,0))</f>
        <v>247</v>
      </c>
      <c r="F8" s="47">
        <v>3285</v>
      </c>
      <c r="G8" s="48">
        <v>12372</v>
      </c>
      <c r="H8" s="49">
        <v>1</v>
      </c>
      <c r="I8" s="49" t="s">
        <v>3284</v>
      </c>
      <c r="J8" s="49"/>
      <c r="K8" s="50">
        <f t="shared" si="0"/>
        <v>15</v>
      </c>
      <c r="L8" s="50">
        <v>1</v>
      </c>
      <c r="M8" s="49">
        <v>4</v>
      </c>
      <c r="N8" s="49">
        <v>2</v>
      </c>
      <c r="O8" s="49">
        <v>1</v>
      </c>
      <c r="P8" s="49">
        <v>4</v>
      </c>
      <c r="Q8" s="49">
        <v>1</v>
      </c>
      <c r="R8" s="49">
        <v>2</v>
      </c>
      <c r="S8" s="50"/>
      <c r="T8" s="50"/>
      <c r="U8" s="49"/>
      <c r="V8" s="49"/>
      <c r="W8" s="50">
        <f t="shared" si="1"/>
        <v>21</v>
      </c>
      <c r="X8" s="50">
        <v>1</v>
      </c>
      <c r="Y8" s="49">
        <v>10</v>
      </c>
      <c r="Z8" s="49">
        <v>7</v>
      </c>
      <c r="AA8" s="49">
        <v>1</v>
      </c>
      <c r="AB8" s="49"/>
      <c r="AC8" s="49">
        <v>2</v>
      </c>
      <c r="AD8" s="50"/>
      <c r="AE8" s="49" t="s">
        <v>3285</v>
      </c>
      <c r="AF8" s="49"/>
      <c r="AG8" s="50">
        <f t="shared" si="2"/>
        <v>27</v>
      </c>
      <c r="AH8" s="50">
        <v>1</v>
      </c>
      <c r="AI8" s="50">
        <v>8</v>
      </c>
      <c r="AJ8" s="50">
        <v>6</v>
      </c>
      <c r="AK8" s="49">
        <v>10</v>
      </c>
      <c r="AL8" s="49"/>
      <c r="AM8" s="49">
        <v>1</v>
      </c>
      <c r="AN8" s="49">
        <v>1</v>
      </c>
      <c r="AO8" s="50"/>
      <c r="AP8" s="49"/>
      <c r="AQ8" s="49"/>
      <c r="AR8" s="50">
        <f t="shared" si="3"/>
        <v>19</v>
      </c>
      <c r="AS8" s="50">
        <v>1</v>
      </c>
      <c r="AT8" s="50"/>
      <c r="AU8" s="49">
        <v>11</v>
      </c>
      <c r="AV8" s="51">
        <v>5</v>
      </c>
      <c r="AW8" s="50"/>
      <c r="AX8" s="50">
        <v>1</v>
      </c>
      <c r="AY8" s="49">
        <v>1</v>
      </c>
      <c r="AZ8" s="50"/>
      <c r="BA8" s="52">
        <v>4</v>
      </c>
      <c r="BB8" s="50"/>
      <c r="BC8" s="50">
        <f t="shared" si="4"/>
        <v>3</v>
      </c>
      <c r="BD8" s="50">
        <v>3</v>
      </c>
      <c r="BE8" s="49"/>
      <c r="BF8" s="49"/>
      <c r="BG8" s="49"/>
      <c r="BH8" s="53">
        <f t="shared" si="5"/>
        <v>89</v>
      </c>
      <c r="BI8" s="54"/>
      <c r="BJ8" s="54"/>
    </row>
    <row r="9" s="26" customFormat="1" customHeight="1" spans="1:62">
      <c r="A9" s="44">
        <f>'8'!A9+1</f>
        <v>46121</v>
      </c>
      <c r="B9" s="45" t="s">
        <v>3286</v>
      </c>
      <c r="C9" s="45" t="s">
        <v>3265</v>
      </c>
      <c r="D9" s="46" t="s">
        <v>22</v>
      </c>
      <c r="E9" s="47">
        <f>SUMIFS(卸车数据!$J$6:$J$1048576,卸车数据!$R$6:$R$1048576,"&gt;="&amp;A9+TIME(6,0,0),卸车数据!$R$6:$R$1048576,"&lt;"&amp;A9+TIME(7,0,0))</f>
        <v>622</v>
      </c>
      <c r="F9" s="47">
        <v>1658</v>
      </c>
      <c r="G9" s="48">
        <v>219</v>
      </c>
      <c r="H9" s="49">
        <v>1</v>
      </c>
      <c r="I9" s="49" t="s">
        <v>3287</v>
      </c>
      <c r="J9" s="49"/>
      <c r="K9" s="50">
        <f t="shared" si="0"/>
        <v>15</v>
      </c>
      <c r="L9" s="50">
        <v>1</v>
      </c>
      <c r="M9" s="49">
        <v>4</v>
      </c>
      <c r="N9" s="49">
        <v>2</v>
      </c>
      <c r="O9" s="49">
        <v>1</v>
      </c>
      <c r="P9" s="49">
        <v>4</v>
      </c>
      <c r="Q9" s="49">
        <v>1</v>
      </c>
      <c r="R9" s="49">
        <v>2</v>
      </c>
      <c r="S9" s="50"/>
      <c r="T9" s="50"/>
      <c r="U9" s="49"/>
      <c r="V9" s="49"/>
      <c r="W9" s="50">
        <f t="shared" si="1"/>
        <v>21</v>
      </c>
      <c r="X9" s="50">
        <v>1</v>
      </c>
      <c r="Y9" s="49">
        <v>10</v>
      </c>
      <c r="Z9" s="49">
        <v>7</v>
      </c>
      <c r="AA9" s="49">
        <v>1</v>
      </c>
      <c r="AB9" s="49"/>
      <c r="AC9" s="49">
        <v>2</v>
      </c>
      <c r="AD9" s="50"/>
      <c r="AE9" s="49"/>
      <c r="AF9" s="49"/>
      <c r="AG9" s="50">
        <f t="shared" si="2"/>
        <v>27</v>
      </c>
      <c r="AH9" s="50">
        <v>1</v>
      </c>
      <c r="AI9" s="50">
        <v>8</v>
      </c>
      <c r="AJ9" s="50">
        <v>6</v>
      </c>
      <c r="AK9" s="49">
        <v>10</v>
      </c>
      <c r="AL9" s="49"/>
      <c r="AM9" s="49">
        <v>1</v>
      </c>
      <c r="AN9" s="49">
        <v>1</v>
      </c>
      <c r="AO9" s="50"/>
      <c r="AP9" s="49"/>
      <c r="AQ9" s="49"/>
      <c r="AR9" s="50">
        <f t="shared" si="3"/>
        <v>19</v>
      </c>
      <c r="AS9" s="50">
        <v>1</v>
      </c>
      <c r="AT9" s="50"/>
      <c r="AU9" s="49">
        <v>11</v>
      </c>
      <c r="AV9" s="51">
        <v>5</v>
      </c>
      <c r="AW9" s="50"/>
      <c r="AX9" s="50">
        <v>1</v>
      </c>
      <c r="AY9" s="49">
        <v>1</v>
      </c>
      <c r="AZ9" s="50"/>
      <c r="BA9" s="52">
        <v>4</v>
      </c>
      <c r="BB9" s="50"/>
      <c r="BC9" s="50">
        <f t="shared" si="4"/>
        <v>3</v>
      </c>
      <c r="BD9" s="50">
        <v>3</v>
      </c>
      <c r="BE9" s="49"/>
      <c r="BF9" s="49"/>
      <c r="BG9" s="49"/>
      <c r="BH9" s="53">
        <f t="shared" si="5"/>
        <v>89</v>
      </c>
      <c r="BI9" s="54"/>
      <c r="BJ9" s="54"/>
    </row>
    <row r="10" s="26" customFormat="1" customHeight="1" spans="1:62">
      <c r="A10" s="44">
        <f>'8'!A10+1</f>
        <v>46121</v>
      </c>
      <c r="B10" s="45" t="s">
        <v>3288</v>
      </c>
      <c r="C10" s="45" t="s">
        <v>3289</v>
      </c>
      <c r="D10" s="46" t="s">
        <v>22</v>
      </c>
      <c r="E10" s="47">
        <f>SUMIFS(卸车数据!$J$6:$J$1048576,卸车数据!$R$6:$R$1048576,"&gt;="&amp;A10+TIME(7,0,0),卸车数据!$R$6:$R$1048576,"&lt;"&amp;A10+TIME(8,0,0))</f>
        <v>4381</v>
      </c>
      <c r="F10" s="62">
        <v>2001</v>
      </c>
      <c r="G10" s="63">
        <v>141</v>
      </c>
      <c r="H10" s="49">
        <v>1</v>
      </c>
      <c r="I10" s="49" t="s">
        <v>3290</v>
      </c>
      <c r="J10" s="49" t="s">
        <v>3291</v>
      </c>
      <c r="K10" s="50">
        <f t="shared" si="0"/>
        <v>9</v>
      </c>
      <c r="L10" s="50">
        <v>1</v>
      </c>
      <c r="M10" s="50">
        <v>2</v>
      </c>
      <c r="N10" s="50">
        <v>1</v>
      </c>
      <c r="O10" s="50">
        <v>1</v>
      </c>
      <c r="P10" s="50">
        <v>2</v>
      </c>
      <c r="Q10" s="50"/>
      <c r="R10" s="50">
        <v>1</v>
      </c>
      <c r="S10" s="50">
        <v>1</v>
      </c>
      <c r="T10" s="49"/>
      <c r="U10" s="49" t="s">
        <v>3292</v>
      </c>
      <c r="V10" s="49"/>
      <c r="W10" s="50">
        <f t="shared" si="1"/>
        <v>14</v>
      </c>
      <c r="X10" s="50">
        <v>1</v>
      </c>
      <c r="Y10" s="50">
        <v>7</v>
      </c>
      <c r="Z10" s="50">
        <v>5</v>
      </c>
      <c r="AA10" s="50"/>
      <c r="AB10" s="50"/>
      <c r="AC10" s="50">
        <v>1</v>
      </c>
      <c r="AD10" s="50"/>
      <c r="AE10" s="64" t="s">
        <v>3293</v>
      </c>
      <c r="AF10" s="49" t="s">
        <v>3294</v>
      </c>
      <c r="AG10" s="50">
        <f t="shared" si="2"/>
        <v>16</v>
      </c>
      <c r="AH10" s="50">
        <v>1</v>
      </c>
      <c r="AI10" s="50">
        <v>1</v>
      </c>
      <c r="AJ10" s="50">
        <v>6</v>
      </c>
      <c r="AK10" s="50">
        <v>3</v>
      </c>
      <c r="AL10" s="50"/>
      <c r="AM10" s="50">
        <v>1</v>
      </c>
      <c r="AN10" s="50">
        <v>1</v>
      </c>
      <c r="AO10" s="59">
        <v>3</v>
      </c>
      <c r="AP10" s="49" t="s">
        <v>3295</v>
      </c>
      <c r="AQ10" s="49"/>
      <c r="AR10" s="50">
        <f t="shared" si="3"/>
        <v>16</v>
      </c>
      <c r="AS10" s="50">
        <v>1</v>
      </c>
      <c r="AT10" s="50">
        <v>1</v>
      </c>
      <c r="AU10" s="50">
        <v>7</v>
      </c>
      <c r="AV10" s="50">
        <v>3</v>
      </c>
      <c r="AW10" s="50">
        <v>1</v>
      </c>
      <c r="AX10" s="50">
        <v>1</v>
      </c>
      <c r="AY10" s="50"/>
      <c r="AZ10" s="59">
        <v>2</v>
      </c>
      <c r="BA10" s="50"/>
      <c r="BB10" s="50"/>
      <c r="BC10" s="50">
        <f t="shared" si="4"/>
        <v>3</v>
      </c>
      <c r="BD10" s="50">
        <v>2</v>
      </c>
      <c r="BE10" s="49">
        <v>1</v>
      </c>
      <c r="BF10" s="49"/>
      <c r="BG10" s="49"/>
      <c r="BH10" s="53">
        <f t="shared" si="5"/>
        <v>58</v>
      </c>
      <c r="BI10" s="61" t="s">
        <v>3296</v>
      </c>
      <c r="BJ10" s="61">
        <v>58</v>
      </c>
    </row>
    <row r="11" s="28" customFormat="1" customHeight="1" spans="1:62">
      <c r="A11" s="44">
        <f>'8'!A11+1</f>
        <v>46121</v>
      </c>
      <c r="B11" s="45" t="s">
        <v>3297</v>
      </c>
      <c r="C11" s="45" t="s">
        <v>3289</v>
      </c>
      <c r="D11" s="46" t="s">
        <v>22</v>
      </c>
      <c r="E11" s="47">
        <f>SUMIFS(卸车数据!$J$6:$J$1048576,卸车数据!$R$6:$R$1048576,"&gt;="&amp;A11+TIME(8,0,0),卸车数据!$R$6:$R$1048576,"&lt;"&amp;A11+TIME(9,0,0))</f>
        <v>2585</v>
      </c>
      <c r="F11" s="62">
        <v>1966</v>
      </c>
      <c r="G11" s="65">
        <v>6198</v>
      </c>
      <c r="H11" s="49">
        <v>1</v>
      </c>
      <c r="I11" s="49" t="s">
        <v>3290</v>
      </c>
      <c r="J11" s="49" t="s">
        <v>3291</v>
      </c>
      <c r="K11" s="50">
        <f t="shared" si="0"/>
        <v>9</v>
      </c>
      <c r="L11" s="50">
        <v>1</v>
      </c>
      <c r="M11" s="50">
        <v>2</v>
      </c>
      <c r="N11" s="50">
        <v>1</v>
      </c>
      <c r="O11" s="50">
        <v>1</v>
      </c>
      <c r="P11" s="50">
        <v>2</v>
      </c>
      <c r="Q11" s="50"/>
      <c r="R11" s="50">
        <v>1</v>
      </c>
      <c r="S11" s="49">
        <v>1</v>
      </c>
      <c r="T11" s="49"/>
      <c r="U11" s="49" t="s">
        <v>3298</v>
      </c>
      <c r="V11" s="49"/>
      <c r="W11" s="50">
        <f t="shared" si="1"/>
        <v>14</v>
      </c>
      <c r="X11" s="50">
        <v>1</v>
      </c>
      <c r="Y11" s="50">
        <v>7</v>
      </c>
      <c r="Z11" s="50">
        <v>5</v>
      </c>
      <c r="AA11" s="50"/>
      <c r="AB11" s="50"/>
      <c r="AC11" s="50">
        <v>1</v>
      </c>
      <c r="AD11" s="50"/>
      <c r="AE11" s="64" t="s">
        <v>3299</v>
      </c>
      <c r="AF11" s="49"/>
      <c r="AG11" s="50">
        <f t="shared" si="2"/>
        <v>16</v>
      </c>
      <c r="AH11" s="50">
        <v>1</v>
      </c>
      <c r="AI11" s="50">
        <v>1</v>
      </c>
      <c r="AJ11" s="50">
        <v>6</v>
      </c>
      <c r="AK11" s="50">
        <v>3</v>
      </c>
      <c r="AL11" s="50"/>
      <c r="AM11" s="50">
        <v>1</v>
      </c>
      <c r="AN11" s="50">
        <v>1</v>
      </c>
      <c r="AO11" s="59">
        <v>3</v>
      </c>
      <c r="AP11" s="49" t="s">
        <v>3300</v>
      </c>
      <c r="AQ11" s="49" t="s">
        <v>3301</v>
      </c>
      <c r="AR11" s="50">
        <f t="shared" si="3"/>
        <v>16</v>
      </c>
      <c r="AS11" s="50">
        <v>1</v>
      </c>
      <c r="AT11" s="50">
        <v>1</v>
      </c>
      <c r="AU11" s="50">
        <v>7</v>
      </c>
      <c r="AV11" s="50">
        <v>3</v>
      </c>
      <c r="AW11" s="50">
        <v>1</v>
      </c>
      <c r="AX11" s="50">
        <v>1</v>
      </c>
      <c r="AY11" s="49"/>
      <c r="AZ11" s="66">
        <v>2</v>
      </c>
      <c r="BA11" s="49"/>
      <c r="BB11" s="49"/>
      <c r="BC11" s="50">
        <f t="shared" si="4"/>
        <v>3</v>
      </c>
      <c r="BD11" s="50">
        <v>2</v>
      </c>
      <c r="BE11" s="49">
        <v>1</v>
      </c>
      <c r="BF11" s="49"/>
      <c r="BG11" s="53"/>
      <c r="BH11" s="53">
        <f t="shared" si="5"/>
        <v>58</v>
      </c>
      <c r="BI11" s="54"/>
      <c r="BJ11" s="54"/>
    </row>
    <row r="12" s="28" customFormat="1" customHeight="1" spans="1:62">
      <c r="A12" s="44">
        <f>'8'!A12+1</f>
        <v>46121</v>
      </c>
      <c r="B12" s="45" t="s">
        <v>3302</v>
      </c>
      <c r="C12" s="45" t="s">
        <v>3289</v>
      </c>
      <c r="D12" s="46" t="s">
        <v>22</v>
      </c>
      <c r="E12" s="47">
        <f>SUMIFS(卸车数据!$J$6:$J$1048576,卸车数据!$R$6:$R$1048576,"&gt;="&amp;A12+TIME(9,0,0),卸车数据!$R$6:$R$1048576,"&lt;"&amp;A12+TIME(10,0,0))</f>
        <v>0</v>
      </c>
      <c r="F12" s="47">
        <v>1672</v>
      </c>
      <c r="G12" s="65">
        <v>11180</v>
      </c>
      <c r="H12" s="49">
        <v>1</v>
      </c>
      <c r="I12" s="49" t="s">
        <v>3303</v>
      </c>
      <c r="J12" s="49"/>
      <c r="K12" s="50">
        <f t="shared" si="0"/>
        <v>12</v>
      </c>
      <c r="L12" s="50">
        <v>1</v>
      </c>
      <c r="M12" s="50">
        <v>4</v>
      </c>
      <c r="N12" s="50">
        <v>2</v>
      </c>
      <c r="O12" s="50">
        <v>1</v>
      </c>
      <c r="P12" s="50">
        <v>2</v>
      </c>
      <c r="Q12" s="50">
        <v>1</v>
      </c>
      <c r="R12" s="50">
        <v>1</v>
      </c>
      <c r="S12" s="49"/>
      <c r="T12" s="49"/>
      <c r="U12" s="49" t="s">
        <v>3304</v>
      </c>
      <c r="V12" s="49"/>
      <c r="W12" s="50">
        <f t="shared" si="1"/>
        <v>16</v>
      </c>
      <c r="X12" s="50">
        <v>1</v>
      </c>
      <c r="Y12" s="50">
        <v>9</v>
      </c>
      <c r="Z12" s="50">
        <v>5</v>
      </c>
      <c r="AA12" s="50"/>
      <c r="AB12" s="50"/>
      <c r="AC12" s="50">
        <v>1</v>
      </c>
      <c r="AD12" s="50"/>
      <c r="AE12" s="64" t="s">
        <v>3305</v>
      </c>
      <c r="AF12" s="49"/>
      <c r="AG12" s="50">
        <f t="shared" si="2"/>
        <v>13</v>
      </c>
      <c r="AH12" s="50">
        <v>1</v>
      </c>
      <c r="AI12" s="50">
        <v>1</v>
      </c>
      <c r="AJ12" s="50">
        <v>6</v>
      </c>
      <c r="AK12" s="50">
        <v>3</v>
      </c>
      <c r="AL12" s="50"/>
      <c r="AM12" s="50">
        <v>1</v>
      </c>
      <c r="AN12" s="50">
        <v>1</v>
      </c>
      <c r="AO12" s="50"/>
      <c r="AP12" s="49" t="s">
        <v>3300</v>
      </c>
      <c r="AQ12" s="49" t="s">
        <v>3301</v>
      </c>
      <c r="AR12" s="50">
        <f t="shared" si="3"/>
        <v>14</v>
      </c>
      <c r="AS12" s="50">
        <v>1</v>
      </c>
      <c r="AT12" s="50">
        <v>1</v>
      </c>
      <c r="AU12" s="50">
        <v>7</v>
      </c>
      <c r="AV12" s="50">
        <v>3</v>
      </c>
      <c r="AW12" s="50">
        <v>1</v>
      </c>
      <c r="AX12" s="50">
        <v>1</v>
      </c>
      <c r="AY12" s="49"/>
      <c r="AZ12" s="49"/>
      <c r="BA12" s="49"/>
      <c r="BB12" s="49"/>
      <c r="BC12" s="50">
        <f t="shared" si="4"/>
        <v>3</v>
      </c>
      <c r="BD12" s="50">
        <v>2</v>
      </c>
      <c r="BE12" s="49">
        <v>1</v>
      </c>
      <c r="BF12" s="49"/>
      <c r="BG12" s="53"/>
      <c r="BH12" s="53">
        <f t="shared" si="5"/>
        <v>58</v>
      </c>
      <c r="BI12" s="54"/>
      <c r="BJ12" s="54"/>
    </row>
    <row r="13" s="28" customFormat="1" customHeight="1" spans="1:62">
      <c r="A13" s="44">
        <f>'8'!A13+1</f>
        <v>46121</v>
      </c>
      <c r="B13" s="45" t="s">
        <v>3306</v>
      </c>
      <c r="C13" s="45" t="s">
        <v>3289</v>
      </c>
      <c r="D13" s="46" t="s">
        <v>22</v>
      </c>
      <c r="E13" s="47">
        <f>SUMIFS(卸车数据!$J$6:$J$1048576,卸车数据!$R$6:$R$1048576,"&gt;="&amp;A13+TIME(10,0,0),卸车数据!$R$6:$R$1048576,"&lt;"&amp;A13+TIME(11,0,0))</f>
        <v>506</v>
      </c>
      <c r="F13" s="47">
        <v>1068</v>
      </c>
      <c r="G13" s="65">
        <v>123</v>
      </c>
      <c r="H13" s="49">
        <v>1</v>
      </c>
      <c r="I13" s="64" t="s">
        <v>3307</v>
      </c>
      <c r="J13" s="49"/>
      <c r="K13" s="50">
        <f t="shared" si="0"/>
        <v>12</v>
      </c>
      <c r="L13" s="50">
        <v>1</v>
      </c>
      <c r="M13" s="50">
        <v>4</v>
      </c>
      <c r="N13" s="50">
        <v>2</v>
      </c>
      <c r="O13" s="50">
        <v>1</v>
      </c>
      <c r="P13" s="50">
        <v>2</v>
      </c>
      <c r="Q13" s="50">
        <v>1</v>
      </c>
      <c r="R13" s="50">
        <v>1</v>
      </c>
      <c r="S13" s="49"/>
      <c r="T13" s="49"/>
      <c r="U13" s="49" t="s">
        <v>3308</v>
      </c>
      <c r="V13" s="49"/>
      <c r="W13" s="50">
        <f t="shared" si="1"/>
        <v>16</v>
      </c>
      <c r="X13" s="50">
        <v>1</v>
      </c>
      <c r="Y13" s="50">
        <v>9</v>
      </c>
      <c r="Z13" s="50">
        <v>5</v>
      </c>
      <c r="AA13" s="50"/>
      <c r="AB13" s="50"/>
      <c r="AC13" s="50">
        <v>1</v>
      </c>
      <c r="AD13" s="50"/>
      <c r="AE13" s="64" t="s">
        <v>3309</v>
      </c>
      <c r="AF13" s="49"/>
      <c r="AG13" s="50">
        <f t="shared" si="2"/>
        <v>13</v>
      </c>
      <c r="AH13" s="50">
        <v>1</v>
      </c>
      <c r="AI13" s="50">
        <v>1</v>
      </c>
      <c r="AJ13" s="50">
        <v>6</v>
      </c>
      <c r="AK13" s="50">
        <v>3</v>
      </c>
      <c r="AL13" s="50"/>
      <c r="AM13" s="50">
        <v>1</v>
      </c>
      <c r="AN13" s="50">
        <v>1</v>
      </c>
      <c r="AO13" s="50"/>
      <c r="AP13" s="49" t="s">
        <v>3300</v>
      </c>
      <c r="AQ13" s="49" t="s">
        <v>3301</v>
      </c>
      <c r="AR13" s="50">
        <f t="shared" si="3"/>
        <v>14</v>
      </c>
      <c r="AS13" s="50">
        <v>1</v>
      </c>
      <c r="AT13" s="50">
        <v>1</v>
      </c>
      <c r="AU13" s="50">
        <v>7</v>
      </c>
      <c r="AV13" s="50">
        <v>3</v>
      </c>
      <c r="AW13" s="50">
        <v>1</v>
      </c>
      <c r="AX13" s="50">
        <v>1</v>
      </c>
      <c r="AY13" s="49"/>
      <c r="AZ13" s="49"/>
      <c r="BA13" s="49"/>
      <c r="BB13" s="49"/>
      <c r="BC13" s="50">
        <f t="shared" si="4"/>
        <v>3</v>
      </c>
      <c r="BD13" s="50">
        <v>2</v>
      </c>
      <c r="BE13" s="49">
        <v>1</v>
      </c>
      <c r="BF13" s="49"/>
      <c r="BG13" s="53"/>
      <c r="BH13" s="53">
        <f t="shared" si="5"/>
        <v>58</v>
      </c>
      <c r="BI13" s="54"/>
      <c r="BJ13" s="54"/>
    </row>
    <row r="14" s="29" customFormat="1" customHeight="1" spans="1:62">
      <c r="A14" s="44">
        <f>'8'!A14+1</f>
        <v>46121</v>
      </c>
      <c r="B14" s="55" t="s">
        <v>3310</v>
      </c>
      <c r="C14" s="55" t="s">
        <v>3289</v>
      </c>
      <c r="D14" s="55" t="s">
        <v>3311</v>
      </c>
      <c r="E14" s="47">
        <f>SUMIFS(卸车数据!$J$6:$J$1048576,卸车数据!$R$6:$R$1048576,"&gt;="&amp;A14+TIME(11,0,0),卸车数据!$R$6:$R$1048576,"&lt;"&amp;A14+TIME(12,0,0))</f>
        <v>4471</v>
      </c>
      <c r="F14" s="47">
        <v>4366</v>
      </c>
      <c r="G14" s="67">
        <v>124</v>
      </c>
      <c r="H14" s="51">
        <v>1</v>
      </c>
      <c r="I14" s="68" t="s">
        <v>3312</v>
      </c>
      <c r="J14" s="51"/>
      <c r="K14" s="58">
        <f t="shared" si="0"/>
        <v>13</v>
      </c>
      <c r="L14" s="58">
        <v>1</v>
      </c>
      <c r="M14" s="51">
        <v>5</v>
      </c>
      <c r="N14" s="51">
        <v>5</v>
      </c>
      <c r="O14" s="51"/>
      <c r="P14" s="51">
        <v>2</v>
      </c>
      <c r="Q14" s="51"/>
      <c r="R14" s="51"/>
      <c r="S14" s="51"/>
      <c r="T14" s="51"/>
      <c r="U14" s="51" t="s">
        <v>3313</v>
      </c>
      <c r="V14" s="51"/>
      <c r="W14" s="58">
        <f t="shared" si="1"/>
        <v>16</v>
      </c>
      <c r="X14" s="58">
        <v>1</v>
      </c>
      <c r="Y14" s="58">
        <v>9</v>
      </c>
      <c r="Z14" s="58">
        <v>4</v>
      </c>
      <c r="AA14" s="58"/>
      <c r="AB14" s="58"/>
      <c r="AC14" s="58">
        <v>2</v>
      </c>
      <c r="AD14" s="58"/>
      <c r="AE14" s="68" t="s">
        <v>3314</v>
      </c>
      <c r="AF14" s="51"/>
      <c r="AG14" s="58">
        <f t="shared" si="2"/>
        <v>17</v>
      </c>
      <c r="AH14" s="58">
        <v>1</v>
      </c>
      <c r="AI14" s="58">
        <v>1</v>
      </c>
      <c r="AJ14" s="58">
        <v>6</v>
      </c>
      <c r="AK14" s="50">
        <v>7</v>
      </c>
      <c r="AL14" s="58"/>
      <c r="AM14" s="58">
        <v>1</v>
      </c>
      <c r="AN14" s="58">
        <v>1</v>
      </c>
      <c r="AO14" s="58"/>
      <c r="AP14" s="51" t="s">
        <v>3315</v>
      </c>
      <c r="AQ14" s="51" t="s">
        <v>3316</v>
      </c>
      <c r="AR14" s="58">
        <f t="shared" si="3"/>
        <v>14</v>
      </c>
      <c r="AS14" s="58">
        <v>1</v>
      </c>
      <c r="AT14" s="58">
        <v>1</v>
      </c>
      <c r="AU14" s="58">
        <v>7</v>
      </c>
      <c r="AV14" s="58">
        <v>3</v>
      </c>
      <c r="AW14" s="58">
        <v>1</v>
      </c>
      <c r="AX14" s="58">
        <v>1</v>
      </c>
      <c r="AY14" s="51"/>
      <c r="AZ14" s="51"/>
      <c r="BA14" s="51"/>
      <c r="BB14" s="51"/>
      <c r="BC14" s="50">
        <f t="shared" si="4"/>
        <v>3</v>
      </c>
      <c r="BD14" s="58">
        <v>2</v>
      </c>
      <c r="BE14" s="49">
        <v>1</v>
      </c>
      <c r="BF14" s="49"/>
      <c r="BG14" s="69"/>
      <c r="BH14" s="53">
        <f t="shared" si="5"/>
        <v>63</v>
      </c>
      <c r="BI14" s="61" t="s">
        <v>3317</v>
      </c>
      <c r="BJ14" s="61">
        <v>5</v>
      </c>
    </row>
    <row r="15" s="28" customFormat="1" customHeight="1" spans="1:62">
      <c r="A15" s="44">
        <f>'8'!A15+1</f>
        <v>46121</v>
      </c>
      <c r="B15" s="45" t="s">
        <v>3318</v>
      </c>
      <c r="C15" s="45" t="s">
        <v>3289</v>
      </c>
      <c r="D15" s="70" t="s">
        <v>3319</v>
      </c>
      <c r="E15" s="47">
        <f>SUMIFS(卸车数据!$J$6:$J$1048576,卸车数据!$R$6:$R$1048576,"&gt;="&amp;A15+TIME(12,0,0),卸车数据!$R$6:$R$1048576,"&lt;"&amp;A15+TIME(13,0,0))</f>
        <v>19691</v>
      </c>
      <c r="F15" s="49">
        <v>4811</v>
      </c>
      <c r="G15" s="65">
        <v>52</v>
      </c>
      <c r="H15" s="49">
        <v>1</v>
      </c>
      <c r="I15" s="49" t="s">
        <v>3320</v>
      </c>
      <c r="J15" s="49" t="s">
        <v>3321</v>
      </c>
      <c r="K15" s="50">
        <f t="shared" si="0"/>
        <v>19</v>
      </c>
      <c r="L15" s="50">
        <v>1</v>
      </c>
      <c r="M15" s="49">
        <v>6</v>
      </c>
      <c r="N15" s="49">
        <v>5</v>
      </c>
      <c r="O15" s="49"/>
      <c r="P15" s="49">
        <v>3</v>
      </c>
      <c r="Q15" s="49"/>
      <c r="R15" s="49"/>
      <c r="S15" s="49"/>
      <c r="T15" s="66">
        <v>4</v>
      </c>
      <c r="U15" s="49" t="s">
        <v>3322</v>
      </c>
      <c r="V15" s="49" t="s">
        <v>3323</v>
      </c>
      <c r="W15" s="50">
        <f t="shared" si="1"/>
        <v>4</v>
      </c>
      <c r="X15" s="50">
        <v>1</v>
      </c>
      <c r="Y15" s="49"/>
      <c r="Z15" s="49"/>
      <c r="AA15" s="49">
        <v>1</v>
      </c>
      <c r="AB15" s="49"/>
      <c r="AC15" s="58">
        <v>2</v>
      </c>
      <c r="AD15" s="49"/>
      <c r="AE15" s="64" t="s">
        <v>3324</v>
      </c>
      <c r="AF15" s="49"/>
      <c r="AG15" s="50">
        <f t="shared" si="2"/>
        <v>20</v>
      </c>
      <c r="AH15" s="50">
        <v>1</v>
      </c>
      <c r="AI15" s="50">
        <v>3</v>
      </c>
      <c r="AJ15" s="49">
        <v>5</v>
      </c>
      <c r="AK15" s="50">
        <v>7</v>
      </c>
      <c r="AL15" s="49"/>
      <c r="AM15" s="49"/>
      <c r="AN15" s="49"/>
      <c r="AO15" s="66">
        <v>4</v>
      </c>
      <c r="AP15" s="49" t="s">
        <v>3325</v>
      </c>
      <c r="AQ15" s="49" t="s">
        <v>3326</v>
      </c>
      <c r="AR15" s="50">
        <f t="shared" si="3"/>
        <v>17</v>
      </c>
      <c r="AS15" s="50">
        <v>1</v>
      </c>
      <c r="AT15" s="50">
        <v>1</v>
      </c>
      <c r="AU15" s="50">
        <v>7</v>
      </c>
      <c r="AV15" s="50">
        <v>3</v>
      </c>
      <c r="AW15" s="50">
        <v>1</v>
      </c>
      <c r="AX15" s="50"/>
      <c r="AY15" s="49"/>
      <c r="AZ15" s="66">
        <v>4</v>
      </c>
      <c r="BA15" s="49"/>
      <c r="BB15" s="49"/>
      <c r="BC15" s="50">
        <f t="shared" si="4"/>
        <v>3</v>
      </c>
      <c r="BD15" s="50">
        <v>2</v>
      </c>
      <c r="BE15" s="49">
        <v>1</v>
      </c>
      <c r="BF15" s="49"/>
      <c r="BG15" s="53"/>
      <c r="BH15" s="53">
        <f t="shared" si="5"/>
        <v>63</v>
      </c>
      <c r="BI15" s="54"/>
      <c r="BJ15" s="54"/>
    </row>
    <row r="16" s="28" customFormat="1" customHeight="1" spans="1:62">
      <c r="A16" s="44">
        <f>'8'!A16+1</f>
        <v>46121</v>
      </c>
      <c r="B16" s="45" t="s">
        <v>3327</v>
      </c>
      <c r="C16" s="45" t="s">
        <v>3289</v>
      </c>
      <c r="D16" s="70" t="s">
        <v>3319</v>
      </c>
      <c r="E16" s="47">
        <f>SUMIFS(卸车数据!$J$6:$J$1048576,卸车数据!$R$6:$R$1048576,"&gt;="&amp;A16+TIME(13,0,0),卸车数据!$R$6:$R$1048576,"&lt;"&amp;A16+TIME(14,0,0))</f>
        <v>3468</v>
      </c>
      <c r="F16" s="49">
        <v>4486</v>
      </c>
      <c r="G16" s="65">
        <v>2306</v>
      </c>
      <c r="H16" s="49">
        <v>1</v>
      </c>
      <c r="I16" s="49" t="s">
        <v>3320</v>
      </c>
      <c r="J16" s="49" t="s">
        <v>3328</v>
      </c>
      <c r="K16" s="50">
        <f t="shared" si="0"/>
        <v>13</v>
      </c>
      <c r="L16" s="50">
        <v>1</v>
      </c>
      <c r="M16" s="49">
        <v>6</v>
      </c>
      <c r="N16" s="49">
        <v>3</v>
      </c>
      <c r="O16" s="49"/>
      <c r="P16" s="49">
        <v>3</v>
      </c>
      <c r="Q16" s="49"/>
      <c r="R16" s="49"/>
      <c r="S16" s="49"/>
      <c r="T16" s="49"/>
      <c r="U16" s="49" t="s">
        <v>3329</v>
      </c>
      <c r="V16" s="49"/>
      <c r="W16" s="50">
        <f t="shared" si="1"/>
        <v>16</v>
      </c>
      <c r="X16" s="50">
        <v>1</v>
      </c>
      <c r="Y16" s="49">
        <v>9</v>
      </c>
      <c r="Z16" s="49">
        <v>4</v>
      </c>
      <c r="AA16" s="49"/>
      <c r="AB16" s="49"/>
      <c r="AC16" s="58">
        <v>2</v>
      </c>
      <c r="AD16" s="49"/>
      <c r="AE16" s="49" t="s">
        <v>3330</v>
      </c>
      <c r="AF16" s="49"/>
      <c r="AG16" s="50">
        <f t="shared" si="2"/>
        <v>18</v>
      </c>
      <c r="AH16" s="50">
        <v>1</v>
      </c>
      <c r="AI16" s="50">
        <v>1</v>
      </c>
      <c r="AJ16" s="50">
        <v>5</v>
      </c>
      <c r="AK16" s="50">
        <v>7</v>
      </c>
      <c r="AL16" s="50"/>
      <c r="AM16" s="50">
        <v>1</v>
      </c>
      <c r="AN16" s="50">
        <v>1</v>
      </c>
      <c r="AO16" s="66">
        <v>2</v>
      </c>
      <c r="AP16" s="49" t="s">
        <v>3325</v>
      </c>
      <c r="AQ16" s="49" t="s">
        <v>3326</v>
      </c>
      <c r="AR16" s="50">
        <f t="shared" si="3"/>
        <v>13</v>
      </c>
      <c r="AS16" s="50">
        <v>1</v>
      </c>
      <c r="AT16" s="50">
        <v>1</v>
      </c>
      <c r="AU16" s="50">
        <v>7</v>
      </c>
      <c r="AV16" s="50">
        <v>3</v>
      </c>
      <c r="AW16" s="50">
        <v>1</v>
      </c>
      <c r="AX16" s="50"/>
      <c r="AY16" s="49"/>
      <c r="AZ16" s="49"/>
      <c r="BA16" s="49"/>
      <c r="BB16" s="49"/>
      <c r="BC16" s="50">
        <f t="shared" si="4"/>
        <v>3</v>
      </c>
      <c r="BD16" s="50">
        <v>2</v>
      </c>
      <c r="BE16" s="49">
        <v>1</v>
      </c>
      <c r="BF16" s="49"/>
      <c r="BG16" s="53"/>
      <c r="BH16" s="53">
        <f t="shared" si="5"/>
        <v>63</v>
      </c>
      <c r="BI16" s="54"/>
      <c r="BJ16" s="54"/>
    </row>
    <row r="17" s="28" customFormat="1" customHeight="1" spans="1:62">
      <c r="A17" s="44">
        <f>'8'!A17+1</f>
        <v>46121</v>
      </c>
      <c r="B17" s="45" t="s">
        <v>3331</v>
      </c>
      <c r="C17" s="45" t="s">
        <v>3289</v>
      </c>
      <c r="D17" s="70" t="s">
        <v>3319</v>
      </c>
      <c r="E17" s="47">
        <f>SUMIFS(卸车数据!$J$6:$J$1048576,卸车数据!$R$6:$R$1048576,"&gt;="&amp;A17+TIME(14,0,0),卸车数据!$R$6:$R$1048576,"&lt;"&amp;A17+TIME(15,0,0))</f>
        <v>0</v>
      </c>
      <c r="F17" s="49">
        <v>2672</v>
      </c>
      <c r="G17" s="65">
        <v>11833</v>
      </c>
      <c r="H17" s="49">
        <v>1</v>
      </c>
      <c r="I17" s="49" t="s">
        <v>3332</v>
      </c>
      <c r="J17" s="49" t="s">
        <v>3333</v>
      </c>
      <c r="K17" s="50">
        <f t="shared" si="0"/>
        <v>13</v>
      </c>
      <c r="L17" s="50">
        <v>1</v>
      </c>
      <c r="M17" s="49">
        <v>6</v>
      </c>
      <c r="N17" s="49">
        <v>3</v>
      </c>
      <c r="O17" s="49"/>
      <c r="P17" s="49">
        <v>3</v>
      </c>
      <c r="Q17" s="49"/>
      <c r="R17" s="49"/>
      <c r="S17" s="49"/>
      <c r="T17" s="49"/>
      <c r="U17" s="49" t="s">
        <v>3329</v>
      </c>
      <c r="V17" s="49"/>
      <c r="W17" s="50">
        <f t="shared" si="1"/>
        <v>16</v>
      </c>
      <c r="X17" s="50">
        <v>1</v>
      </c>
      <c r="Y17" s="49">
        <v>9</v>
      </c>
      <c r="Z17" s="49">
        <v>4</v>
      </c>
      <c r="AA17" s="49"/>
      <c r="AB17" s="49"/>
      <c r="AC17" s="58">
        <v>2</v>
      </c>
      <c r="AD17" s="49"/>
      <c r="AE17" s="49"/>
      <c r="AF17" s="49"/>
      <c r="AG17" s="50">
        <f t="shared" si="2"/>
        <v>18</v>
      </c>
      <c r="AH17" s="50">
        <v>1</v>
      </c>
      <c r="AI17" s="50">
        <v>1</v>
      </c>
      <c r="AJ17" s="50">
        <v>5</v>
      </c>
      <c r="AK17" s="50">
        <v>7</v>
      </c>
      <c r="AL17" s="50"/>
      <c r="AM17" s="50">
        <v>1</v>
      </c>
      <c r="AN17" s="50">
        <v>1</v>
      </c>
      <c r="AO17" s="66">
        <v>2</v>
      </c>
      <c r="AP17" s="49" t="s">
        <v>3325</v>
      </c>
      <c r="AQ17" s="49" t="s">
        <v>3326</v>
      </c>
      <c r="AR17" s="50">
        <f t="shared" si="3"/>
        <v>13</v>
      </c>
      <c r="AS17" s="50">
        <v>1</v>
      </c>
      <c r="AT17" s="50">
        <v>1</v>
      </c>
      <c r="AU17" s="50">
        <v>7</v>
      </c>
      <c r="AV17" s="50">
        <v>3</v>
      </c>
      <c r="AW17" s="50">
        <v>1</v>
      </c>
      <c r="AX17" s="50"/>
      <c r="AY17" s="49"/>
      <c r="AZ17" s="49"/>
      <c r="BA17" s="49"/>
      <c r="BB17" s="49"/>
      <c r="BC17" s="50">
        <f t="shared" si="4"/>
        <v>3</v>
      </c>
      <c r="BD17" s="50">
        <v>2</v>
      </c>
      <c r="BE17" s="49">
        <v>1</v>
      </c>
      <c r="BF17" s="49"/>
      <c r="BG17" s="53"/>
      <c r="BH17" s="53">
        <f t="shared" si="5"/>
        <v>63</v>
      </c>
      <c r="BI17" s="54"/>
      <c r="BJ17" s="54"/>
    </row>
    <row r="18" s="28" customFormat="1" customHeight="1" spans="1:62">
      <c r="A18" s="44">
        <f>'8'!A18+1</f>
        <v>46121</v>
      </c>
      <c r="B18" s="45" t="s">
        <v>3334</v>
      </c>
      <c r="C18" s="45" t="s">
        <v>3289</v>
      </c>
      <c r="D18" s="46" t="s">
        <v>22</v>
      </c>
      <c r="E18" s="47">
        <f>SUMIFS(卸车数据!$J$6:$J$1048576,卸车数据!$R$6:$R$1048576,"&gt;="&amp;A18+TIME(15,0,0),卸车数据!$R$6:$R$1048576,"&lt;"&amp;A18+TIME(16,0,0))</f>
        <v>6337</v>
      </c>
      <c r="F18" s="49">
        <v>2658</v>
      </c>
      <c r="G18" s="65">
        <v>2973</v>
      </c>
      <c r="H18" s="49">
        <v>1</v>
      </c>
      <c r="I18" s="49" t="s">
        <v>3335</v>
      </c>
      <c r="J18" s="49" t="s">
        <v>3336</v>
      </c>
      <c r="K18" s="50">
        <f t="shared" si="0"/>
        <v>13</v>
      </c>
      <c r="L18" s="50">
        <v>1</v>
      </c>
      <c r="M18" s="49">
        <v>6</v>
      </c>
      <c r="N18" s="49">
        <v>2</v>
      </c>
      <c r="O18" s="49"/>
      <c r="P18" s="49">
        <v>2</v>
      </c>
      <c r="Q18" s="49"/>
      <c r="R18" s="49">
        <v>2</v>
      </c>
      <c r="S18" s="49"/>
      <c r="T18" s="49"/>
      <c r="U18" s="49" t="s">
        <v>3337</v>
      </c>
      <c r="V18" s="49"/>
      <c r="W18" s="50">
        <f t="shared" si="1"/>
        <v>16</v>
      </c>
      <c r="X18" s="50">
        <v>1</v>
      </c>
      <c r="Y18" s="49">
        <v>9</v>
      </c>
      <c r="Z18" s="49">
        <v>4</v>
      </c>
      <c r="AA18" s="49"/>
      <c r="AB18" s="49"/>
      <c r="AC18" s="58">
        <v>2</v>
      </c>
      <c r="AD18" s="49"/>
      <c r="AE18" s="49" t="s">
        <v>3338</v>
      </c>
      <c r="AF18" s="49"/>
      <c r="AG18" s="50">
        <f t="shared" si="2"/>
        <v>18</v>
      </c>
      <c r="AH18" s="50">
        <v>1</v>
      </c>
      <c r="AI18" s="50">
        <v>1</v>
      </c>
      <c r="AJ18" s="50">
        <v>5</v>
      </c>
      <c r="AK18" s="50">
        <v>7</v>
      </c>
      <c r="AL18" s="50"/>
      <c r="AM18" s="50">
        <v>1</v>
      </c>
      <c r="AN18" s="50">
        <v>1</v>
      </c>
      <c r="AO18" s="66">
        <v>2</v>
      </c>
      <c r="AP18" s="49" t="s">
        <v>3325</v>
      </c>
      <c r="AQ18" s="49" t="s">
        <v>3326</v>
      </c>
      <c r="AR18" s="50">
        <f t="shared" si="3"/>
        <v>13</v>
      </c>
      <c r="AS18" s="50">
        <v>1</v>
      </c>
      <c r="AT18" s="50">
        <v>1</v>
      </c>
      <c r="AU18" s="50">
        <v>7</v>
      </c>
      <c r="AV18" s="50">
        <v>3</v>
      </c>
      <c r="AW18" s="50">
        <v>1</v>
      </c>
      <c r="AX18" s="50"/>
      <c r="AY18" s="49"/>
      <c r="AZ18" s="49"/>
      <c r="BA18" s="49"/>
      <c r="BB18" s="49"/>
      <c r="BC18" s="50">
        <f t="shared" si="4"/>
        <v>3</v>
      </c>
      <c r="BD18" s="50">
        <v>2</v>
      </c>
      <c r="BE18" s="49">
        <v>1</v>
      </c>
      <c r="BF18" s="49"/>
      <c r="BG18" s="53"/>
      <c r="BH18" s="53">
        <f t="shared" si="5"/>
        <v>63</v>
      </c>
      <c r="BI18" s="54"/>
      <c r="BJ18" s="54"/>
    </row>
    <row r="19" s="28" customFormat="1" customHeight="1" spans="1:62">
      <c r="A19" s="44">
        <f>'8'!A19+1</f>
        <v>46121</v>
      </c>
      <c r="B19" s="45" t="s">
        <v>3339</v>
      </c>
      <c r="C19" s="45" t="s">
        <v>3289</v>
      </c>
      <c r="D19" s="46" t="s">
        <v>22</v>
      </c>
      <c r="E19" s="47">
        <f>SUMIFS(卸车数据!$J$6:$J$1048576,卸车数据!$R$6:$R$1048576,"&gt;="&amp;A19+TIME(16,0,0),卸车数据!$R$6:$R$1048576,"&lt;"&amp;A19+TIME(17,0,0))</f>
        <v>0</v>
      </c>
      <c r="F19" s="49">
        <v>3572</v>
      </c>
      <c r="G19" s="65">
        <v>9390</v>
      </c>
      <c r="H19" s="49">
        <v>1</v>
      </c>
      <c r="I19" s="49" t="s">
        <v>3335</v>
      </c>
      <c r="J19" s="49" t="s">
        <v>3336</v>
      </c>
      <c r="K19" s="50">
        <f t="shared" si="0"/>
        <v>13</v>
      </c>
      <c r="L19" s="50">
        <v>1</v>
      </c>
      <c r="M19" s="49">
        <v>6</v>
      </c>
      <c r="N19" s="49">
        <v>2</v>
      </c>
      <c r="O19" s="49"/>
      <c r="P19" s="49">
        <v>2</v>
      </c>
      <c r="Q19" s="49"/>
      <c r="R19" s="49">
        <v>2</v>
      </c>
      <c r="S19" s="49"/>
      <c r="T19" s="49"/>
      <c r="U19" s="49" t="s">
        <v>3340</v>
      </c>
      <c r="V19" s="49"/>
      <c r="W19" s="50">
        <f t="shared" si="1"/>
        <v>16</v>
      </c>
      <c r="X19" s="50">
        <v>1</v>
      </c>
      <c r="Y19" s="49">
        <v>9</v>
      </c>
      <c r="Z19" s="49">
        <v>4</v>
      </c>
      <c r="AA19" s="49"/>
      <c r="AB19" s="49"/>
      <c r="AC19" s="58">
        <v>2</v>
      </c>
      <c r="AD19" s="49"/>
      <c r="AE19" s="49" t="s">
        <v>3341</v>
      </c>
      <c r="AF19" s="49"/>
      <c r="AG19" s="50">
        <f t="shared" si="2"/>
        <v>18</v>
      </c>
      <c r="AH19" s="50">
        <v>1</v>
      </c>
      <c r="AI19" s="50">
        <v>1</v>
      </c>
      <c r="AJ19" s="50">
        <v>5</v>
      </c>
      <c r="AK19" s="50">
        <v>7</v>
      </c>
      <c r="AL19" s="50"/>
      <c r="AM19" s="50">
        <v>1</v>
      </c>
      <c r="AN19" s="50">
        <v>1</v>
      </c>
      <c r="AO19" s="66">
        <v>2</v>
      </c>
      <c r="AP19" s="49" t="s">
        <v>3342</v>
      </c>
      <c r="AQ19" s="49" t="s">
        <v>3343</v>
      </c>
      <c r="AR19" s="50">
        <f t="shared" si="3"/>
        <v>13</v>
      </c>
      <c r="AS19" s="50">
        <v>1</v>
      </c>
      <c r="AT19" s="50">
        <v>1</v>
      </c>
      <c r="AU19" s="50">
        <v>7</v>
      </c>
      <c r="AV19" s="50">
        <v>3</v>
      </c>
      <c r="AW19" s="50">
        <v>1</v>
      </c>
      <c r="AX19" s="50"/>
      <c r="AY19" s="49"/>
      <c r="AZ19" s="49"/>
      <c r="BA19" s="49"/>
      <c r="BB19" s="49"/>
      <c r="BC19" s="50">
        <f t="shared" si="4"/>
        <v>3</v>
      </c>
      <c r="BD19" s="50">
        <v>2</v>
      </c>
      <c r="BE19" s="49">
        <v>1</v>
      </c>
      <c r="BF19" s="49"/>
      <c r="BG19" s="53"/>
      <c r="BH19" s="53">
        <f t="shared" si="5"/>
        <v>63</v>
      </c>
      <c r="BI19" s="54"/>
      <c r="BJ19" s="54"/>
    </row>
    <row r="20" s="28" customFormat="1" customHeight="1" spans="1:62">
      <c r="A20" s="44">
        <f>'8'!A20+1</f>
        <v>46121</v>
      </c>
      <c r="B20" s="45" t="s">
        <v>3344</v>
      </c>
      <c r="C20" s="45" t="s">
        <v>3289</v>
      </c>
      <c r="D20" s="70" t="s">
        <v>3319</v>
      </c>
      <c r="E20" s="47">
        <f>SUMIFS(卸车数据!$J$6:$J$1048576,卸车数据!$R$6:$R$1048576,"&gt;="&amp;A20+TIME(17,0,0),卸车数据!$R$6:$R$1048576,"&lt;"&amp;A20+TIME(18,0,0))</f>
        <v>26248</v>
      </c>
      <c r="F20" s="49">
        <v>2381</v>
      </c>
      <c r="G20" s="65">
        <v>7197</v>
      </c>
      <c r="H20" s="49">
        <v>1</v>
      </c>
      <c r="I20" s="49" t="s">
        <v>3335</v>
      </c>
      <c r="J20" s="49" t="s">
        <v>3336</v>
      </c>
      <c r="K20" s="50">
        <f t="shared" si="0"/>
        <v>13</v>
      </c>
      <c r="L20" s="50">
        <v>1</v>
      </c>
      <c r="M20" s="49">
        <v>6</v>
      </c>
      <c r="N20" s="49">
        <v>2</v>
      </c>
      <c r="O20" s="49"/>
      <c r="P20" s="49">
        <v>2</v>
      </c>
      <c r="Q20" s="49"/>
      <c r="R20" s="49">
        <v>2</v>
      </c>
      <c r="S20" s="49"/>
      <c r="T20" s="49"/>
      <c r="U20" s="49" t="s">
        <v>3345</v>
      </c>
      <c r="V20" s="49"/>
      <c r="W20" s="50">
        <f t="shared" si="1"/>
        <v>16</v>
      </c>
      <c r="X20" s="50">
        <v>1</v>
      </c>
      <c r="Y20" s="49">
        <v>9</v>
      </c>
      <c r="Z20" s="49">
        <v>4</v>
      </c>
      <c r="AA20" s="49"/>
      <c r="AB20" s="49"/>
      <c r="AC20" s="58">
        <v>2</v>
      </c>
      <c r="AD20" s="49"/>
      <c r="AE20" s="49" t="s">
        <v>3346</v>
      </c>
      <c r="AF20" s="49"/>
      <c r="AG20" s="50">
        <f t="shared" si="2"/>
        <v>18</v>
      </c>
      <c r="AH20" s="50">
        <v>1</v>
      </c>
      <c r="AI20" s="50">
        <v>1</v>
      </c>
      <c r="AJ20" s="50">
        <v>5</v>
      </c>
      <c r="AK20" s="50">
        <v>7</v>
      </c>
      <c r="AL20" s="50"/>
      <c r="AM20" s="50">
        <v>1</v>
      </c>
      <c r="AN20" s="50">
        <v>1</v>
      </c>
      <c r="AO20" s="66">
        <v>2</v>
      </c>
      <c r="AP20" s="49" t="s">
        <v>3342</v>
      </c>
      <c r="AQ20" s="49" t="s">
        <v>3343</v>
      </c>
      <c r="AR20" s="50">
        <f t="shared" si="3"/>
        <v>13</v>
      </c>
      <c r="AS20" s="50">
        <v>1</v>
      </c>
      <c r="AT20" s="50">
        <v>1</v>
      </c>
      <c r="AU20" s="50">
        <v>7</v>
      </c>
      <c r="AV20" s="50">
        <v>3</v>
      </c>
      <c r="AW20" s="50">
        <v>1</v>
      </c>
      <c r="AX20" s="50"/>
      <c r="AY20" s="49"/>
      <c r="AZ20" s="49"/>
      <c r="BA20" s="49"/>
      <c r="BB20" s="49"/>
      <c r="BC20" s="50">
        <f t="shared" si="4"/>
        <v>3</v>
      </c>
      <c r="BD20" s="50">
        <v>2</v>
      </c>
      <c r="BE20" s="49">
        <v>1</v>
      </c>
      <c r="BF20" s="49"/>
      <c r="BG20" s="53"/>
      <c r="BH20" s="53">
        <f t="shared" si="5"/>
        <v>63</v>
      </c>
      <c r="BI20" s="54"/>
      <c r="BJ20" s="54"/>
    </row>
    <row r="21" s="29" customFormat="1" customHeight="1" spans="1:62">
      <c r="A21" s="44">
        <f>'8'!A21+1</f>
        <v>46121</v>
      </c>
      <c r="B21" s="55" t="s">
        <v>3347</v>
      </c>
      <c r="C21" s="55" t="s">
        <v>3265</v>
      </c>
      <c r="D21" s="70" t="s">
        <v>3319</v>
      </c>
      <c r="E21" s="47">
        <f>SUMIFS(卸车数据!$J$6:$J$1048576,卸车数据!$R$6:$R$1048576,"&gt;="&amp;A21+TIME(18,0,0),卸车数据!$R$6:$R$1048576,"&lt;"&amp;A21+TIME(19,0,0))</f>
        <v>8287</v>
      </c>
      <c r="F21" s="71">
        <v>3147</v>
      </c>
      <c r="G21" s="67">
        <v>2905</v>
      </c>
      <c r="H21" s="49">
        <v>1</v>
      </c>
      <c r="I21" s="51" t="s">
        <v>3348</v>
      </c>
      <c r="J21" s="51"/>
      <c r="K21" s="58">
        <f t="shared" si="0"/>
        <v>25</v>
      </c>
      <c r="L21" s="58">
        <v>1</v>
      </c>
      <c r="M21" s="51">
        <v>8</v>
      </c>
      <c r="N21" s="51">
        <v>3</v>
      </c>
      <c r="O21" s="51"/>
      <c r="P21" s="51">
        <v>6</v>
      </c>
      <c r="Q21" s="51">
        <v>5</v>
      </c>
      <c r="R21" s="51"/>
      <c r="S21" s="51"/>
      <c r="T21" s="66">
        <v>2</v>
      </c>
      <c r="U21" s="51" t="s">
        <v>3349</v>
      </c>
      <c r="V21" s="51"/>
      <c r="W21" s="58">
        <f t="shared" si="1"/>
        <v>18</v>
      </c>
      <c r="X21" s="58">
        <v>1</v>
      </c>
      <c r="Y21" s="51">
        <v>9</v>
      </c>
      <c r="Z21" s="51">
        <v>5</v>
      </c>
      <c r="AA21" s="51">
        <v>1</v>
      </c>
      <c r="AB21" s="51"/>
      <c r="AC21" s="51">
        <v>2</v>
      </c>
      <c r="AD21" s="51"/>
      <c r="AE21" s="51"/>
      <c r="AF21" s="51"/>
      <c r="AG21" s="58">
        <f t="shared" si="2"/>
        <v>35</v>
      </c>
      <c r="AH21" s="58">
        <v>1</v>
      </c>
      <c r="AI21" s="58">
        <v>8</v>
      </c>
      <c r="AJ21" s="51">
        <v>5</v>
      </c>
      <c r="AK21" s="51">
        <v>10</v>
      </c>
      <c r="AL21" s="51"/>
      <c r="AM21" s="51">
        <v>1</v>
      </c>
      <c r="AN21" s="51">
        <v>1</v>
      </c>
      <c r="AO21" s="66">
        <v>9</v>
      </c>
      <c r="AP21" s="51"/>
      <c r="AQ21" s="51" t="s">
        <v>3350</v>
      </c>
      <c r="AR21" s="58">
        <f t="shared" si="3"/>
        <v>15</v>
      </c>
      <c r="AS21" s="58">
        <v>1</v>
      </c>
      <c r="AT21" s="58"/>
      <c r="AU21" s="51">
        <v>8</v>
      </c>
      <c r="AV21" s="51">
        <v>5</v>
      </c>
      <c r="AW21" s="58"/>
      <c r="AX21" s="58">
        <v>1</v>
      </c>
      <c r="AY21" s="51"/>
      <c r="AZ21" s="51"/>
      <c r="BA21" s="52">
        <v>4</v>
      </c>
      <c r="BB21" s="51"/>
      <c r="BC21" s="50">
        <f t="shared" si="4"/>
        <v>3</v>
      </c>
      <c r="BD21" s="58">
        <v>3</v>
      </c>
      <c r="BE21" s="51"/>
      <c r="BF21" s="49"/>
      <c r="BG21" s="69"/>
      <c r="BH21" s="53">
        <f t="shared" si="5"/>
        <v>100</v>
      </c>
      <c r="BI21" s="61" t="s">
        <v>3265</v>
      </c>
      <c r="BJ21" s="61">
        <v>94</v>
      </c>
    </row>
    <row r="22" s="28" customFormat="1" customHeight="1" spans="1:62">
      <c r="A22" s="44">
        <f>'8'!A22+1</f>
        <v>46121</v>
      </c>
      <c r="B22" s="45" t="s">
        <v>3351</v>
      </c>
      <c r="C22" s="45" t="s">
        <v>3265</v>
      </c>
      <c r="D22" s="70" t="s">
        <v>3319</v>
      </c>
      <c r="E22" s="47">
        <f>SUMIFS(卸车数据!$J$6:$J$1048576,卸车数据!$R$6:$R$1048576,"&gt;="&amp;A22+TIME(19,0,0),卸车数据!$R$6:$R$1048576,"&lt;"&amp;A22+TIME(20,0,0))</f>
        <v>32503</v>
      </c>
      <c r="F22" s="71">
        <v>5701</v>
      </c>
      <c r="G22" s="65">
        <v>13621</v>
      </c>
      <c r="H22" s="49">
        <v>1</v>
      </c>
      <c r="I22" s="49"/>
      <c r="J22" s="49"/>
      <c r="K22" s="50">
        <f t="shared" si="0"/>
        <v>24</v>
      </c>
      <c r="L22" s="50">
        <v>1</v>
      </c>
      <c r="M22" s="51">
        <v>8</v>
      </c>
      <c r="N22" s="51">
        <v>3</v>
      </c>
      <c r="O22" s="51">
        <v>1</v>
      </c>
      <c r="P22" s="49">
        <v>6</v>
      </c>
      <c r="Q22" s="49">
        <v>5</v>
      </c>
      <c r="R22" s="49"/>
      <c r="S22" s="49"/>
      <c r="T22" s="49"/>
      <c r="U22" s="49"/>
      <c r="V22" s="49"/>
      <c r="W22" s="50">
        <f t="shared" si="1"/>
        <v>27</v>
      </c>
      <c r="X22" s="50">
        <v>1</v>
      </c>
      <c r="Y22" s="49">
        <v>13</v>
      </c>
      <c r="Z22" s="49">
        <v>10</v>
      </c>
      <c r="AA22" s="49">
        <v>1</v>
      </c>
      <c r="AB22" s="49"/>
      <c r="AC22" s="49">
        <v>2</v>
      </c>
      <c r="AD22" s="49"/>
      <c r="AE22" s="49"/>
      <c r="AF22" s="49"/>
      <c r="AG22" s="50">
        <f t="shared" si="2"/>
        <v>25</v>
      </c>
      <c r="AH22" s="50">
        <v>1</v>
      </c>
      <c r="AI22" s="58">
        <v>8</v>
      </c>
      <c r="AJ22" s="49">
        <v>5</v>
      </c>
      <c r="AK22" s="49">
        <v>9</v>
      </c>
      <c r="AL22" s="49"/>
      <c r="AM22" s="49">
        <v>1</v>
      </c>
      <c r="AN22" s="49">
        <v>1</v>
      </c>
      <c r="AO22" s="49"/>
      <c r="AP22" s="49"/>
      <c r="AQ22" s="49"/>
      <c r="AR22" s="50">
        <f t="shared" si="3"/>
        <v>17</v>
      </c>
      <c r="AS22" s="50">
        <v>1</v>
      </c>
      <c r="AT22" s="50">
        <v>2</v>
      </c>
      <c r="AU22" s="49">
        <v>8</v>
      </c>
      <c r="AV22" s="49">
        <v>5</v>
      </c>
      <c r="AW22" s="50"/>
      <c r="AX22" s="50">
        <v>1</v>
      </c>
      <c r="AY22" s="49"/>
      <c r="AZ22" s="49"/>
      <c r="BA22" s="52">
        <v>4</v>
      </c>
      <c r="BB22" s="49"/>
      <c r="BC22" s="50">
        <f t="shared" si="4"/>
        <v>3</v>
      </c>
      <c r="BD22" s="58">
        <v>3</v>
      </c>
      <c r="BE22" s="49"/>
      <c r="BF22" s="49"/>
      <c r="BG22" s="53"/>
      <c r="BH22" s="53">
        <f t="shared" si="5"/>
        <v>100</v>
      </c>
      <c r="BI22" s="54"/>
      <c r="BJ22" s="54"/>
    </row>
    <row r="23" s="26" customFormat="1" customHeight="1" spans="1:62">
      <c r="A23" s="44">
        <f>'8'!A23+1</f>
        <v>46121</v>
      </c>
      <c r="B23" s="45" t="s">
        <v>3352</v>
      </c>
      <c r="C23" s="45" t="s">
        <v>3265</v>
      </c>
      <c r="D23" s="70" t="s">
        <v>3319</v>
      </c>
      <c r="E23" s="47">
        <f>SUMIFS(卸车数据!$J$6:$J$1048576,卸车数据!$R$6:$R$1048576,"&gt;="&amp;A23+TIME(20,0,0),卸车数据!$R$6:$R$1048576,"&lt;"&amp;A23+TIME(21,0,0))</f>
        <v>15783</v>
      </c>
      <c r="F23" s="71">
        <v>7294</v>
      </c>
      <c r="G23" s="48">
        <v>12758</v>
      </c>
      <c r="H23" s="49">
        <v>1</v>
      </c>
      <c r="I23" s="64" t="s">
        <v>3353</v>
      </c>
      <c r="J23" s="49"/>
      <c r="K23" s="50">
        <f t="shared" si="0"/>
        <v>24</v>
      </c>
      <c r="L23" s="50">
        <v>1</v>
      </c>
      <c r="M23" s="51">
        <v>8</v>
      </c>
      <c r="N23" s="51">
        <v>3</v>
      </c>
      <c r="O23" s="51">
        <v>1</v>
      </c>
      <c r="P23" s="49">
        <v>6</v>
      </c>
      <c r="Q23" s="49">
        <v>5</v>
      </c>
      <c r="R23" s="49"/>
      <c r="S23" s="49"/>
      <c r="T23" s="49"/>
      <c r="U23" s="49"/>
      <c r="V23" s="49"/>
      <c r="W23" s="50">
        <f t="shared" si="1"/>
        <v>27</v>
      </c>
      <c r="X23" s="50">
        <v>1</v>
      </c>
      <c r="Y23" s="49">
        <v>13</v>
      </c>
      <c r="Z23" s="49">
        <v>10</v>
      </c>
      <c r="AA23" s="49">
        <v>1</v>
      </c>
      <c r="AB23" s="49"/>
      <c r="AC23" s="49">
        <v>2</v>
      </c>
      <c r="AD23" s="49"/>
      <c r="AE23" s="49"/>
      <c r="AF23" s="49"/>
      <c r="AG23" s="50">
        <f t="shared" si="2"/>
        <v>25</v>
      </c>
      <c r="AH23" s="50">
        <v>1</v>
      </c>
      <c r="AI23" s="58">
        <v>8</v>
      </c>
      <c r="AJ23" s="49">
        <v>5</v>
      </c>
      <c r="AK23" s="49">
        <v>9</v>
      </c>
      <c r="AL23" s="49"/>
      <c r="AM23" s="49">
        <v>1</v>
      </c>
      <c r="AN23" s="49">
        <v>1</v>
      </c>
      <c r="AO23" s="49"/>
      <c r="AP23" s="49"/>
      <c r="AQ23" s="49"/>
      <c r="AR23" s="50">
        <f t="shared" si="3"/>
        <v>17</v>
      </c>
      <c r="AS23" s="50">
        <v>1</v>
      </c>
      <c r="AT23" s="50">
        <v>2</v>
      </c>
      <c r="AU23" s="49">
        <v>8</v>
      </c>
      <c r="AV23" s="49">
        <v>5</v>
      </c>
      <c r="AW23" s="50"/>
      <c r="AX23" s="50">
        <v>1</v>
      </c>
      <c r="AY23" s="49"/>
      <c r="AZ23" s="49"/>
      <c r="BA23" s="52">
        <v>4</v>
      </c>
      <c r="BB23" s="49"/>
      <c r="BC23" s="50">
        <f t="shared" si="4"/>
        <v>3</v>
      </c>
      <c r="BD23" s="58">
        <v>3</v>
      </c>
      <c r="BE23" s="49"/>
      <c r="BF23" s="49"/>
      <c r="BG23" s="53"/>
      <c r="BH23" s="53">
        <f t="shared" si="5"/>
        <v>100</v>
      </c>
      <c r="BI23" s="54"/>
      <c r="BJ23" s="54"/>
    </row>
    <row r="24" s="26" customFormat="1" customHeight="1" spans="1:62">
      <c r="A24" s="44">
        <f>'8'!A24+1</f>
        <v>46121</v>
      </c>
      <c r="B24" s="45" t="s">
        <v>3354</v>
      </c>
      <c r="C24" s="45" t="s">
        <v>3265</v>
      </c>
      <c r="D24" s="70" t="s">
        <v>3319</v>
      </c>
      <c r="E24" s="47">
        <f>SUMIFS(卸车数据!$J$6:$J$1048576,卸车数据!$R$6:$R$1048576,"&gt;="&amp;A24+TIME(21,0,0),卸车数据!$R$6:$R$1048576,"&lt;"&amp;A24+TIME(22,0,0))</f>
        <v>0</v>
      </c>
      <c r="F24" s="71">
        <v>5393</v>
      </c>
      <c r="G24" s="48">
        <v>12988</v>
      </c>
      <c r="H24" s="49">
        <v>1</v>
      </c>
      <c r="I24" s="49"/>
      <c r="J24" s="49"/>
      <c r="K24" s="50">
        <f t="shared" si="0"/>
        <v>24</v>
      </c>
      <c r="L24" s="50">
        <v>1</v>
      </c>
      <c r="M24" s="51">
        <v>8</v>
      </c>
      <c r="N24" s="51">
        <v>3</v>
      </c>
      <c r="O24" s="51">
        <v>1</v>
      </c>
      <c r="P24" s="49">
        <v>6</v>
      </c>
      <c r="Q24" s="49">
        <v>5</v>
      </c>
      <c r="R24" s="49"/>
      <c r="S24" s="49"/>
      <c r="T24" s="49"/>
      <c r="U24" s="49"/>
      <c r="V24" s="49"/>
      <c r="W24" s="50">
        <f t="shared" si="1"/>
        <v>27</v>
      </c>
      <c r="X24" s="50">
        <v>1</v>
      </c>
      <c r="Y24" s="49">
        <v>13</v>
      </c>
      <c r="Z24" s="49">
        <v>10</v>
      </c>
      <c r="AA24" s="49">
        <v>1</v>
      </c>
      <c r="AB24" s="49"/>
      <c r="AC24" s="49">
        <v>2</v>
      </c>
      <c r="AD24" s="49"/>
      <c r="AE24" s="49"/>
      <c r="AF24" s="49"/>
      <c r="AG24" s="50">
        <f t="shared" si="2"/>
        <v>25</v>
      </c>
      <c r="AH24" s="50">
        <v>1</v>
      </c>
      <c r="AI24" s="58">
        <v>8</v>
      </c>
      <c r="AJ24" s="49">
        <v>5</v>
      </c>
      <c r="AK24" s="49">
        <v>9</v>
      </c>
      <c r="AL24" s="49"/>
      <c r="AM24" s="49">
        <v>1</v>
      </c>
      <c r="AN24" s="49">
        <v>1</v>
      </c>
      <c r="AO24" s="49"/>
      <c r="AP24" s="49"/>
      <c r="AQ24" s="49"/>
      <c r="AR24" s="50">
        <f t="shared" si="3"/>
        <v>17</v>
      </c>
      <c r="AS24" s="50">
        <v>1</v>
      </c>
      <c r="AT24" s="50">
        <v>2</v>
      </c>
      <c r="AU24" s="49">
        <v>8</v>
      </c>
      <c r="AV24" s="49">
        <v>5</v>
      </c>
      <c r="AW24" s="50"/>
      <c r="AX24" s="50">
        <v>1</v>
      </c>
      <c r="AY24" s="49"/>
      <c r="AZ24" s="49"/>
      <c r="BA24" s="52">
        <v>4</v>
      </c>
      <c r="BB24" s="50"/>
      <c r="BC24" s="50">
        <f t="shared" si="4"/>
        <v>3</v>
      </c>
      <c r="BD24" s="58">
        <v>3</v>
      </c>
      <c r="BE24" s="49"/>
      <c r="BF24" s="49"/>
      <c r="BG24" s="53"/>
      <c r="BH24" s="53">
        <f t="shared" si="5"/>
        <v>100</v>
      </c>
      <c r="BI24" s="54"/>
      <c r="BJ24" s="54"/>
    </row>
    <row r="25" s="26" customFormat="1" customHeight="1" spans="1:62">
      <c r="A25" s="44">
        <f>'8'!A25+1</f>
        <v>46121</v>
      </c>
      <c r="B25" s="45" t="s">
        <v>3355</v>
      </c>
      <c r="C25" s="45" t="s">
        <v>3265</v>
      </c>
      <c r="D25" s="70" t="s">
        <v>3319</v>
      </c>
      <c r="E25" s="47">
        <f>SUMIFS(卸车数据!$J$6:$J$1048576,卸车数据!$R$6:$R$1048576,"&gt;="&amp;A25+TIME(22,0,0),卸车数据!$R$6:$R$1048576,"&lt;"&amp;A25+TIME(23,0,0))</f>
        <v>5473</v>
      </c>
      <c r="F25" s="71">
        <v>3359</v>
      </c>
      <c r="G25" s="48">
        <v>7041</v>
      </c>
      <c r="H25" s="49">
        <v>1</v>
      </c>
      <c r="I25" s="64" t="s">
        <v>3356</v>
      </c>
      <c r="J25" s="49"/>
      <c r="K25" s="50">
        <f t="shared" si="0"/>
        <v>24</v>
      </c>
      <c r="L25" s="50">
        <v>1</v>
      </c>
      <c r="M25" s="51">
        <v>8</v>
      </c>
      <c r="N25" s="51">
        <v>3</v>
      </c>
      <c r="O25" s="51">
        <v>1</v>
      </c>
      <c r="P25" s="49">
        <v>6</v>
      </c>
      <c r="Q25" s="49">
        <v>5</v>
      </c>
      <c r="R25" s="49"/>
      <c r="S25" s="49"/>
      <c r="T25" s="49"/>
      <c r="U25" s="49"/>
      <c r="V25" s="49"/>
      <c r="W25" s="50">
        <f t="shared" si="1"/>
        <v>27</v>
      </c>
      <c r="X25" s="50">
        <v>1</v>
      </c>
      <c r="Y25" s="49">
        <v>13</v>
      </c>
      <c r="Z25" s="49">
        <v>10</v>
      </c>
      <c r="AA25" s="49">
        <v>1</v>
      </c>
      <c r="AB25" s="49"/>
      <c r="AC25" s="49">
        <v>2</v>
      </c>
      <c r="AD25" s="49"/>
      <c r="AE25" s="49"/>
      <c r="AF25" s="49"/>
      <c r="AG25" s="50">
        <f t="shared" si="2"/>
        <v>25</v>
      </c>
      <c r="AH25" s="50">
        <v>1</v>
      </c>
      <c r="AI25" s="58">
        <v>8</v>
      </c>
      <c r="AJ25" s="49">
        <v>5</v>
      </c>
      <c r="AK25" s="49">
        <v>9</v>
      </c>
      <c r="AL25" s="49"/>
      <c r="AM25" s="49">
        <v>1</v>
      </c>
      <c r="AN25" s="49">
        <v>1</v>
      </c>
      <c r="AO25" s="49"/>
      <c r="AP25" s="49"/>
      <c r="AQ25" s="49"/>
      <c r="AR25" s="50">
        <f t="shared" si="3"/>
        <v>17</v>
      </c>
      <c r="AS25" s="50">
        <v>1</v>
      </c>
      <c r="AT25" s="50">
        <v>2</v>
      </c>
      <c r="AU25" s="49">
        <v>8</v>
      </c>
      <c r="AV25" s="49">
        <v>5</v>
      </c>
      <c r="AW25" s="50"/>
      <c r="AX25" s="50">
        <v>1</v>
      </c>
      <c r="AY25" s="49"/>
      <c r="AZ25" s="49"/>
      <c r="BA25" s="52">
        <v>4</v>
      </c>
      <c r="BB25" s="50"/>
      <c r="BC25" s="50">
        <f t="shared" si="4"/>
        <v>3</v>
      </c>
      <c r="BD25" s="58">
        <v>3</v>
      </c>
      <c r="BE25" s="49"/>
      <c r="BF25" s="49"/>
      <c r="BG25" s="53"/>
      <c r="BH25" s="53">
        <f t="shared" si="5"/>
        <v>100</v>
      </c>
      <c r="BI25" s="54"/>
      <c r="BJ25" s="54"/>
    </row>
    <row r="26" s="27" customFormat="1" customHeight="1" spans="1:62">
      <c r="A26" s="44">
        <f>'8'!A26+1</f>
        <v>46121</v>
      </c>
      <c r="B26" s="55" t="s">
        <v>3357</v>
      </c>
      <c r="C26" s="55" t="s">
        <v>3265</v>
      </c>
      <c r="D26" s="72" t="s">
        <v>3311</v>
      </c>
      <c r="E26" s="47">
        <f>SUMIFS(卸车数据!$J$6:$J$1048576,卸车数据!$R$6:$R$1048576,"&gt;="&amp;A26+TIME(23,0,0),卸车数据!$R$6:$R$1048576,"&lt;"&amp;A26+TIME(0,0,0))</f>
        <v>0</v>
      </c>
      <c r="F26" s="73">
        <v>3895</v>
      </c>
      <c r="G26" s="57">
        <v>3283</v>
      </c>
      <c r="H26" s="51">
        <v>1</v>
      </c>
      <c r="I26" s="51" t="s">
        <v>3358</v>
      </c>
      <c r="J26" s="51"/>
      <c r="K26" s="58">
        <f t="shared" si="0"/>
        <v>24</v>
      </c>
      <c r="L26" s="58">
        <v>1</v>
      </c>
      <c r="M26" s="51">
        <v>10</v>
      </c>
      <c r="N26" s="51">
        <v>3</v>
      </c>
      <c r="O26" s="51"/>
      <c r="P26" s="51">
        <v>3</v>
      </c>
      <c r="Q26" s="51">
        <v>5</v>
      </c>
      <c r="R26" s="51">
        <v>2</v>
      </c>
      <c r="S26" s="51"/>
      <c r="T26" s="51"/>
      <c r="U26" s="51" t="s">
        <v>3359</v>
      </c>
      <c r="V26" s="51"/>
      <c r="W26" s="58">
        <f t="shared" si="1"/>
        <v>27</v>
      </c>
      <c r="X26" s="58">
        <v>1</v>
      </c>
      <c r="Y26" s="51">
        <v>13</v>
      </c>
      <c r="Z26" s="51">
        <v>10</v>
      </c>
      <c r="AA26" s="51">
        <v>1</v>
      </c>
      <c r="AB26" s="51"/>
      <c r="AC26" s="51">
        <v>2</v>
      </c>
      <c r="AD26" s="51"/>
      <c r="AE26" s="51" t="s">
        <v>3360</v>
      </c>
      <c r="AF26" s="51"/>
      <c r="AG26" s="58">
        <f t="shared" si="2"/>
        <v>25</v>
      </c>
      <c r="AH26" s="58">
        <v>1</v>
      </c>
      <c r="AI26" s="58">
        <v>8</v>
      </c>
      <c r="AJ26" s="58">
        <v>5</v>
      </c>
      <c r="AK26" s="51">
        <v>9</v>
      </c>
      <c r="AL26" s="51"/>
      <c r="AM26" s="51">
        <v>1</v>
      </c>
      <c r="AN26" s="51">
        <v>1</v>
      </c>
      <c r="AO26" s="51"/>
      <c r="AP26" s="51"/>
      <c r="AQ26" s="51"/>
      <c r="AR26" s="58">
        <f t="shared" si="3"/>
        <v>17</v>
      </c>
      <c r="AS26" s="58">
        <v>1</v>
      </c>
      <c r="AT26" s="50">
        <v>2</v>
      </c>
      <c r="AU26" s="51">
        <v>7</v>
      </c>
      <c r="AV26" s="51">
        <v>5</v>
      </c>
      <c r="AW26" s="58"/>
      <c r="AX26" s="58">
        <v>1</v>
      </c>
      <c r="AY26" s="51">
        <v>1</v>
      </c>
      <c r="AZ26" s="51"/>
      <c r="BA26" s="52">
        <v>4</v>
      </c>
      <c r="BB26" s="58"/>
      <c r="BC26" s="50">
        <f t="shared" si="4"/>
        <v>3</v>
      </c>
      <c r="BD26" s="58">
        <v>3</v>
      </c>
      <c r="BE26" s="51"/>
      <c r="BF26" s="49"/>
      <c r="BG26" s="69"/>
      <c r="BH26" s="53">
        <f t="shared" si="5"/>
        <v>100</v>
      </c>
      <c r="BI26" s="61">
        <v>5</v>
      </c>
      <c r="BJ26" s="61" t="s">
        <v>3361</v>
      </c>
    </row>
    <row r="27" s="30" customFormat="1" customHeight="1" spans="1:62">
      <c r="B27" s="74" t="s">
        <v>3362</v>
      </c>
      <c r="C27" s="74"/>
      <c r="D27" s="74"/>
      <c r="E27" s="74"/>
      <c r="F27" s="75"/>
      <c r="G27" s="75"/>
      <c r="H27" s="74"/>
      <c r="P27" s="76"/>
      <c r="Q27" s="76"/>
      <c r="V27" s="77"/>
      <c r="W27" s="77"/>
      <c r="BH27" s="31"/>
    </row>
    <row r="28" s="30" customFormat="1" customHeight="1" spans="1:62">
      <c r="B28" s="78" t="s">
        <v>3363</v>
      </c>
      <c r="C28" s="79"/>
      <c r="D28" s="79"/>
      <c r="E28" s="79"/>
      <c r="F28" s="79"/>
      <c r="G28" s="79"/>
      <c r="H28" s="80"/>
      <c r="I28" s="80"/>
      <c r="J28" s="80"/>
      <c r="K28" s="80"/>
      <c r="L28" s="80"/>
      <c r="M28" s="79"/>
      <c r="N28" s="81" t="s">
        <v>3364</v>
      </c>
      <c r="O28" s="81"/>
      <c r="Q28" s="79" t="s">
        <v>3365</v>
      </c>
      <c r="R28" s="79"/>
      <c r="BC28" s="31"/>
    </row>
    <row r="29" s="30" customFormat="1" customHeight="1" spans="1:62">
      <c r="B29" s="31" t="s">
        <v>3366</v>
      </c>
      <c r="C29" s="31"/>
      <c r="D29" s="82" t="s">
        <v>3367</v>
      </c>
      <c r="E29" s="83"/>
      <c r="F29" s="83"/>
      <c r="G29" s="83"/>
      <c r="H29" s="84"/>
      <c r="I29" s="85" t="s">
        <v>3368</v>
      </c>
      <c r="J29" s="86"/>
      <c r="K29" s="86"/>
      <c r="L29" s="86"/>
      <c r="M29" s="86"/>
      <c r="N29" s="86"/>
      <c r="O29" s="87"/>
      <c r="Q29" s="79"/>
      <c r="R29" s="79"/>
      <c r="BC29" s="31"/>
      <c r="BD29" s="88"/>
    </row>
    <row r="30" s="28" customFormat="1" customHeight="1" spans="1:62">
      <c r="K30" s="89"/>
      <c r="L30" s="89"/>
      <c r="Q30" s="79"/>
      <c r="R30" s="79"/>
      <c r="BC30" s="90"/>
      <c r="BD30" s="91"/>
    </row>
    <row r="31" s="31" customFormat="1" customHeight="1" spans="1:62">
      <c r="B31" s="31" t="s">
        <v>3369</v>
      </c>
      <c r="D31" s="92" t="s">
        <v>3370</v>
      </c>
      <c r="E31" s="93"/>
      <c r="F31" s="94"/>
      <c r="G31" s="94"/>
      <c r="H31" s="94"/>
      <c r="I31" s="95">
        <v>1800</v>
      </c>
      <c r="J31" s="94"/>
      <c r="K31" s="96"/>
      <c r="L31" s="97">
        <v>2330</v>
      </c>
      <c r="M31" s="94"/>
      <c r="N31" s="94"/>
      <c r="O31" s="98" t="s">
        <v>3370</v>
      </c>
      <c r="Q31" s="79"/>
      <c r="R31" s="79"/>
    </row>
  </sheetData>
  <mergeCells count="24">
    <mergeCell ref="I1:T1"/>
    <mergeCell ref="U1:AD1"/>
    <mergeCell ref="AF1:AO1"/>
    <mergeCell ref="AP1:AZ1"/>
    <mergeCell ref="BB1:BG1"/>
    <mergeCell ref="BI6:BJ6"/>
    <mergeCell ref="B27:H27"/>
    <mergeCell ref="V27:W27"/>
    <mergeCell ref="H28:L28"/>
    <mergeCell ref="N28:O28"/>
    <mergeCell ref="D29:H29"/>
    <mergeCell ref="I29:O29"/>
    <mergeCell ref="A1:A2"/>
    <mergeCell ref="B1:B2"/>
    <mergeCell ref="C1:C2"/>
    <mergeCell ref="D1:D2"/>
    <mergeCell ref="E1:E2"/>
    <mergeCell ref="F1:F2"/>
    <mergeCell ref="G1:G2"/>
    <mergeCell ref="H1:H2"/>
    <mergeCell ref="BA1:BA2"/>
    <mergeCell ref="BH1:BH2"/>
    <mergeCell ref="BI1:BJ2"/>
    <mergeCell ref="Q28:R31"/>
  </mergeCells>
  <pageMargins left="0.75" right="0.75" top="1" bottom="1" header="0.5" footer="0.5"/>
  <headerFooter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H202"/>
  <sheetViews>
    <sheetView tabSelected="1" workbookViewId="0">
      <pane xSplit="2" ySplit="2" topLeftCell="U3" activePane="bottomRight" state="frozen"/>
      <selection/>
      <selection pane="topRight"/>
      <selection pane="bottomLeft"/>
      <selection pane="bottomRight" activeCell="X5" sqref="X5"/>
    </sheetView>
  </sheetViews>
  <sheetFormatPr defaultColWidth="8.88888888888889" defaultRowHeight="15.6"/>
  <cols>
    <col min="1" max="1" width="8.88888888888889" style="2"/>
    <col min="2" max="2" width="22.1111111111111" style="3" customWidth="1"/>
    <col min="3" max="7" width="9.55555555555556" style="3" customWidth="1"/>
    <col min="8" max="8" width="9" style="3" customWidth="1"/>
    <col min="9" max="9" width="9" style="4" customWidth="1"/>
    <col min="10" max="10" width="8.88888888888889" style="2"/>
    <col min="11" max="11" width="15.6666666666667" style="2"/>
    <col min="12" max="12" width="9" style="2"/>
    <col min="13" max="13" width="15.2222222222222" style="2"/>
    <col min="14" max="14" width="8.88888888888889" style="2"/>
    <col min="15" max="15" width="15.6666666666667" style="2"/>
    <col min="16" max="16" width="10.2222222222222" style="2" customWidth="1"/>
    <col min="17" max="17" width="12.7777777777778" style="2"/>
    <col min="18" max="18" width="9" style="2"/>
    <col min="19" max="19" width="15.2222222222222" style="2"/>
    <col min="20" max="20" width="8.88888888888889" style="2"/>
    <col min="21" max="21" width="14.3333333333333" style="2"/>
    <col min="22" max="22" width="11.5555555555556" style="2"/>
    <col min="23" max="23" width="12.7777777777778" style="2"/>
    <col min="24" max="24" width="9" style="2"/>
    <col min="25" max="29" width="14" style="2"/>
    <col min="30" max="30" width="15.6666666666667" style="2"/>
    <col min="31" max="31" width="17.1111111111111" style="2"/>
    <col min="32" max="33" width="9.66666666666667" style="2" customWidth="1"/>
    <col min="34" max="16384" width="8.88888888888889" style="2"/>
  </cols>
  <sheetData>
    <row r="1" spans="1:34">
      <c r="A1" s="5" t="s">
        <v>3222</v>
      </c>
      <c r="B1" s="5" t="s">
        <v>3223</v>
      </c>
      <c r="C1" s="6" t="s">
        <v>3224</v>
      </c>
      <c r="D1" s="6" t="s">
        <v>3225</v>
      </c>
      <c r="E1" s="6" t="s">
        <v>3226</v>
      </c>
      <c r="F1" s="5" t="s">
        <v>3227</v>
      </c>
      <c r="G1" s="5" t="s">
        <v>3228</v>
      </c>
      <c r="H1" s="5" t="s">
        <v>3229</v>
      </c>
      <c r="I1" s="5" t="s">
        <v>3372</v>
      </c>
      <c r="J1" s="5" t="s">
        <v>3373</v>
      </c>
      <c r="K1" s="5" t="s">
        <v>3374</v>
      </c>
      <c r="L1" s="5" t="s">
        <v>3375</v>
      </c>
      <c r="M1" s="5" t="s">
        <v>3376</v>
      </c>
      <c r="N1" s="5" t="s">
        <v>3377</v>
      </c>
      <c r="O1" s="5" t="s">
        <v>3378</v>
      </c>
      <c r="P1" s="5" t="s">
        <v>3379</v>
      </c>
      <c r="Q1" s="5" t="s">
        <v>3380</v>
      </c>
      <c r="R1" s="5" t="s">
        <v>3381</v>
      </c>
      <c r="S1" s="5" t="s">
        <v>3382</v>
      </c>
      <c r="T1" s="5" t="s">
        <v>3383</v>
      </c>
      <c r="U1" s="5" t="s">
        <v>3384</v>
      </c>
      <c r="V1" s="5" t="s">
        <v>3385</v>
      </c>
      <c r="W1" s="5" t="s">
        <v>3386</v>
      </c>
      <c r="X1" s="5" t="s">
        <v>3387</v>
      </c>
      <c r="Y1" s="5" t="s">
        <v>3376</v>
      </c>
      <c r="Z1" s="6" t="s">
        <v>3388</v>
      </c>
      <c r="AA1" s="6" t="s">
        <v>3389</v>
      </c>
      <c r="AB1" s="6" t="s">
        <v>3390</v>
      </c>
      <c r="AC1" s="6" t="s">
        <v>3391</v>
      </c>
      <c r="AD1" s="6" t="s">
        <v>3392</v>
      </c>
      <c r="AE1" s="7" t="s">
        <v>3393</v>
      </c>
      <c r="AF1" s="2" t="s">
        <v>3394</v>
      </c>
      <c r="AG1" s="2" t="s">
        <v>3395</v>
      </c>
    </row>
    <row r="2" spans="1:34">
      <c r="A2" s="5"/>
      <c r="B2" s="5"/>
      <c r="C2" s="8"/>
      <c r="D2" s="8"/>
      <c r="E2" s="8"/>
      <c r="F2" s="9"/>
      <c r="G2" s="9"/>
      <c r="H2" s="5"/>
      <c r="I2" s="5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8"/>
      <c r="AA2" s="8"/>
      <c r="AB2" s="8"/>
      <c r="AC2" s="8"/>
      <c r="AD2" s="8"/>
      <c r="AE2" s="7"/>
    </row>
    <row r="3" spans="1:34">
      <c r="A3" s="10">
        <v>46113</v>
      </c>
      <c r="B3" s="11" t="s">
        <v>3264</v>
      </c>
      <c r="C3" s="11" t="s">
        <v>3265</v>
      </c>
      <c r="D3" s="12" t="s">
        <v>22</v>
      </c>
      <c r="E3" s="13">
        <f>SUMIFS(卸车数据!$J$6:$J$1048576,卸车数据!$R$6:$R$1048576,"&gt;="&amp;A3+TIME(0,0,0),卸车数据!$R$6:$R$1048576,"&lt;"&amp;A3+TIME(1,0,0))</f>
        <v>16991</v>
      </c>
      <c r="F3" s="13">
        <v>1608</v>
      </c>
      <c r="G3" s="14">
        <v>6568</v>
      </c>
      <c r="H3" s="15">
        <f t="shared" ref="H3:H26" si="0">IF(C3="夜班",2,4)</f>
        <v>2</v>
      </c>
      <c r="I3" s="15">
        <f>IF(H3=2,21.79+16000/30/24,25.75+12000/30/24*2+30000/30/24)</f>
        <v>44.0122222222222</v>
      </c>
      <c r="J3" s="15">
        <f>'1'!K3</f>
        <v>17</v>
      </c>
      <c r="K3" s="16">
        <f t="shared" ref="K3:K10" si="1">E3/J3</f>
        <v>999.470588235294</v>
      </c>
      <c r="L3" s="15">
        <f t="shared" ref="L3:L9" si="2">J3*14.62+21</f>
        <v>269.54</v>
      </c>
      <c r="M3" s="17">
        <f t="shared" ref="M3:M10" si="3">0-L3</f>
        <v>-269.54</v>
      </c>
      <c r="N3" s="15">
        <f>'1'!W3</f>
        <v>25</v>
      </c>
      <c r="O3" s="16">
        <f t="shared" ref="O3:O10" si="4">G3/N3</f>
        <v>262.72</v>
      </c>
      <c r="P3" s="15">
        <f t="shared" ref="P3:P9" si="5">0.0722*0.95</f>
        <v>0.06859</v>
      </c>
      <c r="Q3" s="17">
        <f t="shared" ref="Q3:Q10" si="6">P3*G3*0.94</f>
        <v>423.4691728</v>
      </c>
      <c r="R3" s="15">
        <f t="shared" ref="R3:R9" si="7">(N3-13)*14.62+13*18+21</f>
        <v>430.44</v>
      </c>
      <c r="S3" s="17">
        <f t="shared" ref="S3:S10" si="8">Q3-R3</f>
        <v>-6.97082720000003</v>
      </c>
      <c r="T3" s="15">
        <f>'1'!AG3+'1'!AR3</f>
        <v>45</v>
      </c>
      <c r="U3" s="16">
        <f t="shared" ref="U3:U9" si="9">F3/T3</f>
        <v>35.7333333333333</v>
      </c>
      <c r="V3" s="15">
        <f t="shared" ref="V3:V9" si="10">0.2909*0.95</f>
        <v>0.276355</v>
      </c>
      <c r="W3" s="17">
        <f t="shared" ref="W3:W9" si="11">V3*F3*0.94</f>
        <v>417.7161096</v>
      </c>
      <c r="X3" s="15">
        <f t="shared" ref="X3:X9" si="12">(T3-13)*14.62+13*18+42</f>
        <v>743.84</v>
      </c>
      <c r="Y3" s="17">
        <f t="shared" ref="Y3:Y9" si="13">W3-X3</f>
        <v>-326.1238904</v>
      </c>
      <c r="Z3" s="18">
        <f>'1'!BA3</f>
        <v>4</v>
      </c>
      <c r="AA3" s="18">
        <f>'1'!BD3</f>
        <v>3</v>
      </c>
      <c r="AB3" s="18">
        <f>'1'!BE3</f>
        <v>0</v>
      </c>
      <c r="AC3" s="18">
        <v>1</v>
      </c>
      <c r="AD3" s="17">
        <f>(Z3-1)*14.62+(9000/26/13)+(AA3-1)*14.54+7500/26/11+AB3*(4200/26/9)+AC3*(4000/26/11)+$AH$3/24</f>
        <v>223.110342478035</v>
      </c>
      <c r="AE3" s="19">
        <f t="shared" ref="AE3:AE10" si="14">M3+S3+Y3-I3-AD3</f>
        <v>-869.757282300257</v>
      </c>
      <c r="AF3" s="2">
        <f>AB3+AA3+Z3+T3+N3+J3+AC3</f>
        <v>95</v>
      </c>
      <c r="AG3" s="2">
        <f>'1'!BH3</f>
        <v>95</v>
      </c>
      <c r="AH3" s="2">
        <v>2000</v>
      </c>
    </row>
    <row r="4" spans="1:34">
      <c r="A4" s="10">
        <v>46113</v>
      </c>
      <c r="B4" s="11" t="s">
        <v>3268</v>
      </c>
      <c r="C4" s="11" t="s">
        <v>3265</v>
      </c>
      <c r="D4" s="12" t="s">
        <v>22</v>
      </c>
      <c r="E4" s="13">
        <f>SUMIFS(卸车数据!$J$6:$J$1048576,卸车数据!$R$6:$R$1048576,"&gt;="&amp;A4+TIME(1,0,0),卸车数据!$R$6:$R$1048576,"&lt;"&amp;A4+TIME(2,0,0))</f>
        <v>3241</v>
      </c>
      <c r="F4" s="13">
        <v>4607</v>
      </c>
      <c r="G4" s="14">
        <v>12491</v>
      </c>
      <c r="H4" s="15">
        <f t="shared" si="0"/>
        <v>2</v>
      </c>
      <c r="I4" s="15">
        <f t="shared" ref="I4:I22" si="15">IF(H4=2,21.79+16000/30/24,25.75+12000/30/24*2+30000/30/24)</f>
        <v>44.0122222222222</v>
      </c>
      <c r="J4" s="15">
        <f>'1'!K4</f>
        <v>17</v>
      </c>
      <c r="K4" s="16">
        <f t="shared" si="1"/>
        <v>190.647058823529</v>
      </c>
      <c r="L4" s="15">
        <f t="shared" si="2"/>
        <v>269.54</v>
      </c>
      <c r="M4" s="17">
        <f t="shared" si="3"/>
        <v>-269.54</v>
      </c>
      <c r="N4" s="15">
        <f>'1'!W4</f>
        <v>25</v>
      </c>
      <c r="O4" s="16">
        <f t="shared" si="4"/>
        <v>499.64</v>
      </c>
      <c r="P4" s="15">
        <f t="shared" si="5"/>
        <v>0.06859</v>
      </c>
      <c r="Q4" s="17">
        <f t="shared" si="6"/>
        <v>805.3522286</v>
      </c>
      <c r="R4" s="15">
        <f t="shared" si="7"/>
        <v>430.44</v>
      </c>
      <c r="S4" s="17">
        <f t="shared" si="8"/>
        <v>374.9122286</v>
      </c>
      <c r="T4" s="15">
        <f>'1'!AG4+'1'!AR4</f>
        <v>45</v>
      </c>
      <c r="U4" s="16">
        <f t="shared" si="9"/>
        <v>102.377777777778</v>
      </c>
      <c r="V4" s="15">
        <f t="shared" si="10"/>
        <v>0.276355</v>
      </c>
      <c r="W4" s="17">
        <f t="shared" si="11"/>
        <v>1196.7774359</v>
      </c>
      <c r="X4" s="15">
        <f t="shared" si="12"/>
        <v>743.84</v>
      </c>
      <c r="Y4" s="17">
        <f t="shared" si="13"/>
        <v>452.9374359</v>
      </c>
      <c r="Z4" s="18">
        <f>'1'!BA4</f>
        <v>4</v>
      </c>
      <c r="AA4" s="18">
        <f>'1'!BD4</f>
        <v>3</v>
      </c>
      <c r="AB4" s="18">
        <f>'1'!BE4</f>
        <v>0</v>
      </c>
      <c r="AC4" s="18">
        <f>'1'!BF4</f>
        <v>1</v>
      </c>
      <c r="AD4" s="17">
        <f t="shared" ref="AD4:AD26" si="16">(Z4-1)*14.62+(9000/26/13)+(AA4-1)*14.54+7500/26/11+AB4*(4200/26/9)+AC4*(4000/26/11)+$AH$3/24</f>
        <v>223.110342478035</v>
      </c>
      <c r="AE4" s="19">
        <f t="shared" si="14"/>
        <v>291.187099799743</v>
      </c>
      <c r="AF4" s="2">
        <f t="shared" ref="AF4:AF35" si="17">AB4+AA4+Z4+T4+N4+J4+AC4</f>
        <v>95</v>
      </c>
      <c r="AG4" s="2">
        <f>'1'!BH4</f>
        <v>95</v>
      </c>
    </row>
    <row r="5" spans="1:34">
      <c r="A5" s="10">
        <v>46113</v>
      </c>
      <c r="B5" s="11" t="s">
        <v>3270</v>
      </c>
      <c r="C5" s="11" t="s">
        <v>3265</v>
      </c>
      <c r="D5" s="12" t="s">
        <v>22</v>
      </c>
      <c r="E5" s="13">
        <f>SUMIFS(卸车数据!$J$6:$J$1048576,卸车数据!$R$6:$R$1048576,"&gt;="&amp;A5+TIME(2,0,0),卸车数据!$R$6:$R$1048576,"&lt;"&amp;A5+TIME(3,0,0))</f>
        <v>0</v>
      </c>
      <c r="F5" s="13">
        <v>3701</v>
      </c>
      <c r="G5" s="14">
        <v>14519</v>
      </c>
      <c r="H5" s="15">
        <f t="shared" si="0"/>
        <v>2</v>
      </c>
      <c r="I5" s="15">
        <f t="shared" si="15"/>
        <v>44.0122222222222</v>
      </c>
      <c r="J5" s="15">
        <f>'1'!K5</f>
        <v>17</v>
      </c>
      <c r="K5" s="16">
        <f t="shared" si="1"/>
        <v>0</v>
      </c>
      <c r="L5" s="15">
        <f t="shared" si="2"/>
        <v>269.54</v>
      </c>
      <c r="M5" s="17">
        <f t="shared" si="3"/>
        <v>-269.54</v>
      </c>
      <c r="N5" s="15">
        <f>'1'!W5</f>
        <v>25</v>
      </c>
      <c r="O5" s="16">
        <f t="shared" si="4"/>
        <v>580.76</v>
      </c>
      <c r="P5" s="15">
        <f t="shared" si="5"/>
        <v>0.06859</v>
      </c>
      <c r="Q5" s="17">
        <f t="shared" si="6"/>
        <v>936.1067174</v>
      </c>
      <c r="R5" s="15">
        <f t="shared" si="7"/>
        <v>430.44</v>
      </c>
      <c r="S5" s="17">
        <f t="shared" si="8"/>
        <v>505.6667174</v>
      </c>
      <c r="T5" s="15">
        <f>'1'!AG5+'1'!AR5</f>
        <v>45</v>
      </c>
      <c r="U5" s="16">
        <f t="shared" si="9"/>
        <v>82.2444444444444</v>
      </c>
      <c r="V5" s="15">
        <f t="shared" si="10"/>
        <v>0.276355</v>
      </c>
      <c r="W5" s="17">
        <f t="shared" si="11"/>
        <v>961.4224637</v>
      </c>
      <c r="X5" s="15">
        <f t="shared" si="12"/>
        <v>743.84</v>
      </c>
      <c r="Y5" s="17">
        <f t="shared" si="13"/>
        <v>217.5824637</v>
      </c>
      <c r="Z5" s="18">
        <f>'1'!BA5</f>
        <v>4</v>
      </c>
      <c r="AA5" s="18">
        <f>'1'!BD5</f>
        <v>3</v>
      </c>
      <c r="AB5" s="18">
        <f>'1'!BE5</f>
        <v>0</v>
      </c>
      <c r="AC5" s="18">
        <f>'1'!BF5</f>
        <v>1</v>
      </c>
      <c r="AD5" s="17">
        <f t="shared" si="16"/>
        <v>223.110342478035</v>
      </c>
      <c r="AE5" s="19">
        <f t="shared" si="14"/>
        <v>186.586616399743</v>
      </c>
      <c r="AF5" s="2">
        <f t="shared" si="17"/>
        <v>95</v>
      </c>
      <c r="AG5" s="2">
        <f>'1'!BH5</f>
        <v>95</v>
      </c>
    </row>
    <row r="6" spans="1:34">
      <c r="A6" s="10">
        <v>46113</v>
      </c>
      <c r="B6" s="11" t="s">
        <v>3273</v>
      </c>
      <c r="C6" s="11" t="s">
        <v>3265</v>
      </c>
      <c r="D6" s="12" t="s">
        <v>22</v>
      </c>
      <c r="E6" s="13">
        <f>SUMIFS(卸车数据!$J$6:$J$1048576,卸车数据!$R$6:$R$1048576,"&gt;="&amp;A6+TIME(3,0,0),卸车数据!$R$6:$R$1048576,"&lt;"&amp;A6+TIME(4,0,0))</f>
        <v>8615</v>
      </c>
      <c r="F6" s="13">
        <v>4838</v>
      </c>
      <c r="G6" s="14">
        <v>12593</v>
      </c>
      <c r="H6" s="15">
        <f t="shared" si="0"/>
        <v>2</v>
      </c>
      <c r="I6" s="15">
        <f t="shared" si="15"/>
        <v>44.0122222222222</v>
      </c>
      <c r="J6" s="15">
        <f>'1'!K6</f>
        <v>17</v>
      </c>
      <c r="K6" s="16">
        <f t="shared" si="1"/>
        <v>506.764705882353</v>
      </c>
      <c r="L6" s="15">
        <f t="shared" si="2"/>
        <v>269.54</v>
      </c>
      <c r="M6" s="17">
        <f t="shared" si="3"/>
        <v>-269.54</v>
      </c>
      <c r="N6" s="15">
        <f>'1'!W6</f>
        <v>18</v>
      </c>
      <c r="O6" s="16">
        <f t="shared" si="4"/>
        <v>699.611111111111</v>
      </c>
      <c r="P6" s="15">
        <f t="shared" si="5"/>
        <v>0.06859</v>
      </c>
      <c r="Q6" s="17">
        <f t="shared" si="6"/>
        <v>811.9286378</v>
      </c>
      <c r="R6" s="15">
        <f t="shared" si="7"/>
        <v>328.1</v>
      </c>
      <c r="S6" s="17">
        <f t="shared" si="8"/>
        <v>483.8286378</v>
      </c>
      <c r="T6" s="15">
        <f>'1'!AG6+'1'!AR6</f>
        <v>52</v>
      </c>
      <c r="U6" s="16">
        <f t="shared" si="9"/>
        <v>93.0384615384615</v>
      </c>
      <c r="V6" s="15">
        <f t="shared" si="10"/>
        <v>0.276355</v>
      </c>
      <c r="W6" s="17">
        <f t="shared" si="11"/>
        <v>1256.7851606</v>
      </c>
      <c r="X6" s="15">
        <f t="shared" si="12"/>
        <v>846.18</v>
      </c>
      <c r="Y6" s="17">
        <f t="shared" si="13"/>
        <v>410.6051606</v>
      </c>
      <c r="Z6" s="18">
        <f>'1'!BA6</f>
        <v>4</v>
      </c>
      <c r="AA6" s="18">
        <f>'1'!BD6</f>
        <v>3</v>
      </c>
      <c r="AB6" s="18">
        <f>'1'!BE6</f>
        <v>0</v>
      </c>
      <c r="AC6" s="18">
        <f>'1'!BF6</f>
        <v>1</v>
      </c>
      <c r="AD6" s="17">
        <f t="shared" si="16"/>
        <v>223.110342478035</v>
      </c>
      <c r="AE6" s="19">
        <f t="shared" si="14"/>
        <v>357.771233699743</v>
      </c>
      <c r="AF6" s="2">
        <f t="shared" si="17"/>
        <v>95</v>
      </c>
      <c r="AG6" s="2">
        <f>'1'!BH6</f>
        <v>95</v>
      </c>
    </row>
    <row r="7" spans="1:34">
      <c r="A7" s="10">
        <v>46113</v>
      </c>
      <c r="B7" s="11" t="s">
        <v>3280</v>
      </c>
      <c r="C7" s="11" t="s">
        <v>3265</v>
      </c>
      <c r="D7" s="12" t="s">
        <v>22</v>
      </c>
      <c r="E7" s="13">
        <f>SUMIFS(卸车数据!$J$6:$J$1048576,卸车数据!$R$6:$R$1048576,"&gt;="&amp;A7+TIME(4,0,0),卸车数据!$R$6:$R$1048576,"&lt;"&amp;A7+TIME(5,0,0))</f>
        <v>26</v>
      </c>
      <c r="F7" s="13">
        <v>5326</v>
      </c>
      <c r="G7" s="14">
        <v>13297</v>
      </c>
      <c r="H7" s="15">
        <f t="shared" si="0"/>
        <v>2</v>
      </c>
      <c r="I7" s="15">
        <f t="shared" si="15"/>
        <v>44.0122222222222</v>
      </c>
      <c r="J7" s="15">
        <f>'1'!K7</f>
        <v>17</v>
      </c>
      <c r="K7" s="16">
        <f t="shared" si="1"/>
        <v>1.52941176470588</v>
      </c>
      <c r="L7" s="15">
        <f t="shared" si="2"/>
        <v>269.54</v>
      </c>
      <c r="M7" s="17">
        <f t="shared" si="3"/>
        <v>-269.54</v>
      </c>
      <c r="N7" s="15">
        <f>'1'!W7</f>
        <v>25</v>
      </c>
      <c r="O7" s="16">
        <f t="shared" si="4"/>
        <v>531.88</v>
      </c>
      <c r="P7" s="15">
        <f t="shared" si="5"/>
        <v>0.06859</v>
      </c>
      <c r="Q7" s="17">
        <f t="shared" si="6"/>
        <v>857.3187562</v>
      </c>
      <c r="R7" s="15">
        <f t="shared" si="7"/>
        <v>430.44</v>
      </c>
      <c r="S7" s="17">
        <f t="shared" si="8"/>
        <v>426.8787562</v>
      </c>
      <c r="T7" s="15">
        <f>'1'!AG7+'1'!AR7</f>
        <v>45</v>
      </c>
      <c r="U7" s="16">
        <f t="shared" si="9"/>
        <v>118.355555555556</v>
      </c>
      <c r="V7" s="15">
        <f t="shared" si="10"/>
        <v>0.276355</v>
      </c>
      <c r="W7" s="17">
        <f t="shared" si="11"/>
        <v>1383.5547262</v>
      </c>
      <c r="X7" s="15">
        <f t="shared" si="12"/>
        <v>743.84</v>
      </c>
      <c r="Y7" s="17">
        <f t="shared" si="13"/>
        <v>639.7147262</v>
      </c>
      <c r="Z7" s="18">
        <f>'1'!BA7</f>
        <v>4</v>
      </c>
      <c r="AA7" s="18">
        <f>'1'!BD7</f>
        <v>3</v>
      </c>
      <c r="AB7" s="18">
        <f>'1'!BE7</f>
        <v>0</v>
      </c>
      <c r="AC7" s="18">
        <f>'1'!BF7</f>
        <v>1</v>
      </c>
      <c r="AD7" s="17">
        <f t="shared" si="16"/>
        <v>223.110342478035</v>
      </c>
      <c r="AE7" s="19">
        <f t="shared" si="14"/>
        <v>529.930917699743</v>
      </c>
      <c r="AF7" s="2">
        <f t="shared" si="17"/>
        <v>95</v>
      </c>
      <c r="AG7" s="2">
        <f>'1'!BH7</f>
        <v>95</v>
      </c>
    </row>
    <row r="8" spans="1:34">
      <c r="A8" s="10">
        <v>46113</v>
      </c>
      <c r="B8" s="11" t="s">
        <v>3283</v>
      </c>
      <c r="C8" s="11" t="s">
        <v>3265</v>
      </c>
      <c r="D8" s="12" t="s">
        <v>22</v>
      </c>
      <c r="E8" s="13">
        <f>SUMIFS(卸车数据!$J$6:$J$1048576,卸车数据!$R$6:$R$1048576,"&gt;="&amp;A8+TIME(5,0,0),卸车数据!$R$6:$R$1048576,"&lt;"&amp;A8+TIME(6,0,0))</f>
        <v>225</v>
      </c>
      <c r="F8" s="13">
        <v>3064</v>
      </c>
      <c r="G8" s="14">
        <v>8794</v>
      </c>
      <c r="H8" s="15">
        <f t="shared" si="0"/>
        <v>2</v>
      </c>
      <c r="I8" s="15">
        <f t="shared" si="15"/>
        <v>44.0122222222222</v>
      </c>
      <c r="J8" s="15">
        <f>'1'!K8</f>
        <v>17</v>
      </c>
      <c r="K8" s="16">
        <f t="shared" si="1"/>
        <v>13.2352941176471</v>
      </c>
      <c r="L8" s="15">
        <f t="shared" si="2"/>
        <v>269.54</v>
      </c>
      <c r="M8" s="17">
        <f t="shared" si="3"/>
        <v>-269.54</v>
      </c>
      <c r="N8" s="15">
        <f>'1'!W8</f>
        <v>25</v>
      </c>
      <c r="O8" s="16">
        <f t="shared" si="4"/>
        <v>351.76</v>
      </c>
      <c r="P8" s="15">
        <f t="shared" si="5"/>
        <v>0.06859</v>
      </c>
      <c r="Q8" s="17">
        <f t="shared" si="6"/>
        <v>566.9896324</v>
      </c>
      <c r="R8" s="15">
        <f t="shared" si="7"/>
        <v>430.44</v>
      </c>
      <c r="S8" s="17">
        <f t="shared" si="8"/>
        <v>136.5496324</v>
      </c>
      <c r="T8" s="15">
        <f>'1'!AG8+'1'!AR8</f>
        <v>45</v>
      </c>
      <c r="U8" s="16">
        <f t="shared" si="9"/>
        <v>68.0888888888889</v>
      </c>
      <c r="V8" s="15">
        <f t="shared" si="10"/>
        <v>0.276355</v>
      </c>
      <c r="W8" s="17">
        <f t="shared" si="11"/>
        <v>795.9466168</v>
      </c>
      <c r="X8" s="15">
        <f t="shared" si="12"/>
        <v>743.84</v>
      </c>
      <c r="Y8" s="17">
        <f t="shared" si="13"/>
        <v>52.1066167999999</v>
      </c>
      <c r="Z8" s="18">
        <f>'1'!BA8</f>
        <v>4</v>
      </c>
      <c r="AA8" s="18">
        <f>'1'!BD8</f>
        <v>3</v>
      </c>
      <c r="AB8" s="18">
        <f>'1'!BE8</f>
        <v>0</v>
      </c>
      <c r="AC8" s="18">
        <f>'1'!BF8</f>
        <v>1</v>
      </c>
      <c r="AD8" s="17">
        <f t="shared" si="16"/>
        <v>223.110342478035</v>
      </c>
      <c r="AE8" s="19">
        <f t="shared" si="14"/>
        <v>-348.006315500257</v>
      </c>
      <c r="AF8" s="2">
        <f t="shared" si="17"/>
        <v>95</v>
      </c>
      <c r="AG8" s="2">
        <f>'1'!BH8</f>
        <v>95</v>
      </c>
    </row>
    <row r="9" spans="1:34">
      <c r="A9" s="10">
        <v>46113</v>
      </c>
      <c r="B9" s="11" t="s">
        <v>3286</v>
      </c>
      <c r="C9" s="11" t="s">
        <v>3265</v>
      </c>
      <c r="D9" s="12" t="s">
        <v>22</v>
      </c>
      <c r="E9" s="13">
        <f>SUMIFS(卸车数据!$J$6:$J$1048576,卸车数据!$R$6:$R$1048576,"&gt;="&amp;A9+TIME(6,0,0),卸车数据!$R$6:$R$1048576,"&lt;"&amp;A9+TIME(7,0,0))</f>
        <v>794</v>
      </c>
      <c r="F9" s="13">
        <v>1229</v>
      </c>
      <c r="G9" s="14">
        <v>113</v>
      </c>
      <c r="H9" s="15">
        <f t="shared" si="0"/>
        <v>2</v>
      </c>
      <c r="I9" s="15">
        <f t="shared" si="15"/>
        <v>44.0122222222222</v>
      </c>
      <c r="J9" s="15">
        <f>'1'!K9</f>
        <v>17</v>
      </c>
      <c r="K9" s="16">
        <f t="shared" si="1"/>
        <v>46.7058823529412</v>
      </c>
      <c r="L9" s="15">
        <f t="shared" si="2"/>
        <v>269.54</v>
      </c>
      <c r="M9" s="17">
        <f t="shared" si="3"/>
        <v>-269.54</v>
      </c>
      <c r="N9" s="15">
        <f>'1'!W9</f>
        <v>25</v>
      </c>
      <c r="O9" s="16">
        <f t="shared" si="4"/>
        <v>4.52</v>
      </c>
      <c r="P9" s="15">
        <f t="shared" si="5"/>
        <v>0.06859</v>
      </c>
      <c r="Q9" s="17">
        <f t="shared" si="6"/>
        <v>7.2856298</v>
      </c>
      <c r="R9" s="15">
        <f t="shared" si="7"/>
        <v>430.44</v>
      </c>
      <c r="S9" s="17">
        <f t="shared" si="8"/>
        <v>-423.1543702</v>
      </c>
      <c r="T9" s="15">
        <f>'1'!AG9+'1'!AR9</f>
        <v>45</v>
      </c>
      <c r="U9" s="16">
        <f t="shared" si="9"/>
        <v>27.3111111111111</v>
      </c>
      <c r="V9" s="15">
        <f t="shared" si="10"/>
        <v>0.276355</v>
      </c>
      <c r="W9" s="17">
        <f t="shared" si="11"/>
        <v>319.2618773</v>
      </c>
      <c r="X9" s="15">
        <f t="shared" si="12"/>
        <v>743.84</v>
      </c>
      <c r="Y9" s="17">
        <f t="shared" si="13"/>
        <v>-424.5781227</v>
      </c>
      <c r="Z9" s="18">
        <f>'1'!BA9</f>
        <v>4</v>
      </c>
      <c r="AA9" s="18">
        <f>'1'!BD9</f>
        <v>3</v>
      </c>
      <c r="AB9" s="18">
        <f>'1'!BE9</f>
        <v>0</v>
      </c>
      <c r="AC9" s="18">
        <f>'1'!BF9</f>
        <v>1</v>
      </c>
      <c r="AD9" s="17">
        <f t="shared" si="16"/>
        <v>223.110342478035</v>
      </c>
      <c r="AE9" s="19">
        <f t="shared" si="14"/>
        <v>-1384.39505760026</v>
      </c>
      <c r="AF9" s="2">
        <f t="shared" si="17"/>
        <v>95</v>
      </c>
      <c r="AG9" s="2">
        <f>'1'!BH9</f>
        <v>95</v>
      </c>
    </row>
    <row r="10" spans="1:34">
      <c r="A10" s="10">
        <v>46113</v>
      </c>
      <c r="B10" s="11" t="s">
        <v>3288</v>
      </c>
      <c r="C10" s="11" t="s">
        <v>3289</v>
      </c>
      <c r="D10" s="12" t="s">
        <v>22</v>
      </c>
      <c r="E10" s="13">
        <f>SUMIFS(卸车数据!$J$6:$J$1048576,卸车数据!$R$6:$R$1048576,"&gt;="&amp;A10+TIME(7,0,0),卸车数据!$R$6:$R$1048576,"&lt;"&amp;A10+TIME(8,0,0))</f>
        <v>1064</v>
      </c>
      <c r="F10" s="20">
        <v>1528</v>
      </c>
      <c r="G10" s="21">
        <v>246</v>
      </c>
      <c r="H10" s="15">
        <f t="shared" si="0"/>
        <v>4</v>
      </c>
      <c r="I10" s="15">
        <f t="shared" si="15"/>
        <v>100.75</v>
      </c>
      <c r="J10" s="15">
        <f>'1'!$K$10</f>
        <v>8</v>
      </c>
      <c r="K10" s="16">
        <f t="shared" si="1"/>
        <v>133</v>
      </c>
      <c r="L10" s="15">
        <f>J10*14.54+21</f>
        <v>137.32</v>
      </c>
      <c r="M10" s="17">
        <f t="shared" si="3"/>
        <v>-137.32</v>
      </c>
      <c r="N10" s="15">
        <f>'1'!W10</f>
        <v>21</v>
      </c>
      <c r="O10" s="16">
        <f t="shared" si="4"/>
        <v>11.7142857142857</v>
      </c>
      <c r="P10" s="15">
        <f t="shared" ref="P10:P26" si="18">0.0722*0.95</f>
        <v>0.06859</v>
      </c>
      <c r="Q10" s="17">
        <f t="shared" si="6"/>
        <v>15.8607516</v>
      </c>
      <c r="R10" s="15">
        <f>N10*14.54+21</f>
        <v>326.34</v>
      </c>
      <c r="S10" s="17">
        <f t="shared" si="8"/>
        <v>-310.4792484</v>
      </c>
      <c r="T10" s="15">
        <f>'1'!AG10+'1'!AR10</f>
        <v>33</v>
      </c>
      <c r="U10" s="16">
        <f t="shared" ref="U10:U20" si="19">F10/T10</f>
        <v>46.3030303030303</v>
      </c>
      <c r="V10" s="15">
        <f t="shared" ref="V10:V26" si="20">0.2909*0.95</f>
        <v>0.276355</v>
      </c>
      <c r="W10" s="17">
        <f t="shared" ref="W10:W26" si="21">V10*F10*0.94</f>
        <v>396.9342136</v>
      </c>
      <c r="X10" s="15">
        <f>T10*14.54+42</f>
        <v>521.82</v>
      </c>
      <c r="Y10" s="17">
        <f t="shared" ref="Y10:Y20" si="22">W10-X10</f>
        <v>-124.8857864</v>
      </c>
      <c r="Z10" s="18">
        <f>'1'!BA10</f>
        <v>0</v>
      </c>
      <c r="AA10" s="18">
        <f>'1'!BD10</f>
        <v>2</v>
      </c>
      <c r="AB10" s="18">
        <f>'1'!BE10</f>
        <v>2</v>
      </c>
      <c r="AC10" s="18">
        <f>'1'!BF10</f>
        <v>1</v>
      </c>
      <c r="AD10" s="17">
        <f t="shared" si="16"/>
        <v>185.987778375471</v>
      </c>
      <c r="AE10" s="19">
        <f t="shared" si="14"/>
        <v>-859.422813175471</v>
      </c>
      <c r="AF10" s="2">
        <f t="shared" si="17"/>
        <v>67</v>
      </c>
      <c r="AG10" s="2">
        <f>'1'!BH10</f>
        <v>67</v>
      </c>
    </row>
    <row r="11" spans="1:34">
      <c r="A11" s="10">
        <v>46113</v>
      </c>
      <c r="B11" s="11" t="s">
        <v>3297</v>
      </c>
      <c r="C11" s="11" t="s">
        <v>3289</v>
      </c>
      <c r="D11" s="12" t="s">
        <v>22</v>
      </c>
      <c r="E11" s="13">
        <f>SUMIFS(卸车数据!$J$6:$J$1048576,卸车数据!$R$6:$R$1048576,"&gt;="&amp;A11+TIME(8,0,0),卸车数据!$R$6:$R$1048576,"&lt;"&amp;A11+TIME(9,0,0))</f>
        <v>5592</v>
      </c>
      <c r="F11" s="20">
        <v>3243</v>
      </c>
      <c r="G11" s="22">
        <v>4179</v>
      </c>
      <c r="H11" s="15">
        <f t="shared" si="0"/>
        <v>4</v>
      </c>
      <c r="I11" s="15">
        <f t="shared" si="15"/>
        <v>100.75</v>
      </c>
      <c r="J11" s="15">
        <f>'1'!K11</f>
        <v>8</v>
      </c>
      <c r="K11" s="16">
        <f t="shared" ref="K11:K20" si="23">E11/J11</f>
        <v>699</v>
      </c>
      <c r="L11" s="15">
        <f t="shared" ref="L11:L20" si="24">J11*14.54+21</f>
        <v>137.32</v>
      </c>
      <c r="M11" s="17">
        <f t="shared" ref="M11:M26" si="25">0-L11</f>
        <v>-137.32</v>
      </c>
      <c r="N11" s="15">
        <f>'1'!W11</f>
        <v>21</v>
      </c>
      <c r="O11" s="16">
        <f t="shared" ref="O11:O20" si="26">G11/N11</f>
        <v>199</v>
      </c>
      <c r="P11" s="15">
        <f t="shared" si="18"/>
        <v>0.06859</v>
      </c>
      <c r="Q11" s="17">
        <f t="shared" ref="Q11:Q26" si="27">P11*G11*0.94</f>
        <v>269.4393534</v>
      </c>
      <c r="R11" s="15">
        <f t="shared" ref="R10:R20" si="28">N11*14.54+21</f>
        <v>326.34</v>
      </c>
      <c r="S11" s="17">
        <f t="shared" ref="S11:S20" si="29">Q11-R11</f>
        <v>-56.9006466</v>
      </c>
      <c r="T11" s="15">
        <f>'1'!AG11+'1'!AR11</f>
        <v>33</v>
      </c>
      <c r="U11" s="16">
        <f t="shared" si="19"/>
        <v>98.2727272727273</v>
      </c>
      <c r="V11" s="15">
        <f t="shared" si="20"/>
        <v>0.276355</v>
      </c>
      <c r="W11" s="17">
        <f t="shared" si="21"/>
        <v>842.4461091</v>
      </c>
      <c r="X11" s="15">
        <f t="shared" ref="X11:X20" si="30">T11*14.54+42</f>
        <v>521.82</v>
      </c>
      <c r="Y11" s="17">
        <f t="shared" si="22"/>
        <v>320.6261091</v>
      </c>
      <c r="Z11" s="18">
        <f>'1'!BA11</f>
        <v>0</v>
      </c>
      <c r="AA11" s="18">
        <f>'1'!BD11</f>
        <v>2</v>
      </c>
      <c r="AB11" s="18">
        <f>'1'!BE11</f>
        <v>2</v>
      </c>
      <c r="AC11" s="18">
        <f>'1'!BF11</f>
        <v>1</v>
      </c>
      <c r="AD11" s="17">
        <f t="shared" si="16"/>
        <v>185.987778375471</v>
      </c>
      <c r="AE11" s="19">
        <f t="shared" ref="AE11:AE26" si="31">M11+S11+Y11-I11-AD11</f>
        <v>-160.332315875471</v>
      </c>
      <c r="AF11" s="2">
        <f t="shared" si="17"/>
        <v>67</v>
      </c>
      <c r="AG11" s="2">
        <f>'1'!BH11</f>
        <v>67</v>
      </c>
    </row>
    <row r="12" spans="1:34">
      <c r="A12" s="10">
        <v>46113</v>
      </c>
      <c r="B12" s="11" t="s">
        <v>3302</v>
      </c>
      <c r="C12" s="11" t="s">
        <v>3289</v>
      </c>
      <c r="D12" s="12" t="s">
        <v>22</v>
      </c>
      <c r="E12" s="13">
        <f>SUMIFS(卸车数据!$J$6:$J$1048576,卸车数据!$R$6:$R$1048576,"&gt;="&amp;A12+TIME(9,0,0),卸车数据!$R$6:$R$1048576,"&lt;"&amp;A12+TIME(10,0,0))</f>
        <v>1711</v>
      </c>
      <c r="F12" s="13">
        <v>3163</v>
      </c>
      <c r="G12" s="22">
        <v>14973</v>
      </c>
      <c r="H12" s="15">
        <f t="shared" si="0"/>
        <v>4</v>
      </c>
      <c r="I12" s="15">
        <f t="shared" si="15"/>
        <v>100.75</v>
      </c>
      <c r="J12" s="15">
        <f>'1'!K12</f>
        <v>13</v>
      </c>
      <c r="K12" s="16">
        <f t="shared" si="23"/>
        <v>131.615384615385</v>
      </c>
      <c r="L12" s="15">
        <f t="shared" si="24"/>
        <v>210.02</v>
      </c>
      <c r="M12" s="17">
        <f t="shared" si="25"/>
        <v>-210.02</v>
      </c>
      <c r="N12" s="15">
        <f>'1'!W12</f>
        <v>21</v>
      </c>
      <c r="O12" s="16">
        <f t="shared" si="26"/>
        <v>713</v>
      </c>
      <c r="P12" s="15">
        <f t="shared" si="18"/>
        <v>0.06859</v>
      </c>
      <c r="Q12" s="17">
        <f t="shared" si="27"/>
        <v>965.3781858</v>
      </c>
      <c r="R12" s="15">
        <f t="shared" si="28"/>
        <v>326.34</v>
      </c>
      <c r="S12" s="17">
        <f t="shared" si="29"/>
        <v>639.0381858</v>
      </c>
      <c r="T12" s="15">
        <f>'1'!AG12+'1'!AR12</f>
        <v>28</v>
      </c>
      <c r="U12" s="16">
        <f t="shared" si="19"/>
        <v>112.964285714286</v>
      </c>
      <c r="V12" s="15">
        <f t="shared" si="20"/>
        <v>0.276355</v>
      </c>
      <c r="W12" s="17">
        <f t="shared" si="21"/>
        <v>821.6642131</v>
      </c>
      <c r="X12" s="15">
        <f t="shared" si="30"/>
        <v>449.12</v>
      </c>
      <c r="Y12" s="17">
        <f t="shared" si="22"/>
        <v>372.5442131</v>
      </c>
      <c r="Z12" s="18">
        <f>'1'!BA12</f>
        <v>0</v>
      </c>
      <c r="AA12" s="18">
        <f>'1'!BD12</f>
        <v>2</v>
      </c>
      <c r="AB12" s="18">
        <f>'1'!BE12</f>
        <v>2</v>
      </c>
      <c r="AC12" s="18">
        <f>'1'!BF12</f>
        <v>1</v>
      </c>
      <c r="AD12" s="17">
        <f t="shared" si="16"/>
        <v>185.987778375471</v>
      </c>
      <c r="AE12" s="19">
        <f t="shared" si="31"/>
        <v>514.824620524529</v>
      </c>
      <c r="AF12" s="2">
        <f t="shared" si="17"/>
        <v>67</v>
      </c>
      <c r="AG12" s="2">
        <f>'1'!BH12</f>
        <v>67</v>
      </c>
    </row>
    <row r="13" spans="1:34">
      <c r="A13" s="10">
        <v>46113</v>
      </c>
      <c r="B13" s="11" t="s">
        <v>3306</v>
      </c>
      <c r="C13" s="11" t="s">
        <v>3289</v>
      </c>
      <c r="D13" s="12" t="s">
        <v>22</v>
      </c>
      <c r="E13" s="13">
        <f>SUMIFS(卸车数据!$J$6:$J$1048576,卸车数据!$R$6:$R$1048576,"&gt;="&amp;A13+TIME(10,0,0),卸车数据!$R$6:$R$1048576,"&lt;"&amp;A13+TIME(11,0,0))</f>
        <v>493</v>
      </c>
      <c r="F13" s="13">
        <v>763</v>
      </c>
      <c r="G13" s="22">
        <v>325</v>
      </c>
      <c r="H13" s="15">
        <f t="shared" si="0"/>
        <v>4</v>
      </c>
      <c r="I13" s="15">
        <f t="shared" si="15"/>
        <v>100.75</v>
      </c>
      <c r="J13" s="15">
        <f>'1'!K13</f>
        <v>13</v>
      </c>
      <c r="K13" s="16">
        <f t="shared" si="23"/>
        <v>37.9230769230769</v>
      </c>
      <c r="L13" s="15">
        <f t="shared" si="24"/>
        <v>210.02</v>
      </c>
      <c r="M13" s="17">
        <f t="shared" si="25"/>
        <v>-210.02</v>
      </c>
      <c r="N13" s="15">
        <f>'1'!W13</f>
        <v>21</v>
      </c>
      <c r="O13" s="16">
        <f t="shared" si="26"/>
        <v>15.4761904761905</v>
      </c>
      <c r="P13" s="15">
        <f t="shared" si="18"/>
        <v>0.06859</v>
      </c>
      <c r="Q13" s="17">
        <f t="shared" si="27"/>
        <v>20.954245</v>
      </c>
      <c r="R13" s="15">
        <f t="shared" si="28"/>
        <v>326.34</v>
      </c>
      <c r="S13" s="17">
        <f t="shared" si="29"/>
        <v>-305.385755</v>
      </c>
      <c r="T13" s="15">
        <f>'1'!AG13+'1'!AR13</f>
        <v>28</v>
      </c>
      <c r="U13" s="16">
        <f t="shared" si="19"/>
        <v>27.25</v>
      </c>
      <c r="V13" s="15">
        <f t="shared" si="20"/>
        <v>0.276355</v>
      </c>
      <c r="W13" s="17">
        <f t="shared" si="21"/>
        <v>198.2073331</v>
      </c>
      <c r="X13" s="15">
        <f t="shared" si="30"/>
        <v>449.12</v>
      </c>
      <c r="Y13" s="17">
        <f t="shared" si="22"/>
        <v>-250.9126669</v>
      </c>
      <c r="Z13" s="18">
        <f>'1'!BA13</f>
        <v>0</v>
      </c>
      <c r="AA13" s="18">
        <f>'1'!BD13</f>
        <v>2</v>
      </c>
      <c r="AB13" s="18">
        <f>'1'!BE13</f>
        <v>2</v>
      </c>
      <c r="AC13" s="18">
        <f>'1'!BF13</f>
        <v>1</v>
      </c>
      <c r="AD13" s="17">
        <f t="shared" si="16"/>
        <v>185.987778375471</v>
      </c>
      <c r="AE13" s="19">
        <f t="shared" si="31"/>
        <v>-1053.05620027547</v>
      </c>
      <c r="AF13" s="2">
        <f t="shared" si="17"/>
        <v>67</v>
      </c>
      <c r="AG13" s="2">
        <f>'1'!BH13</f>
        <v>67</v>
      </c>
    </row>
    <row r="14" spans="1:34">
      <c r="A14" s="10">
        <v>46113</v>
      </c>
      <c r="B14" s="11" t="s">
        <v>3310</v>
      </c>
      <c r="C14" s="11" t="s">
        <v>3289</v>
      </c>
      <c r="D14" s="11" t="s">
        <v>3311</v>
      </c>
      <c r="E14" s="13">
        <f>SUMIFS(卸车数据!$J$6:$J$1048576,卸车数据!$R$6:$R$1048576,"&gt;="&amp;A14+TIME(11,0,0),卸车数据!$R$6:$R$1048576,"&lt;"&amp;A14+TIME(12,0,0))</f>
        <v>2033</v>
      </c>
      <c r="F14" s="13">
        <v>520</v>
      </c>
      <c r="G14" s="22">
        <v>48</v>
      </c>
      <c r="H14" s="15">
        <f t="shared" si="0"/>
        <v>4</v>
      </c>
      <c r="I14" s="15">
        <f t="shared" si="15"/>
        <v>100.75</v>
      </c>
      <c r="J14" s="15">
        <f>'1'!K14</f>
        <v>15</v>
      </c>
      <c r="K14" s="16">
        <f t="shared" si="23"/>
        <v>135.533333333333</v>
      </c>
      <c r="L14" s="15">
        <f t="shared" si="24"/>
        <v>239.1</v>
      </c>
      <c r="M14" s="17">
        <f t="shared" si="25"/>
        <v>-239.1</v>
      </c>
      <c r="N14" s="15">
        <f>'1'!W14</f>
        <v>21</v>
      </c>
      <c r="O14" s="16">
        <f t="shared" si="26"/>
        <v>2.28571428571429</v>
      </c>
      <c r="P14" s="15">
        <f t="shared" si="18"/>
        <v>0.06859</v>
      </c>
      <c r="Q14" s="17">
        <f t="shared" si="27"/>
        <v>3.0947808</v>
      </c>
      <c r="R14" s="15">
        <f t="shared" si="28"/>
        <v>326.34</v>
      </c>
      <c r="S14" s="17">
        <f t="shared" si="29"/>
        <v>-323.2452192</v>
      </c>
      <c r="T14" s="15">
        <f>'1'!AG14+'1'!AR14</f>
        <v>33</v>
      </c>
      <c r="U14" s="16">
        <f t="shared" si="19"/>
        <v>15.7575757575758</v>
      </c>
      <c r="V14" s="15">
        <f t="shared" si="20"/>
        <v>0.276355</v>
      </c>
      <c r="W14" s="17">
        <f t="shared" si="21"/>
        <v>135.082324</v>
      </c>
      <c r="X14" s="15">
        <f t="shared" si="30"/>
        <v>521.82</v>
      </c>
      <c r="Y14" s="17">
        <f t="shared" si="22"/>
        <v>-386.737676</v>
      </c>
      <c r="Z14" s="18">
        <f>'1'!BA14</f>
        <v>0</v>
      </c>
      <c r="AA14" s="18">
        <f>'1'!BD14</f>
        <v>2</v>
      </c>
      <c r="AB14" s="18">
        <f>'1'!BE14</f>
        <v>2</v>
      </c>
      <c r="AC14" s="18">
        <f>'1'!BF14</f>
        <v>1</v>
      </c>
      <c r="AD14" s="17">
        <f t="shared" si="16"/>
        <v>185.987778375471</v>
      </c>
      <c r="AE14" s="19">
        <f t="shared" si="31"/>
        <v>-1235.82067357547</v>
      </c>
      <c r="AF14" s="2">
        <f t="shared" si="17"/>
        <v>74</v>
      </c>
      <c r="AG14" s="2">
        <f>'1'!BH14</f>
        <v>74</v>
      </c>
    </row>
    <row r="15" spans="1:34">
      <c r="A15" s="10">
        <v>46113</v>
      </c>
      <c r="B15" s="11" t="s">
        <v>3318</v>
      </c>
      <c r="C15" s="11" t="s">
        <v>3289</v>
      </c>
      <c r="D15" s="11" t="s">
        <v>3319</v>
      </c>
      <c r="E15" s="13">
        <f>SUMIFS(卸车数据!$J$6:$J$1048576,卸车数据!$R$6:$R$1048576,"&gt;="&amp;A15+TIME(12,0,0),卸车数据!$R$6:$R$1048576,"&lt;"&amp;A15+TIME(13,0,0))</f>
        <v>18883</v>
      </c>
      <c r="F15" s="23">
        <v>7662</v>
      </c>
      <c r="G15" s="22">
        <v>15</v>
      </c>
      <c r="H15" s="15">
        <f t="shared" si="0"/>
        <v>4</v>
      </c>
      <c r="I15" s="15">
        <f t="shared" si="15"/>
        <v>100.75</v>
      </c>
      <c r="J15" s="15">
        <f>'1'!K15</f>
        <v>20</v>
      </c>
      <c r="K15" s="16">
        <f t="shared" si="23"/>
        <v>944.15</v>
      </c>
      <c r="L15" s="15">
        <f t="shared" si="24"/>
        <v>311.8</v>
      </c>
      <c r="M15" s="17">
        <f t="shared" si="25"/>
        <v>-311.8</v>
      </c>
      <c r="N15" s="15">
        <f>'1'!W15</f>
        <v>4</v>
      </c>
      <c r="O15" s="16">
        <f t="shared" si="26"/>
        <v>3.75</v>
      </c>
      <c r="P15" s="15">
        <f t="shared" si="18"/>
        <v>0.06859</v>
      </c>
      <c r="Q15" s="17">
        <f t="shared" si="27"/>
        <v>0.967119</v>
      </c>
      <c r="R15" s="15">
        <f t="shared" si="28"/>
        <v>79.16</v>
      </c>
      <c r="S15" s="17">
        <f t="shared" si="29"/>
        <v>-78.192881</v>
      </c>
      <c r="T15" s="15">
        <f>'1'!AG15+'1'!AR15</f>
        <v>45</v>
      </c>
      <c r="U15" s="16">
        <f t="shared" si="19"/>
        <v>170.266666666667</v>
      </c>
      <c r="V15" s="15">
        <f t="shared" si="20"/>
        <v>0.276355</v>
      </c>
      <c r="W15" s="17">
        <f t="shared" si="21"/>
        <v>1990.3860894</v>
      </c>
      <c r="X15" s="15">
        <f t="shared" si="30"/>
        <v>696.3</v>
      </c>
      <c r="Y15" s="17">
        <f t="shared" si="22"/>
        <v>1294.0860894</v>
      </c>
      <c r="Z15" s="18">
        <f>'1'!BA15</f>
        <v>0</v>
      </c>
      <c r="AA15" s="18">
        <f>'1'!BD15</f>
        <v>2</v>
      </c>
      <c r="AB15" s="18">
        <f>'1'!BE15</f>
        <v>2</v>
      </c>
      <c r="AC15" s="18">
        <f>'1'!BF15</f>
        <v>1</v>
      </c>
      <c r="AD15" s="17">
        <f t="shared" si="16"/>
        <v>185.987778375471</v>
      </c>
      <c r="AE15" s="19">
        <f t="shared" si="31"/>
        <v>617.355430024529</v>
      </c>
      <c r="AF15" s="2">
        <f t="shared" si="17"/>
        <v>74</v>
      </c>
      <c r="AG15" s="2">
        <f>'1'!BH15</f>
        <v>74</v>
      </c>
    </row>
    <row r="16" spans="1:34">
      <c r="A16" s="10">
        <v>46113</v>
      </c>
      <c r="B16" s="11" t="s">
        <v>3327</v>
      </c>
      <c r="C16" s="11" t="s">
        <v>3289</v>
      </c>
      <c r="D16" s="11" t="s">
        <v>3319</v>
      </c>
      <c r="E16" s="13">
        <f>SUMIFS(卸车数据!$J$6:$J$1048576,卸车数据!$R$6:$R$1048576,"&gt;="&amp;A16+TIME(13,0,0),卸车数据!$R$6:$R$1048576,"&lt;"&amp;A16+TIME(14,0,0))</f>
        <v>9384</v>
      </c>
      <c r="F16" s="23">
        <v>4201</v>
      </c>
      <c r="G16" s="22">
        <v>4314</v>
      </c>
      <c r="H16" s="15">
        <f t="shared" si="0"/>
        <v>4</v>
      </c>
      <c r="I16" s="15">
        <f t="shared" si="15"/>
        <v>100.75</v>
      </c>
      <c r="J16" s="15">
        <f>'1'!K16</f>
        <v>13</v>
      </c>
      <c r="K16" s="16">
        <f t="shared" si="23"/>
        <v>721.846153846154</v>
      </c>
      <c r="L16" s="15">
        <f t="shared" si="24"/>
        <v>210.02</v>
      </c>
      <c r="M16" s="17">
        <f t="shared" si="25"/>
        <v>-210.02</v>
      </c>
      <c r="N16" s="15">
        <f>'1'!W16</f>
        <v>27</v>
      </c>
      <c r="O16" s="16">
        <f t="shared" si="26"/>
        <v>159.777777777778</v>
      </c>
      <c r="P16" s="15">
        <f t="shared" si="18"/>
        <v>0.06859</v>
      </c>
      <c r="Q16" s="17">
        <f t="shared" si="27"/>
        <v>278.1434244</v>
      </c>
      <c r="R16" s="15">
        <f t="shared" si="28"/>
        <v>413.58</v>
      </c>
      <c r="S16" s="17">
        <f t="shared" si="29"/>
        <v>-135.4365756</v>
      </c>
      <c r="T16" s="15">
        <f>'1'!AG16+'1'!AR16</f>
        <v>29</v>
      </c>
      <c r="U16" s="16">
        <f t="shared" si="19"/>
        <v>144.862068965517</v>
      </c>
      <c r="V16" s="15">
        <f t="shared" si="20"/>
        <v>0.276355</v>
      </c>
      <c r="W16" s="17">
        <f t="shared" si="21"/>
        <v>1091.3093137</v>
      </c>
      <c r="X16" s="15">
        <f t="shared" si="30"/>
        <v>463.66</v>
      </c>
      <c r="Y16" s="17">
        <f t="shared" si="22"/>
        <v>627.6493137</v>
      </c>
      <c r="Z16" s="18">
        <f>'1'!BA16</f>
        <v>0</v>
      </c>
      <c r="AA16" s="18">
        <f>'1'!BD16</f>
        <v>2</v>
      </c>
      <c r="AB16" s="18">
        <f>'1'!BE16</f>
        <v>2</v>
      </c>
      <c r="AC16" s="18">
        <f>'1'!BF16</f>
        <v>1</v>
      </c>
      <c r="AD16" s="17">
        <f t="shared" si="16"/>
        <v>185.987778375471</v>
      </c>
      <c r="AE16" s="19">
        <f t="shared" si="31"/>
        <v>-4.54504027547097</v>
      </c>
      <c r="AF16" s="2">
        <f t="shared" si="17"/>
        <v>74</v>
      </c>
      <c r="AG16" s="2">
        <f>'1'!BH16</f>
        <v>74</v>
      </c>
    </row>
    <row r="17" spans="1:33">
      <c r="A17" s="10">
        <v>46113</v>
      </c>
      <c r="B17" s="11" t="s">
        <v>3331</v>
      </c>
      <c r="C17" s="11" t="s">
        <v>3289</v>
      </c>
      <c r="D17" s="11" t="s">
        <v>3319</v>
      </c>
      <c r="E17" s="13">
        <f>SUMIFS(卸车数据!$J$6:$J$1048576,卸车数据!$R$6:$R$1048576,"&gt;="&amp;A17+TIME(14,0,0),卸车数据!$R$6:$R$1048576,"&lt;"&amp;A17+TIME(15,0,0))</f>
        <v>6307</v>
      </c>
      <c r="F17" s="23">
        <v>1069</v>
      </c>
      <c r="G17" s="22">
        <v>10046</v>
      </c>
      <c r="H17" s="15">
        <f t="shared" si="0"/>
        <v>4</v>
      </c>
      <c r="I17" s="15">
        <f t="shared" si="15"/>
        <v>100.75</v>
      </c>
      <c r="J17" s="15">
        <f>'1'!K17</f>
        <v>13</v>
      </c>
      <c r="K17" s="16">
        <f t="shared" si="23"/>
        <v>485.153846153846</v>
      </c>
      <c r="L17" s="15">
        <f t="shared" si="24"/>
        <v>210.02</v>
      </c>
      <c r="M17" s="17">
        <f t="shared" si="25"/>
        <v>-210.02</v>
      </c>
      <c r="N17" s="15">
        <f>'1'!W17</f>
        <v>27</v>
      </c>
      <c r="O17" s="16">
        <f t="shared" si="26"/>
        <v>372.074074074074</v>
      </c>
      <c r="P17" s="15">
        <f t="shared" si="18"/>
        <v>0.06859</v>
      </c>
      <c r="Q17" s="17">
        <f t="shared" si="27"/>
        <v>647.7118316</v>
      </c>
      <c r="R17" s="15">
        <f t="shared" si="28"/>
        <v>413.58</v>
      </c>
      <c r="S17" s="17">
        <f t="shared" si="29"/>
        <v>234.1318316</v>
      </c>
      <c r="T17" s="15">
        <f>'1'!AG17+'1'!AR17</f>
        <v>29</v>
      </c>
      <c r="U17" s="16">
        <f t="shared" si="19"/>
        <v>36.8620689655172</v>
      </c>
      <c r="V17" s="15">
        <f t="shared" si="20"/>
        <v>0.276355</v>
      </c>
      <c r="W17" s="17">
        <f t="shared" si="21"/>
        <v>277.6980853</v>
      </c>
      <c r="X17" s="15">
        <f t="shared" si="30"/>
        <v>463.66</v>
      </c>
      <c r="Y17" s="17">
        <f t="shared" si="22"/>
        <v>-185.9619147</v>
      </c>
      <c r="Z17" s="18">
        <f>'1'!BA17</f>
        <v>0</v>
      </c>
      <c r="AA17" s="18">
        <f>'1'!BD17</f>
        <v>2</v>
      </c>
      <c r="AB17" s="18">
        <f>'1'!BE17</f>
        <v>2</v>
      </c>
      <c r="AC17" s="18">
        <f>'1'!BF17</f>
        <v>1</v>
      </c>
      <c r="AD17" s="17">
        <f t="shared" si="16"/>
        <v>185.987778375471</v>
      </c>
      <c r="AE17" s="19">
        <f t="shared" si="31"/>
        <v>-448.587861475471</v>
      </c>
      <c r="AF17" s="2">
        <f t="shared" si="17"/>
        <v>74</v>
      </c>
      <c r="AG17" s="2">
        <f>'1'!BH17</f>
        <v>74</v>
      </c>
    </row>
    <row r="18" spans="1:33">
      <c r="A18" s="10">
        <v>46113</v>
      </c>
      <c r="B18" s="11" t="s">
        <v>3334</v>
      </c>
      <c r="C18" s="11" t="s">
        <v>3289</v>
      </c>
      <c r="D18" s="12" t="s">
        <v>22</v>
      </c>
      <c r="E18" s="13">
        <f>SUMIFS(卸车数据!$J$6:$J$1048576,卸车数据!$R$6:$R$1048576,"&gt;="&amp;A18+TIME(15,0,0),卸车数据!$R$6:$R$1048576,"&lt;"&amp;A18+TIME(16,0,0))</f>
        <v>0</v>
      </c>
      <c r="F18" s="23">
        <v>3796</v>
      </c>
      <c r="G18" s="22">
        <v>9093</v>
      </c>
      <c r="H18" s="15">
        <f t="shared" si="0"/>
        <v>4</v>
      </c>
      <c r="I18" s="15">
        <f t="shared" si="15"/>
        <v>100.75</v>
      </c>
      <c r="J18" s="15">
        <f>'1'!K18</f>
        <v>17</v>
      </c>
      <c r="K18" s="16">
        <f t="shared" si="23"/>
        <v>0</v>
      </c>
      <c r="L18" s="15">
        <f t="shared" si="24"/>
        <v>268.18</v>
      </c>
      <c r="M18" s="17">
        <f t="shared" si="25"/>
        <v>-268.18</v>
      </c>
      <c r="N18" s="15">
        <f>'1'!W18</f>
        <v>23</v>
      </c>
      <c r="O18" s="16">
        <f t="shared" si="26"/>
        <v>395.347826086957</v>
      </c>
      <c r="P18" s="15">
        <f t="shared" si="18"/>
        <v>0.06859</v>
      </c>
      <c r="Q18" s="17">
        <f t="shared" si="27"/>
        <v>586.2675378</v>
      </c>
      <c r="R18" s="15">
        <f t="shared" si="28"/>
        <v>355.42</v>
      </c>
      <c r="S18" s="17">
        <f t="shared" si="29"/>
        <v>230.8475378</v>
      </c>
      <c r="T18" s="15">
        <f>'1'!AG18+'1'!AR18</f>
        <v>29</v>
      </c>
      <c r="U18" s="16">
        <f t="shared" si="19"/>
        <v>130.896551724138</v>
      </c>
      <c r="V18" s="15">
        <f t="shared" si="20"/>
        <v>0.276355</v>
      </c>
      <c r="W18" s="17">
        <f t="shared" si="21"/>
        <v>986.1009652</v>
      </c>
      <c r="X18" s="15">
        <f t="shared" si="30"/>
        <v>463.66</v>
      </c>
      <c r="Y18" s="17">
        <f t="shared" si="22"/>
        <v>522.4409652</v>
      </c>
      <c r="Z18" s="18">
        <f>'1'!BA18</f>
        <v>0</v>
      </c>
      <c r="AA18" s="18">
        <f>'1'!BD18</f>
        <v>2</v>
      </c>
      <c r="AB18" s="18">
        <f>'1'!BE18</f>
        <v>2</v>
      </c>
      <c r="AC18" s="18">
        <f>'1'!BF18</f>
        <v>1</v>
      </c>
      <c r="AD18" s="17">
        <f t="shared" si="16"/>
        <v>185.987778375471</v>
      </c>
      <c r="AE18" s="19">
        <f t="shared" si="31"/>
        <v>198.370724624529</v>
      </c>
      <c r="AF18" s="2">
        <f t="shared" si="17"/>
        <v>74</v>
      </c>
      <c r="AG18" s="2">
        <f>'1'!BH18</f>
        <v>74</v>
      </c>
    </row>
    <row r="19" spans="1:33">
      <c r="A19" s="10">
        <v>46113</v>
      </c>
      <c r="B19" s="11" t="s">
        <v>3339</v>
      </c>
      <c r="C19" s="11" t="s">
        <v>3289</v>
      </c>
      <c r="D19" s="12" t="s">
        <v>22</v>
      </c>
      <c r="E19" s="13">
        <f>SUMIFS(卸车数据!$J$6:$J$1048576,卸车数据!$R$6:$R$1048576,"&gt;="&amp;A19+TIME(16,0,0),卸车数据!$R$6:$R$1048576,"&lt;"&amp;A19+TIME(17,0,0))</f>
        <v>786</v>
      </c>
      <c r="F19" s="23">
        <v>3310</v>
      </c>
      <c r="G19" s="22">
        <v>14333</v>
      </c>
      <c r="H19" s="15">
        <f t="shared" si="0"/>
        <v>4</v>
      </c>
      <c r="I19" s="15">
        <f t="shared" si="15"/>
        <v>100.75</v>
      </c>
      <c r="J19" s="15">
        <f>'1'!K19</f>
        <v>17</v>
      </c>
      <c r="K19" s="16">
        <f t="shared" si="23"/>
        <v>46.2352941176471</v>
      </c>
      <c r="L19" s="15">
        <f t="shared" si="24"/>
        <v>268.18</v>
      </c>
      <c r="M19" s="17">
        <f t="shared" si="25"/>
        <v>-268.18</v>
      </c>
      <c r="N19" s="15">
        <f>'1'!W19</f>
        <v>23</v>
      </c>
      <c r="O19" s="16">
        <f t="shared" si="26"/>
        <v>623.173913043478</v>
      </c>
      <c r="P19" s="15">
        <f t="shared" si="18"/>
        <v>0.06859</v>
      </c>
      <c r="Q19" s="17">
        <f t="shared" si="27"/>
        <v>924.1144418</v>
      </c>
      <c r="R19" s="15">
        <f t="shared" si="28"/>
        <v>355.42</v>
      </c>
      <c r="S19" s="17">
        <f t="shared" si="29"/>
        <v>568.6944418</v>
      </c>
      <c r="T19" s="15">
        <f>'1'!AG19+'1'!AR19</f>
        <v>29</v>
      </c>
      <c r="U19" s="16">
        <f t="shared" si="19"/>
        <v>114.137931034483</v>
      </c>
      <c r="V19" s="15">
        <f t="shared" si="20"/>
        <v>0.276355</v>
      </c>
      <c r="W19" s="17">
        <f t="shared" si="21"/>
        <v>859.850947</v>
      </c>
      <c r="X19" s="15">
        <f t="shared" si="30"/>
        <v>463.66</v>
      </c>
      <c r="Y19" s="17">
        <f t="shared" si="22"/>
        <v>396.190947</v>
      </c>
      <c r="Z19" s="18">
        <f>'1'!BA19</f>
        <v>0</v>
      </c>
      <c r="AA19" s="18">
        <f>'1'!BD19</f>
        <v>2</v>
      </c>
      <c r="AB19" s="18">
        <f>'1'!BE19</f>
        <v>2</v>
      </c>
      <c r="AC19" s="18">
        <f>'1'!BF19</f>
        <v>1</v>
      </c>
      <c r="AD19" s="17">
        <f t="shared" si="16"/>
        <v>185.987778375471</v>
      </c>
      <c r="AE19" s="19">
        <f t="shared" si="31"/>
        <v>409.967610424529</v>
      </c>
      <c r="AF19" s="2">
        <f t="shared" si="17"/>
        <v>74</v>
      </c>
      <c r="AG19" s="2">
        <f>'1'!BH19</f>
        <v>74</v>
      </c>
    </row>
    <row r="20" spans="1:33">
      <c r="A20" s="10">
        <v>46113</v>
      </c>
      <c r="B20" s="11" t="s">
        <v>3344</v>
      </c>
      <c r="C20" s="11" t="s">
        <v>3289</v>
      </c>
      <c r="D20" s="11" t="s">
        <v>3319</v>
      </c>
      <c r="E20" s="13">
        <f>SUMIFS(卸车数据!$J$6:$J$1048576,卸车数据!$R$6:$R$1048576,"&gt;="&amp;A20+TIME(17,0,0),卸车数据!$R$6:$R$1048576,"&lt;"&amp;A20+TIME(18,0,0))</f>
        <v>8467</v>
      </c>
      <c r="F20" s="23">
        <v>4220</v>
      </c>
      <c r="G20" s="22">
        <v>31</v>
      </c>
      <c r="H20" s="15">
        <f t="shared" si="0"/>
        <v>4</v>
      </c>
      <c r="I20" s="15">
        <f t="shared" si="15"/>
        <v>100.75</v>
      </c>
      <c r="J20" s="15">
        <f>'1'!K20</f>
        <v>17</v>
      </c>
      <c r="K20" s="16">
        <f t="shared" si="23"/>
        <v>498.058823529412</v>
      </c>
      <c r="L20" s="15">
        <f t="shared" si="24"/>
        <v>268.18</v>
      </c>
      <c r="M20" s="17">
        <f t="shared" si="25"/>
        <v>-268.18</v>
      </c>
      <c r="N20" s="15">
        <f>'1'!W20</f>
        <v>23</v>
      </c>
      <c r="O20" s="16">
        <f t="shared" si="26"/>
        <v>1.34782608695652</v>
      </c>
      <c r="P20" s="15">
        <f t="shared" si="18"/>
        <v>0.06859</v>
      </c>
      <c r="Q20" s="17">
        <f t="shared" si="27"/>
        <v>1.9987126</v>
      </c>
      <c r="R20" s="15">
        <f t="shared" si="28"/>
        <v>355.42</v>
      </c>
      <c r="S20" s="17">
        <f t="shared" si="29"/>
        <v>-353.4212874</v>
      </c>
      <c r="T20" s="15">
        <f>'1'!AG20+'1'!AR20</f>
        <v>29</v>
      </c>
      <c r="U20" s="16">
        <f t="shared" si="19"/>
        <v>145.51724137931</v>
      </c>
      <c r="V20" s="15">
        <f t="shared" si="20"/>
        <v>0.276355</v>
      </c>
      <c r="W20" s="17">
        <f t="shared" si="21"/>
        <v>1096.245014</v>
      </c>
      <c r="X20" s="15">
        <f t="shared" si="30"/>
        <v>463.66</v>
      </c>
      <c r="Y20" s="17">
        <f t="shared" si="22"/>
        <v>632.585014</v>
      </c>
      <c r="Z20" s="18">
        <f>'1'!BA20</f>
        <v>0</v>
      </c>
      <c r="AA20" s="18">
        <f>'1'!BD20</f>
        <v>2</v>
      </c>
      <c r="AB20" s="18">
        <f>'1'!BE20</f>
        <v>2</v>
      </c>
      <c r="AC20" s="18">
        <f>'1'!BF20</f>
        <v>1</v>
      </c>
      <c r="AD20" s="17">
        <f t="shared" si="16"/>
        <v>185.987778375471</v>
      </c>
      <c r="AE20" s="19">
        <f t="shared" si="31"/>
        <v>-275.754051775471</v>
      </c>
      <c r="AF20" s="2">
        <f t="shared" si="17"/>
        <v>74</v>
      </c>
      <c r="AG20" s="2">
        <f>'1'!BH20</f>
        <v>74</v>
      </c>
    </row>
    <row r="21" spans="1:33">
      <c r="A21" s="10">
        <v>46113</v>
      </c>
      <c r="B21" s="11" t="s">
        <v>3347</v>
      </c>
      <c r="C21" s="11" t="s">
        <v>3265</v>
      </c>
      <c r="D21" s="11" t="s">
        <v>3319</v>
      </c>
      <c r="E21" s="13">
        <f>SUMIFS(卸车数据!$J$6:$J$1048576,卸车数据!$R$6:$R$1048576,"&gt;="&amp;A21+TIME(18,0,0),卸车数据!$R$6:$R$1048576,"&lt;"&amp;A21+TIME(19,0,0))</f>
        <v>16740</v>
      </c>
      <c r="F21" s="24">
        <v>5114</v>
      </c>
      <c r="G21" s="22">
        <v>4803</v>
      </c>
      <c r="H21" s="15">
        <f t="shared" si="0"/>
        <v>2</v>
      </c>
      <c r="I21" s="15">
        <f t="shared" si="15"/>
        <v>44.0122222222222</v>
      </c>
      <c r="J21" s="15">
        <f>'1'!K21</f>
        <v>21</v>
      </c>
      <c r="K21" s="16">
        <f t="shared" ref="K21:K26" si="32">E21/J21</f>
        <v>797.142857142857</v>
      </c>
      <c r="L21" s="15">
        <f>J21*14.62+21</f>
        <v>328.02</v>
      </c>
      <c r="M21" s="17">
        <f t="shared" si="25"/>
        <v>-328.02</v>
      </c>
      <c r="N21" s="15">
        <f>'1'!W21</f>
        <v>15</v>
      </c>
      <c r="O21" s="16">
        <f t="shared" ref="O21:O26" si="33">G21/N21</f>
        <v>320.2</v>
      </c>
      <c r="P21" s="15">
        <f t="shared" si="18"/>
        <v>0.06859</v>
      </c>
      <c r="Q21" s="17">
        <f t="shared" si="27"/>
        <v>309.6715038</v>
      </c>
      <c r="R21" s="15">
        <f>(N21-13)*14.62+13*18+21</f>
        <v>284.24</v>
      </c>
      <c r="S21" s="17">
        <f t="shared" ref="S21:S26" si="34">Q21-R21</f>
        <v>25.4315038</v>
      </c>
      <c r="T21" s="15">
        <f>'1'!AG21+'1'!AR21</f>
        <v>57</v>
      </c>
      <c r="U21" s="16">
        <f t="shared" ref="U21:U26" si="35">F21/T21</f>
        <v>89.719298245614</v>
      </c>
      <c r="V21" s="15">
        <f t="shared" si="20"/>
        <v>0.276355</v>
      </c>
      <c r="W21" s="17">
        <f t="shared" si="21"/>
        <v>1328.4827018</v>
      </c>
      <c r="X21" s="15">
        <f t="shared" ref="X21:X26" si="36">(T21-13)*14.62+13*18+42</f>
        <v>919.28</v>
      </c>
      <c r="Y21" s="17">
        <f t="shared" ref="Y21:Y26" si="37">W21-X21</f>
        <v>409.2027018</v>
      </c>
      <c r="Z21" s="18">
        <f>'1'!BA21</f>
        <v>4</v>
      </c>
      <c r="AA21" s="18">
        <f>'1'!BD21</f>
        <v>3</v>
      </c>
      <c r="AB21" s="18">
        <f>'1'!BE21</f>
        <v>0</v>
      </c>
      <c r="AC21" s="18">
        <f>'1'!BF21</f>
        <v>1</v>
      </c>
      <c r="AD21" s="17">
        <f t="shared" si="16"/>
        <v>223.110342478035</v>
      </c>
      <c r="AE21" s="19">
        <f t="shared" si="31"/>
        <v>-160.508359100257</v>
      </c>
      <c r="AF21" s="2">
        <f t="shared" si="17"/>
        <v>101</v>
      </c>
      <c r="AG21" s="2">
        <f>'1'!BH21</f>
        <v>101</v>
      </c>
    </row>
    <row r="22" spans="1:33">
      <c r="A22" s="10">
        <v>46113</v>
      </c>
      <c r="B22" s="11" t="s">
        <v>3351</v>
      </c>
      <c r="C22" s="11" t="s">
        <v>3265</v>
      </c>
      <c r="D22" s="11" t="s">
        <v>3319</v>
      </c>
      <c r="E22" s="13">
        <f>SUMIFS(卸车数据!$J$6:$J$1048576,卸车数据!$R$6:$R$1048576,"&gt;="&amp;A22+TIME(19,0,0),卸车数据!$R$6:$R$1048576,"&lt;"&amp;A22+TIME(20,0,0))</f>
        <v>30064</v>
      </c>
      <c r="F22" s="24">
        <v>5639</v>
      </c>
      <c r="G22" s="22">
        <v>14123</v>
      </c>
      <c r="H22" s="15">
        <f t="shared" si="0"/>
        <v>2</v>
      </c>
      <c r="I22" s="15">
        <f t="shared" si="15"/>
        <v>44.0122222222222</v>
      </c>
      <c r="J22" s="15">
        <f>'1'!K22</f>
        <v>19</v>
      </c>
      <c r="K22" s="16">
        <f t="shared" si="32"/>
        <v>1582.31578947368</v>
      </c>
      <c r="L22" s="15">
        <f>J22*14.62+21</f>
        <v>298.78</v>
      </c>
      <c r="M22" s="17">
        <f t="shared" si="25"/>
        <v>-298.78</v>
      </c>
      <c r="N22" s="15">
        <f>'1'!W22</f>
        <v>30</v>
      </c>
      <c r="O22" s="16">
        <f t="shared" si="33"/>
        <v>470.766666666667</v>
      </c>
      <c r="P22" s="15">
        <f t="shared" si="18"/>
        <v>0.06859</v>
      </c>
      <c r="Q22" s="17">
        <f t="shared" si="27"/>
        <v>910.5747758</v>
      </c>
      <c r="R22" s="15">
        <f>(N22-13)*14.62+13*18+21</f>
        <v>503.54</v>
      </c>
      <c r="S22" s="17">
        <f t="shared" si="34"/>
        <v>407.0347758</v>
      </c>
      <c r="T22" s="15">
        <f>'1'!AG22+'1'!AR22</f>
        <v>44</v>
      </c>
      <c r="U22" s="16">
        <f t="shared" si="35"/>
        <v>128.159090909091</v>
      </c>
      <c r="V22" s="15">
        <f t="shared" si="20"/>
        <v>0.276355</v>
      </c>
      <c r="W22" s="17">
        <f t="shared" si="21"/>
        <v>1464.8638943</v>
      </c>
      <c r="X22" s="15">
        <f t="shared" si="36"/>
        <v>729.22</v>
      </c>
      <c r="Y22" s="17">
        <f t="shared" si="37"/>
        <v>735.6438943</v>
      </c>
      <c r="Z22" s="18">
        <f>'1'!BA22</f>
        <v>4</v>
      </c>
      <c r="AA22" s="18">
        <f>'1'!BD22</f>
        <v>3</v>
      </c>
      <c r="AB22" s="18">
        <f>'1'!BE22</f>
        <v>0</v>
      </c>
      <c r="AC22" s="18">
        <f>'1'!BF22</f>
        <v>1</v>
      </c>
      <c r="AD22" s="17">
        <f t="shared" si="16"/>
        <v>223.110342478035</v>
      </c>
      <c r="AE22" s="19">
        <f t="shared" si="31"/>
        <v>576.776105399743</v>
      </c>
      <c r="AF22" s="2">
        <f t="shared" si="17"/>
        <v>101</v>
      </c>
      <c r="AG22" s="2">
        <f>'1'!BH22</f>
        <v>101</v>
      </c>
    </row>
    <row r="23" spans="1:33">
      <c r="A23" s="10">
        <v>46113</v>
      </c>
      <c r="B23" s="11" t="s">
        <v>3352</v>
      </c>
      <c r="C23" s="11" t="s">
        <v>3265</v>
      </c>
      <c r="D23" s="11" t="s">
        <v>3319</v>
      </c>
      <c r="E23" s="13">
        <f>SUMIFS(卸车数据!$J$6:$J$1048576,卸车数据!$R$6:$R$1048576,"&gt;="&amp;A23+TIME(20,0,0),卸车数据!$R$6:$R$1048576,"&lt;"&amp;A23+TIME(21,0,0))</f>
        <v>13963</v>
      </c>
      <c r="F23" s="24">
        <v>4949</v>
      </c>
      <c r="G23" s="14">
        <v>14447</v>
      </c>
      <c r="H23" s="15">
        <f t="shared" si="0"/>
        <v>2</v>
      </c>
      <c r="I23" s="15">
        <f t="shared" ref="I23:I51" si="38">IF(H23=2,21.79+16000/30/24,25.75+12000/30/24*2+30000/30/24)</f>
        <v>44.0122222222222</v>
      </c>
      <c r="J23" s="15">
        <f>'1'!K23</f>
        <v>19</v>
      </c>
      <c r="K23" s="16">
        <f t="shared" si="32"/>
        <v>734.894736842105</v>
      </c>
      <c r="L23" s="15">
        <f t="shared" ref="L23:L34" si="39">J23*14.62+21</f>
        <v>298.78</v>
      </c>
      <c r="M23" s="17">
        <f t="shared" si="25"/>
        <v>-298.78</v>
      </c>
      <c r="N23" s="15">
        <f>'1'!W23</f>
        <v>30</v>
      </c>
      <c r="O23" s="16">
        <f t="shared" si="33"/>
        <v>481.566666666667</v>
      </c>
      <c r="P23" s="15">
        <f t="shared" si="18"/>
        <v>0.06859</v>
      </c>
      <c r="Q23" s="17">
        <f t="shared" si="27"/>
        <v>931.4645462</v>
      </c>
      <c r="R23" s="15">
        <f t="shared" ref="R23:R34" si="40">(N23-13)*14.62+13*18+21</f>
        <v>503.54</v>
      </c>
      <c r="S23" s="17">
        <f t="shared" si="34"/>
        <v>427.9245462</v>
      </c>
      <c r="T23" s="15">
        <f>'1'!AG23+'1'!AR23</f>
        <v>44</v>
      </c>
      <c r="U23" s="16">
        <f t="shared" si="35"/>
        <v>112.477272727273</v>
      </c>
      <c r="V23" s="15">
        <f t="shared" si="20"/>
        <v>0.276355</v>
      </c>
      <c r="W23" s="17">
        <f t="shared" si="21"/>
        <v>1285.6200413</v>
      </c>
      <c r="X23" s="15">
        <f t="shared" si="36"/>
        <v>729.22</v>
      </c>
      <c r="Y23" s="17">
        <f t="shared" si="37"/>
        <v>556.4000413</v>
      </c>
      <c r="Z23" s="18">
        <f>'1'!BA23</f>
        <v>4</v>
      </c>
      <c r="AA23" s="18">
        <f>'1'!BD23</f>
        <v>3</v>
      </c>
      <c r="AB23" s="18">
        <f>'1'!BE23</f>
        <v>0</v>
      </c>
      <c r="AC23" s="18">
        <f>'1'!BF23</f>
        <v>1</v>
      </c>
      <c r="AD23" s="17">
        <f t="shared" si="16"/>
        <v>223.110342478035</v>
      </c>
      <c r="AE23" s="19">
        <f t="shared" si="31"/>
        <v>418.422022799743</v>
      </c>
      <c r="AF23" s="2">
        <f t="shared" si="17"/>
        <v>101</v>
      </c>
      <c r="AG23" s="2">
        <f>'1'!BH23</f>
        <v>101</v>
      </c>
    </row>
    <row r="24" spans="1:33">
      <c r="A24" s="10">
        <v>46113</v>
      </c>
      <c r="B24" s="11" t="s">
        <v>3354</v>
      </c>
      <c r="C24" s="11" t="s">
        <v>3265</v>
      </c>
      <c r="D24" s="11" t="s">
        <v>3319</v>
      </c>
      <c r="E24" s="13">
        <f>SUMIFS(卸车数据!$J$6:$J$1048576,卸车数据!$R$6:$R$1048576,"&gt;="&amp;A24+TIME(21,0,0),卸车数据!$R$6:$R$1048576,"&lt;"&amp;A24+TIME(22,0,0))</f>
        <v>2570</v>
      </c>
      <c r="F24" s="24">
        <v>5056</v>
      </c>
      <c r="G24" s="14">
        <v>15492</v>
      </c>
      <c r="H24" s="15">
        <f t="shared" si="0"/>
        <v>2</v>
      </c>
      <c r="I24" s="15">
        <f t="shared" si="38"/>
        <v>44.0122222222222</v>
      </c>
      <c r="J24" s="15">
        <f>'1'!K24</f>
        <v>19</v>
      </c>
      <c r="K24" s="16">
        <f t="shared" si="32"/>
        <v>135.263157894737</v>
      </c>
      <c r="L24" s="15">
        <f t="shared" si="39"/>
        <v>298.78</v>
      </c>
      <c r="M24" s="17">
        <f t="shared" si="25"/>
        <v>-298.78</v>
      </c>
      <c r="N24" s="15">
        <f>'1'!W24</f>
        <v>30</v>
      </c>
      <c r="O24" s="16">
        <f t="shared" si="33"/>
        <v>516.4</v>
      </c>
      <c r="P24" s="15">
        <f t="shared" si="18"/>
        <v>0.06859</v>
      </c>
      <c r="Q24" s="17">
        <f t="shared" si="27"/>
        <v>998.8405032</v>
      </c>
      <c r="R24" s="15">
        <f t="shared" si="40"/>
        <v>503.54</v>
      </c>
      <c r="S24" s="17">
        <f t="shared" si="34"/>
        <v>495.3005032</v>
      </c>
      <c r="T24" s="15">
        <f>'1'!AG24+'1'!AR24</f>
        <v>44</v>
      </c>
      <c r="U24" s="16">
        <f t="shared" si="35"/>
        <v>114.909090909091</v>
      </c>
      <c r="V24" s="15">
        <f t="shared" si="20"/>
        <v>0.276355</v>
      </c>
      <c r="W24" s="17">
        <f t="shared" si="21"/>
        <v>1313.4158272</v>
      </c>
      <c r="X24" s="15">
        <f t="shared" si="36"/>
        <v>729.22</v>
      </c>
      <c r="Y24" s="17">
        <f t="shared" si="37"/>
        <v>584.1958272</v>
      </c>
      <c r="Z24" s="18">
        <f>'1'!BA24</f>
        <v>4</v>
      </c>
      <c r="AA24" s="18">
        <f>'1'!BD24</f>
        <v>3</v>
      </c>
      <c r="AB24" s="18">
        <f>'1'!BE24</f>
        <v>0</v>
      </c>
      <c r="AC24" s="18">
        <f>'1'!BF24</f>
        <v>1</v>
      </c>
      <c r="AD24" s="17">
        <f t="shared" si="16"/>
        <v>223.110342478035</v>
      </c>
      <c r="AE24" s="19">
        <f t="shared" si="31"/>
        <v>513.593765699743</v>
      </c>
      <c r="AF24" s="2">
        <f t="shared" si="17"/>
        <v>101</v>
      </c>
      <c r="AG24" s="2">
        <f>'1'!BH24</f>
        <v>101</v>
      </c>
    </row>
    <row r="25" spans="1:33">
      <c r="A25" s="10">
        <v>46113</v>
      </c>
      <c r="B25" s="11" t="s">
        <v>3355</v>
      </c>
      <c r="C25" s="11" t="s">
        <v>3265</v>
      </c>
      <c r="D25" s="11" t="s">
        <v>3319</v>
      </c>
      <c r="E25" s="13">
        <f>SUMIFS(卸车数据!$J$6:$J$1048576,卸车数据!$R$6:$R$1048576,"&gt;="&amp;A25+TIME(22,0,0),卸车数据!$R$6:$R$1048576,"&lt;"&amp;A25+TIME(23,0,0))</f>
        <v>6932</v>
      </c>
      <c r="F25" s="24">
        <v>1608</v>
      </c>
      <c r="G25" s="14">
        <v>4913</v>
      </c>
      <c r="H25" s="15">
        <f t="shared" si="0"/>
        <v>2</v>
      </c>
      <c r="I25" s="15">
        <f t="shared" si="38"/>
        <v>44.0122222222222</v>
      </c>
      <c r="J25" s="15">
        <f>'1'!K25</f>
        <v>19</v>
      </c>
      <c r="K25" s="16">
        <f t="shared" si="32"/>
        <v>364.842105263158</v>
      </c>
      <c r="L25" s="15">
        <f t="shared" si="39"/>
        <v>298.78</v>
      </c>
      <c r="M25" s="17">
        <f t="shared" si="25"/>
        <v>-298.78</v>
      </c>
      <c r="N25" s="15">
        <f>'1'!W25</f>
        <v>30</v>
      </c>
      <c r="O25" s="16">
        <f t="shared" si="33"/>
        <v>163.766666666667</v>
      </c>
      <c r="P25" s="15">
        <f t="shared" si="18"/>
        <v>0.06859</v>
      </c>
      <c r="Q25" s="17">
        <f t="shared" si="27"/>
        <v>316.7637098</v>
      </c>
      <c r="R25" s="15">
        <f t="shared" si="40"/>
        <v>503.54</v>
      </c>
      <c r="S25" s="17">
        <f t="shared" si="34"/>
        <v>-186.7762902</v>
      </c>
      <c r="T25" s="15">
        <f>'1'!AG25+'1'!AR25</f>
        <v>44</v>
      </c>
      <c r="U25" s="16">
        <f t="shared" si="35"/>
        <v>36.5454545454545</v>
      </c>
      <c r="V25" s="15">
        <f t="shared" si="20"/>
        <v>0.276355</v>
      </c>
      <c r="W25" s="17">
        <f t="shared" si="21"/>
        <v>417.7161096</v>
      </c>
      <c r="X25" s="15">
        <f t="shared" si="36"/>
        <v>729.22</v>
      </c>
      <c r="Y25" s="17">
        <f t="shared" si="37"/>
        <v>-311.5038904</v>
      </c>
      <c r="Z25" s="18">
        <f>'1'!BA25</f>
        <v>4</v>
      </c>
      <c r="AA25" s="18">
        <f>'1'!BD25</f>
        <v>3</v>
      </c>
      <c r="AB25" s="18">
        <f>'1'!BE25</f>
        <v>0</v>
      </c>
      <c r="AC25" s="18">
        <f>'1'!BF25</f>
        <v>1</v>
      </c>
      <c r="AD25" s="17">
        <f t="shared" si="16"/>
        <v>223.110342478035</v>
      </c>
      <c r="AE25" s="19">
        <f t="shared" si="31"/>
        <v>-1064.18274530026</v>
      </c>
      <c r="AF25" s="2">
        <f t="shared" si="17"/>
        <v>101</v>
      </c>
      <c r="AG25" s="2">
        <f>'1'!BH25</f>
        <v>101</v>
      </c>
    </row>
    <row r="26" spans="1:33">
      <c r="A26" s="10">
        <v>46113</v>
      </c>
      <c r="B26" s="11" t="s">
        <v>3357</v>
      </c>
      <c r="C26" s="11" t="s">
        <v>3265</v>
      </c>
      <c r="D26" s="12" t="s">
        <v>3311</v>
      </c>
      <c r="E26" s="13">
        <f>SUMIFS(卸车数据!$J$6:$J$1048576,卸车数据!$R$6:$R$1048576,"&gt;="&amp;A26+TIME(23,0,0),卸车数据!$R$6:$R$1048576,"&lt;"&amp;A26+TIME(0,0,0))</f>
        <v>0</v>
      </c>
      <c r="F26" s="24">
        <v>4959</v>
      </c>
      <c r="G26" s="14">
        <v>10612</v>
      </c>
      <c r="H26" s="15">
        <f t="shared" si="0"/>
        <v>2</v>
      </c>
      <c r="I26" s="15">
        <f t="shared" si="38"/>
        <v>44.0122222222222</v>
      </c>
      <c r="J26" s="15">
        <f>'1'!K26</f>
        <v>17</v>
      </c>
      <c r="K26" s="16">
        <f t="shared" si="32"/>
        <v>0</v>
      </c>
      <c r="L26" s="15">
        <f t="shared" si="39"/>
        <v>269.54</v>
      </c>
      <c r="M26" s="17">
        <f t="shared" si="25"/>
        <v>-269.54</v>
      </c>
      <c r="N26" s="15">
        <f>'1'!W26</f>
        <v>25</v>
      </c>
      <c r="O26" s="16">
        <f t="shared" si="33"/>
        <v>424.48</v>
      </c>
      <c r="P26" s="15">
        <f t="shared" si="18"/>
        <v>0.06859</v>
      </c>
      <c r="Q26" s="17">
        <f t="shared" si="27"/>
        <v>684.2044552</v>
      </c>
      <c r="R26" s="15">
        <f t="shared" si="40"/>
        <v>430.44</v>
      </c>
      <c r="S26" s="17">
        <f t="shared" si="34"/>
        <v>253.7644552</v>
      </c>
      <c r="T26" s="15">
        <f>'1'!AG26+'1'!AR26</f>
        <v>45</v>
      </c>
      <c r="U26" s="16">
        <f t="shared" si="35"/>
        <v>110.2</v>
      </c>
      <c r="V26" s="15">
        <f t="shared" si="20"/>
        <v>0.276355</v>
      </c>
      <c r="W26" s="17">
        <f t="shared" si="21"/>
        <v>1288.2177783</v>
      </c>
      <c r="X26" s="15">
        <f t="shared" si="36"/>
        <v>743.84</v>
      </c>
      <c r="Y26" s="17">
        <f t="shared" si="37"/>
        <v>544.3777783</v>
      </c>
      <c r="Z26" s="18">
        <f>'1'!BA26</f>
        <v>4</v>
      </c>
      <c r="AA26" s="18">
        <f>'1'!BD26</f>
        <v>3</v>
      </c>
      <c r="AB26" s="18">
        <f>'1'!BE26</f>
        <v>0</v>
      </c>
      <c r="AC26" s="18">
        <f>'1'!BF26</f>
        <v>1</v>
      </c>
      <c r="AD26" s="17">
        <f t="shared" si="16"/>
        <v>223.110342478035</v>
      </c>
      <c r="AE26" s="19">
        <f t="shared" si="31"/>
        <v>261.479668799743</v>
      </c>
      <c r="AF26" s="2">
        <f t="shared" si="17"/>
        <v>95</v>
      </c>
      <c r="AG26" s="2">
        <f>'1'!BH26</f>
        <v>95</v>
      </c>
    </row>
    <row r="27" spans="1:33">
      <c r="A27" s="10"/>
      <c r="B27" s="11"/>
      <c r="C27" s="11"/>
      <c r="D27" s="12"/>
      <c r="E27" s="13"/>
      <c r="F27" s="24"/>
      <c r="G27" s="14"/>
      <c r="H27" s="15"/>
      <c r="I27" s="15"/>
      <c r="J27" s="15"/>
      <c r="K27" s="16"/>
      <c r="L27" s="15"/>
      <c r="M27" s="17"/>
      <c r="N27" s="15"/>
      <c r="O27" s="16"/>
      <c r="P27" s="15"/>
      <c r="Q27" s="17"/>
      <c r="R27" s="15"/>
      <c r="S27" s="17"/>
      <c r="T27" s="15"/>
      <c r="U27" s="16"/>
      <c r="V27" s="15"/>
      <c r="W27" s="17"/>
      <c r="X27" s="15"/>
      <c r="Y27" s="17"/>
      <c r="Z27" s="18"/>
      <c r="AA27" s="18"/>
      <c r="AB27" s="18"/>
      <c r="AC27" s="18"/>
      <c r="AD27" s="17"/>
      <c r="AE27" s="19">
        <f>SUM(AE3:AE26)</f>
        <v>-2988.10290033352</v>
      </c>
    </row>
    <row r="28" spans="1:33">
      <c r="A28" s="10">
        <v>46114</v>
      </c>
      <c r="B28" s="11" t="s">
        <v>3264</v>
      </c>
      <c r="C28" s="11" t="s">
        <v>3265</v>
      </c>
      <c r="D28" s="12" t="s">
        <v>22</v>
      </c>
      <c r="E28" s="13">
        <f>SUMIFS(卸车数据!$J$6:$J$1048576,卸车数据!$R$6:$R$1048576,"&gt;="&amp;A28+TIME(0,0,0),卸车数据!$R$6:$R$1048576,"&lt;"&amp;A28+TIME(1,0,0))</f>
        <v>15846</v>
      </c>
      <c r="F28" s="13">
        <v>1431</v>
      </c>
      <c r="G28" s="14">
        <v>4923</v>
      </c>
      <c r="H28" s="15">
        <f t="shared" ref="H28:H68" si="41">IF(C28="夜班",2,4)</f>
        <v>2</v>
      </c>
      <c r="I28" s="15">
        <f t="shared" si="38"/>
        <v>44.0122222222222</v>
      </c>
      <c r="J28" s="15">
        <f>'2'!K$3</f>
        <v>17</v>
      </c>
      <c r="K28" s="16">
        <f t="shared" ref="K28:K51" si="42">E28/J28</f>
        <v>932.117647058824</v>
      </c>
      <c r="L28" s="15">
        <f t="shared" si="39"/>
        <v>269.54</v>
      </c>
      <c r="M28" s="17">
        <f t="shared" ref="M28:M51" si="43">0-L28</f>
        <v>-269.54</v>
      </c>
      <c r="N28" s="15">
        <f>'2'!W$3</f>
        <v>25</v>
      </c>
      <c r="O28" s="16">
        <f t="shared" ref="O28:O51" si="44">G28/N28</f>
        <v>196.92</v>
      </c>
      <c r="P28" s="15">
        <f t="shared" ref="P28:P51" si="45">0.0722*0.95</f>
        <v>0.06859</v>
      </c>
      <c r="Q28" s="17">
        <f t="shared" ref="Q28:Q51" si="46">P28*G28*0.94</f>
        <v>317.4084558</v>
      </c>
      <c r="R28" s="15">
        <f t="shared" si="40"/>
        <v>430.44</v>
      </c>
      <c r="S28" s="17">
        <f t="shared" ref="S28:S51" si="47">Q28-R28</f>
        <v>-113.0315442</v>
      </c>
      <c r="T28" s="15">
        <f>'2'!AG3+'2'!AR3</f>
        <v>46</v>
      </c>
      <c r="U28" s="16">
        <f t="shared" ref="U28:U51" si="48">F28/T28</f>
        <v>31.1086956521739</v>
      </c>
      <c r="V28" s="15">
        <f t="shared" ref="V28:V51" si="49">0.2909*0.95</f>
        <v>0.276355</v>
      </c>
      <c r="W28" s="17">
        <f t="shared" ref="W28:W51" si="50">V28*F28*0.94</f>
        <v>371.7361647</v>
      </c>
      <c r="X28" s="15">
        <f t="shared" ref="X28:X34" si="51">(T28-13)*14.62+13*18+42</f>
        <v>758.46</v>
      </c>
      <c r="Y28" s="17">
        <f t="shared" ref="Y28:Y51" si="52">W28-X28</f>
        <v>-386.7238353</v>
      </c>
      <c r="Z28" s="18">
        <f>'2'!BA3</f>
        <v>4</v>
      </c>
      <c r="AA28" s="18">
        <f>'2'!BD27</f>
        <v>0</v>
      </c>
      <c r="AB28" s="18">
        <f>'2'!BE27</f>
        <v>0</v>
      </c>
      <c r="AC28" s="18">
        <f>'2'!BF27</f>
        <v>0</v>
      </c>
      <c r="AD28" s="17">
        <f t="shared" ref="AD28:AD51" si="53">(Z28-1)*14.62+(9000/26/13)+(AA28-1)*14.54+7500/26/11+AB28*(4200/26/9)+AC28*(4000/26/11)+$AH$3/24</f>
        <v>165.504328492021</v>
      </c>
      <c r="AE28" s="19">
        <f t="shared" ref="AE28:AE51" si="54">M28+S28+Y28-I28-AD28</f>
        <v>-978.811930214243</v>
      </c>
      <c r="AF28" s="2">
        <f t="shared" ref="AF28:AF51" si="55">AB28+AA28+Z28+T28+N28+J28+AC28</f>
        <v>92</v>
      </c>
      <c r="AG28" s="2">
        <f>'2'!BH3</f>
        <v>96</v>
      </c>
    </row>
    <row r="29" spans="1:33">
      <c r="A29" s="10">
        <v>46114</v>
      </c>
      <c r="B29" s="11" t="s">
        <v>3268</v>
      </c>
      <c r="C29" s="11" t="s">
        <v>3265</v>
      </c>
      <c r="D29" s="12" t="s">
        <v>22</v>
      </c>
      <c r="E29" s="13">
        <f>SUMIFS(卸车数据!$J$6:$J$1048576,卸车数据!$R$6:$R$1048576,"&gt;="&amp;A29+TIME(1,0,0),卸车数据!$R$6:$R$1048576,"&lt;"&amp;A29+TIME(2,0,0))</f>
        <v>0</v>
      </c>
      <c r="F29" s="13">
        <v>3938</v>
      </c>
      <c r="G29" s="14">
        <v>13433</v>
      </c>
      <c r="H29" s="15">
        <f t="shared" si="41"/>
        <v>2</v>
      </c>
      <c r="I29" s="15">
        <f t="shared" si="38"/>
        <v>44.0122222222222</v>
      </c>
      <c r="J29" s="15">
        <f>'2'!K4</f>
        <v>17</v>
      </c>
      <c r="K29" s="16">
        <f t="shared" si="42"/>
        <v>0</v>
      </c>
      <c r="L29" s="15">
        <f t="shared" si="39"/>
        <v>269.54</v>
      </c>
      <c r="M29" s="17">
        <f t="shared" si="43"/>
        <v>-269.54</v>
      </c>
      <c r="N29" s="15">
        <f>'2'!W4</f>
        <v>25</v>
      </c>
      <c r="O29" s="16">
        <f t="shared" si="44"/>
        <v>537.32</v>
      </c>
      <c r="P29" s="15">
        <f t="shared" si="45"/>
        <v>0.06859</v>
      </c>
      <c r="Q29" s="17">
        <f t="shared" si="46"/>
        <v>866.0873018</v>
      </c>
      <c r="R29" s="15">
        <f t="shared" si="40"/>
        <v>430.44</v>
      </c>
      <c r="S29" s="17">
        <f t="shared" si="47"/>
        <v>435.6473018</v>
      </c>
      <c r="T29" s="15">
        <f>'2'!AG4+'2'!AR4</f>
        <v>46</v>
      </c>
      <c r="U29" s="16">
        <f t="shared" si="48"/>
        <v>85.6086956521739</v>
      </c>
      <c r="V29" s="15">
        <f t="shared" si="49"/>
        <v>0.276355</v>
      </c>
      <c r="W29" s="17">
        <f t="shared" si="50"/>
        <v>1022.9888306</v>
      </c>
      <c r="X29" s="15">
        <f t="shared" si="51"/>
        <v>758.46</v>
      </c>
      <c r="Y29" s="17">
        <f t="shared" si="52"/>
        <v>264.5288306</v>
      </c>
      <c r="Z29" s="18">
        <f>'2'!BA4</f>
        <v>4</v>
      </c>
      <c r="AA29" s="18">
        <f>'2'!BD28</f>
        <v>0</v>
      </c>
      <c r="AB29" s="18">
        <f>'2'!BE28</f>
        <v>0</v>
      </c>
      <c r="AC29" s="18">
        <f>'2'!BF28</f>
        <v>0</v>
      </c>
      <c r="AD29" s="17">
        <f t="shared" si="53"/>
        <v>165.504328492021</v>
      </c>
      <c r="AE29" s="19">
        <f t="shared" si="54"/>
        <v>221.119581685757</v>
      </c>
      <c r="AF29" s="2">
        <f t="shared" si="55"/>
        <v>92</v>
      </c>
      <c r="AG29" s="2">
        <f>'2'!BH4</f>
        <v>96</v>
      </c>
    </row>
    <row r="30" spans="1:33">
      <c r="A30" s="10">
        <v>46114</v>
      </c>
      <c r="B30" s="11" t="s">
        <v>3270</v>
      </c>
      <c r="C30" s="11" t="s">
        <v>3265</v>
      </c>
      <c r="D30" s="12" t="s">
        <v>22</v>
      </c>
      <c r="E30" s="13">
        <f>SUMIFS(卸车数据!$J$6:$J$1048576,卸车数据!$R$6:$R$1048576,"&gt;="&amp;A30+TIME(2,0,0),卸车数据!$R$6:$R$1048576,"&lt;"&amp;A30+TIME(3,0,0))</f>
        <v>0</v>
      </c>
      <c r="F30" s="13">
        <v>4248</v>
      </c>
      <c r="G30" s="14">
        <v>14370</v>
      </c>
      <c r="H30" s="15">
        <f t="shared" si="41"/>
        <v>2</v>
      </c>
      <c r="I30" s="15">
        <f t="shared" si="38"/>
        <v>44.0122222222222</v>
      </c>
      <c r="J30" s="15">
        <f>'2'!K5</f>
        <v>17</v>
      </c>
      <c r="K30" s="16">
        <f t="shared" si="42"/>
        <v>0</v>
      </c>
      <c r="L30" s="15">
        <f t="shared" si="39"/>
        <v>269.54</v>
      </c>
      <c r="M30" s="17">
        <f t="shared" si="43"/>
        <v>-269.54</v>
      </c>
      <c r="N30" s="15">
        <f>'2'!W5</f>
        <v>25</v>
      </c>
      <c r="O30" s="16">
        <f t="shared" si="44"/>
        <v>574.8</v>
      </c>
      <c r="P30" s="15">
        <f t="shared" si="45"/>
        <v>0.06859</v>
      </c>
      <c r="Q30" s="17">
        <f t="shared" si="46"/>
        <v>926.500002</v>
      </c>
      <c r="R30" s="15">
        <f t="shared" si="40"/>
        <v>430.44</v>
      </c>
      <c r="S30" s="17">
        <f t="shared" si="47"/>
        <v>496.060002</v>
      </c>
      <c r="T30" s="15">
        <f>'2'!AG5+'2'!AR5</f>
        <v>46</v>
      </c>
      <c r="U30" s="16">
        <f t="shared" si="48"/>
        <v>92.3478260869565</v>
      </c>
      <c r="V30" s="15">
        <f t="shared" si="49"/>
        <v>0.276355</v>
      </c>
      <c r="W30" s="17">
        <f t="shared" si="50"/>
        <v>1103.5186776</v>
      </c>
      <c r="X30" s="15">
        <f t="shared" si="51"/>
        <v>758.46</v>
      </c>
      <c r="Y30" s="17">
        <f t="shared" si="52"/>
        <v>345.0586776</v>
      </c>
      <c r="Z30" s="18">
        <f>'2'!BA5</f>
        <v>4</v>
      </c>
      <c r="AA30" s="18">
        <f>'2'!BD29</f>
        <v>0</v>
      </c>
      <c r="AB30" s="18">
        <f>'2'!BE29</f>
        <v>0</v>
      </c>
      <c r="AC30" s="18">
        <f>'2'!BF29</f>
        <v>0</v>
      </c>
      <c r="AD30" s="17">
        <f t="shared" si="53"/>
        <v>165.504328492021</v>
      </c>
      <c r="AE30" s="19">
        <f t="shared" si="54"/>
        <v>362.062128885757</v>
      </c>
      <c r="AF30" s="2">
        <f t="shared" si="55"/>
        <v>92</v>
      </c>
      <c r="AG30" s="2">
        <f>'2'!BH5</f>
        <v>96</v>
      </c>
    </row>
    <row r="31" spans="1:33">
      <c r="A31" s="10">
        <v>46114</v>
      </c>
      <c r="B31" s="11" t="s">
        <v>3273</v>
      </c>
      <c r="C31" s="11" t="s">
        <v>3265</v>
      </c>
      <c r="D31" s="12" t="s">
        <v>22</v>
      </c>
      <c r="E31" s="13">
        <f>SUMIFS(卸车数据!$J$6:$J$1048576,卸车数据!$R$6:$R$1048576,"&gt;="&amp;A31+TIME(3,0,0),卸车数据!$R$6:$R$1048576,"&lt;"&amp;A31+TIME(4,0,0))</f>
        <v>4568</v>
      </c>
      <c r="F31" s="13">
        <v>4104</v>
      </c>
      <c r="G31" s="14">
        <v>4626</v>
      </c>
      <c r="H31" s="15">
        <f t="shared" si="41"/>
        <v>2</v>
      </c>
      <c r="I31" s="15">
        <f t="shared" si="38"/>
        <v>44.0122222222222</v>
      </c>
      <c r="J31" s="15">
        <f>'2'!K6</f>
        <v>17</v>
      </c>
      <c r="K31" s="16">
        <f t="shared" si="42"/>
        <v>268.705882352941</v>
      </c>
      <c r="L31" s="15">
        <f t="shared" si="39"/>
        <v>269.54</v>
      </c>
      <c r="M31" s="17">
        <f t="shared" si="43"/>
        <v>-269.54</v>
      </c>
      <c r="N31" s="15">
        <f>'2'!W6</f>
        <v>18</v>
      </c>
      <c r="O31" s="16">
        <f t="shared" si="44"/>
        <v>257</v>
      </c>
      <c r="P31" s="15">
        <f t="shared" si="45"/>
        <v>0.06859</v>
      </c>
      <c r="Q31" s="17">
        <f t="shared" si="46"/>
        <v>298.2594996</v>
      </c>
      <c r="R31" s="15">
        <f t="shared" si="40"/>
        <v>328.1</v>
      </c>
      <c r="S31" s="17">
        <f t="shared" si="47"/>
        <v>-29.8405004</v>
      </c>
      <c r="T31" s="15">
        <f>'2'!AG6+'2'!AR6</f>
        <v>53</v>
      </c>
      <c r="U31" s="16">
        <f t="shared" si="48"/>
        <v>77.4339622641509</v>
      </c>
      <c r="V31" s="15">
        <f t="shared" si="49"/>
        <v>0.276355</v>
      </c>
      <c r="W31" s="17">
        <f t="shared" si="50"/>
        <v>1066.1112648</v>
      </c>
      <c r="X31" s="15">
        <f t="shared" si="51"/>
        <v>860.8</v>
      </c>
      <c r="Y31" s="17">
        <f t="shared" si="52"/>
        <v>205.3112648</v>
      </c>
      <c r="Z31" s="18">
        <f>'2'!BA6</f>
        <v>4</v>
      </c>
      <c r="AA31" s="18">
        <f>'2'!BD30</f>
        <v>0</v>
      </c>
      <c r="AB31" s="18">
        <f>'2'!BE30</f>
        <v>0</v>
      </c>
      <c r="AC31" s="18">
        <f>'2'!BF30</f>
        <v>0</v>
      </c>
      <c r="AD31" s="17">
        <f t="shared" si="53"/>
        <v>165.504328492021</v>
      </c>
      <c r="AE31" s="19">
        <f t="shared" si="54"/>
        <v>-303.585786314243</v>
      </c>
      <c r="AF31" s="2">
        <f t="shared" si="55"/>
        <v>92</v>
      </c>
      <c r="AG31" s="2">
        <f>'2'!BH6</f>
        <v>96</v>
      </c>
    </row>
    <row r="32" spans="1:33">
      <c r="A32" s="10">
        <v>46114</v>
      </c>
      <c r="B32" s="11" t="s">
        <v>3280</v>
      </c>
      <c r="C32" s="11" t="s">
        <v>3265</v>
      </c>
      <c r="D32" s="12" t="s">
        <v>22</v>
      </c>
      <c r="E32" s="13">
        <f>SUMIFS(卸车数据!$J$6:$J$1048576,卸车数据!$R$6:$R$1048576,"&gt;="&amp;A32+TIME(4,0,0),卸车数据!$R$6:$R$1048576,"&lt;"&amp;A32+TIME(5,0,0))</f>
        <v>0</v>
      </c>
      <c r="F32" s="13">
        <v>4682</v>
      </c>
      <c r="G32" s="14">
        <v>8586</v>
      </c>
      <c r="H32" s="15">
        <f t="shared" si="41"/>
        <v>2</v>
      </c>
      <c r="I32" s="15">
        <f t="shared" si="38"/>
        <v>44.0122222222222</v>
      </c>
      <c r="J32" s="15">
        <f>'2'!K7</f>
        <v>17</v>
      </c>
      <c r="K32" s="16">
        <f t="shared" si="42"/>
        <v>0</v>
      </c>
      <c r="L32" s="15">
        <f t="shared" si="39"/>
        <v>269.54</v>
      </c>
      <c r="M32" s="17">
        <f t="shared" si="43"/>
        <v>-269.54</v>
      </c>
      <c r="N32" s="15">
        <f>'2'!W7</f>
        <v>25</v>
      </c>
      <c r="O32" s="16">
        <f t="shared" si="44"/>
        <v>343.44</v>
      </c>
      <c r="P32" s="15">
        <f t="shared" si="45"/>
        <v>0.06859</v>
      </c>
      <c r="Q32" s="17">
        <f t="shared" si="46"/>
        <v>553.5789156</v>
      </c>
      <c r="R32" s="15">
        <f t="shared" si="40"/>
        <v>430.44</v>
      </c>
      <c r="S32" s="17">
        <f t="shared" si="47"/>
        <v>123.1389156</v>
      </c>
      <c r="T32" s="15">
        <f>'2'!AG7+'2'!AR7</f>
        <v>46</v>
      </c>
      <c r="U32" s="16">
        <f t="shared" si="48"/>
        <v>101.782608695652</v>
      </c>
      <c r="V32" s="15">
        <f t="shared" si="49"/>
        <v>0.276355</v>
      </c>
      <c r="W32" s="17">
        <f t="shared" si="50"/>
        <v>1216.2604634</v>
      </c>
      <c r="X32" s="15">
        <f t="shared" si="51"/>
        <v>758.46</v>
      </c>
      <c r="Y32" s="17">
        <f t="shared" si="52"/>
        <v>457.8004634</v>
      </c>
      <c r="Z32" s="18">
        <f>'2'!BA7</f>
        <v>4</v>
      </c>
      <c r="AA32" s="18">
        <f>'2'!BD31</f>
        <v>0</v>
      </c>
      <c r="AB32" s="18">
        <f>'2'!BE31</f>
        <v>0</v>
      </c>
      <c r="AC32" s="18">
        <f>'2'!BF31</f>
        <v>0</v>
      </c>
      <c r="AD32" s="17">
        <f t="shared" si="53"/>
        <v>165.504328492021</v>
      </c>
      <c r="AE32" s="19">
        <f t="shared" si="54"/>
        <v>101.882828285757</v>
      </c>
      <c r="AF32" s="2">
        <f t="shared" si="55"/>
        <v>92</v>
      </c>
      <c r="AG32" s="2">
        <f>'2'!BH7</f>
        <v>96</v>
      </c>
    </row>
    <row r="33" spans="1:33">
      <c r="A33" s="10">
        <v>46114</v>
      </c>
      <c r="B33" s="11" t="s">
        <v>3283</v>
      </c>
      <c r="C33" s="11" t="s">
        <v>3265</v>
      </c>
      <c r="D33" s="12" t="s">
        <v>22</v>
      </c>
      <c r="E33" s="13">
        <f>SUMIFS(卸车数据!$J$6:$J$1048576,卸车数据!$R$6:$R$1048576,"&gt;="&amp;A33+TIME(5,0,0),卸车数据!$R$6:$R$1048576,"&lt;"&amp;A33+TIME(6,0,0))</f>
        <v>228</v>
      </c>
      <c r="F33" s="13">
        <v>2297</v>
      </c>
      <c r="G33" s="14">
        <v>11020</v>
      </c>
      <c r="H33" s="15">
        <f t="shared" si="41"/>
        <v>2</v>
      </c>
      <c r="I33" s="15">
        <f t="shared" si="38"/>
        <v>44.0122222222222</v>
      </c>
      <c r="J33" s="15">
        <f>'2'!K8</f>
        <v>17</v>
      </c>
      <c r="K33" s="16">
        <f t="shared" si="42"/>
        <v>13.4117647058824</v>
      </c>
      <c r="L33" s="15">
        <f t="shared" si="39"/>
        <v>269.54</v>
      </c>
      <c r="M33" s="17">
        <f t="shared" si="43"/>
        <v>-269.54</v>
      </c>
      <c r="N33" s="15">
        <f>'2'!W8</f>
        <v>25</v>
      </c>
      <c r="O33" s="16">
        <f t="shared" si="44"/>
        <v>440.8</v>
      </c>
      <c r="P33" s="15">
        <f t="shared" si="45"/>
        <v>0.06859</v>
      </c>
      <c r="Q33" s="17">
        <f t="shared" si="46"/>
        <v>710.510092</v>
      </c>
      <c r="R33" s="15">
        <f t="shared" si="40"/>
        <v>430.44</v>
      </c>
      <c r="S33" s="17">
        <f t="shared" si="47"/>
        <v>280.070092</v>
      </c>
      <c r="T33" s="15">
        <f>'2'!AG8+'2'!AR8</f>
        <v>46</v>
      </c>
      <c r="U33" s="16">
        <f t="shared" si="48"/>
        <v>49.9347826086956</v>
      </c>
      <c r="V33" s="15">
        <f t="shared" si="49"/>
        <v>0.276355</v>
      </c>
      <c r="W33" s="17">
        <f t="shared" si="50"/>
        <v>596.7001889</v>
      </c>
      <c r="X33" s="15">
        <f t="shared" si="51"/>
        <v>758.46</v>
      </c>
      <c r="Y33" s="17">
        <f t="shared" si="52"/>
        <v>-161.7598111</v>
      </c>
      <c r="Z33" s="18">
        <f>'2'!BA8</f>
        <v>4</v>
      </c>
      <c r="AA33" s="18">
        <f>'2'!BD32</f>
        <v>0</v>
      </c>
      <c r="AB33" s="18">
        <f>'2'!BE32</f>
        <v>0</v>
      </c>
      <c r="AC33" s="18">
        <f>'2'!BF32</f>
        <v>0</v>
      </c>
      <c r="AD33" s="17">
        <f t="shared" si="53"/>
        <v>165.504328492021</v>
      </c>
      <c r="AE33" s="19">
        <f t="shared" si="54"/>
        <v>-360.746269814243</v>
      </c>
      <c r="AF33" s="2">
        <f t="shared" si="55"/>
        <v>92</v>
      </c>
      <c r="AG33" s="2">
        <f>'2'!BH8</f>
        <v>96</v>
      </c>
    </row>
    <row r="34" spans="1:33">
      <c r="A34" s="10">
        <v>46114</v>
      </c>
      <c r="B34" s="11" t="s">
        <v>3286</v>
      </c>
      <c r="C34" s="11" t="s">
        <v>3265</v>
      </c>
      <c r="D34" s="12" t="s">
        <v>22</v>
      </c>
      <c r="E34" s="13">
        <f>SUMIFS(卸车数据!$J$6:$J$1048576,卸车数据!$R$6:$R$1048576,"&gt;="&amp;A34+TIME(6,0,0),卸车数据!$R$6:$R$1048576,"&lt;"&amp;A34+TIME(7,0,0))</f>
        <v>3600</v>
      </c>
      <c r="F34" s="13">
        <v>964</v>
      </c>
      <c r="G34" s="14">
        <v>221</v>
      </c>
      <c r="H34" s="15">
        <f t="shared" si="41"/>
        <v>2</v>
      </c>
      <c r="I34" s="15">
        <f t="shared" si="38"/>
        <v>44.0122222222222</v>
      </c>
      <c r="J34" s="15">
        <f>'2'!K9</f>
        <v>17</v>
      </c>
      <c r="K34" s="16">
        <f t="shared" si="42"/>
        <v>211.764705882353</v>
      </c>
      <c r="L34" s="15">
        <f t="shared" si="39"/>
        <v>269.54</v>
      </c>
      <c r="M34" s="17">
        <f t="shared" si="43"/>
        <v>-269.54</v>
      </c>
      <c r="N34" s="15">
        <f>'2'!W9</f>
        <v>25</v>
      </c>
      <c r="O34" s="16">
        <f t="shared" si="44"/>
        <v>8.84</v>
      </c>
      <c r="P34" s="15">
        <f t="shared" si="45"/>
        <v>0.06859</v>
      </c>
      <c r="Q34" s="17">
        <f t="shared" si="46"/>
        <v>14.2488866</v>
      </c>
      <c r="R34" s="15">
        <f t="shared" si="40"/>
        <v>430.44</v>
      </c>
      <c r="S34" s="17">
        <f t="shared" si="47"/>
        <v>-416.1911134</v>
      </c>
      <c r="T34" s="15">
        <f>'2'!AG9+'2'!AR9</f>
        <v>46</v>
      </c>
      <c r="U34" s="16">
        <f t="shared" si="48"/>
        <v>20.9565217391304</v>
      </c>
      <c r="V34" s="15">
        <f t="shared" si="49"/>
        <v>0.276355</v>
      </c>
      <c r="W34" s="17">
        <f t="shared" si="50"/>
        <v>250.4218468</v>
      </c>
      <c r="X34" s="15">
        <f t="shared" si="51"/>
        <v>758.46</v>
      </c>
      <c r="Y34" s="17">
        <f t="shared" si="52"/>
        <v>-508.0381532</v>
      </c>
      <c r="Z34" s="18">
        <f>'2'!BA9</f>
        <v>4</v>
      </c>
      <c r="AA34" s="18">
        <f>'2'!BD33</f>
        <v>0</v>
      </c>
      <c r="AB34" s="18">
        <f>'2'!BE33</f>
        <v>0</v>
      </c>
      <c r="AC34" s="18">
        <f>'2'!BF33</f>
        <v>0</v>
      </c>
      <c r="AD34" s="17">
        <f t="shared" si="53"/>
        <v>165.504328492021</v>
      </c>
      <c r="AE34" s="19">
        <f t="shared" si="54"/>
        <v>-1403.28581731424</v>
      </c>
      <c r="AF34" s="2">
        <f t="shared" si="55"/>
        <v>92</v>
      </c>
      <c r="AG34" s="2">
        <f>'2'!BH9</f>
        <v>96</v>
      </c>
    </row>
    <row r="35" spans="1:33">
      <c r="A35" s="10">
        <v>46114</v>
      </c>
      <c r="B35" s="11" t="s">
        <v>3288</v>
      </c>
      <c r="C35" s="11" t="s">
        <v>3289</v>
      </c>
      <c r="D35" s="12" t="s">
        <v>22</v>
      </c>
      <c r="E35" s="13">
        <f>SUMIFS(卸车数据!$J$6:$J$1048576,卸车数据!$R$6:$R$1048576,"&gt;="&amp;A35+TIME(7,0,0),卸车数据!$R$6:$R$1048576,"&lt;"&amp;A35+TIME(8,0,0))</f>
        <v>1005</v>
      </c>
      <c r="F35" s="20">
        <v>3316</v>
      </c>
      <c r="G35" s="21">
        <v>244</v>
      </c>
      <c r="H35" s="15">
        <f t="shared" si="41"/>
        <v>4</v>
      </c>
      <c r="I35" s="15">
        <f t="shared" si="38"/>
        <v>100.75</v>
      </c>
      <c r="J35" s="15">
        <f>'2'!K10</f>
        <v>9</v>
      </c>
      <c r="K35" s="16">
        <f t="shared" si="42"/>
        <v>111.666666666667</v>
      </c>
      <c r="L35" s="15">
        <f t="shared" ref="L35:L45" si="56">J35*14.54+21</f>
        <v>151.86</v>
      </c>
      <c r="M35" s="17">
        <f t="shared" si="43"/>
        <v>-151.86</v>
      </c>
      <c r="N35" s="15">
        <f>'2'!W10</f>
        <v>16</v>
      </c>
      <c r="O35" s="16">
        <f t="shared" si="44"/>
        <v>15.25</v>
      </c>
      <c r="P35" s="15">
        <f t="shared" si="45"/>
        <v>0.06859</v>
      </c>
      <c r="Q35" s="17">
        <f t="shared" si="46"/>
        <v>15.7318024</v>
      </c>
      <c r="R35" s="15">
        <f t="shared" ref="R35:R45" si="57">N35*14.54+21</f>
        <v>253.64</v>
      </c>
      <c r="S35" s="17">
        <f t="shared" si="47"/>
        <v>-237.9081976</v>
      </c>
      <c r="T35" s="15">
        <f>'2'!AG10+'2'!AR10</f>
        <v>33</v>
      </c>
      <c r="U35" s="16">
        <f t="shared" si="48"/>
        <v>100.484848484848</v>
      </c>
      <c r="V35" s="15">
        <f t="shared" si="49"/>
        <v>0.276355</v>
      </c>
      <c r="W35" s="17">
        <f t="shared" si="50"/>
        <v>861.4095892</v>
      </c>
      <c r="X35" s="15">
        <f t="shared" ref="X35:X45" si="58">T35*14.54+42</f>
        <v>521.82</v>
      </c>
      <c r="Y35" s="17">
        <f t="shared" si="52"/>
        <v>339.5895892</v>
      </c>
      <c r="Z35" s="18">
        <f>'2'!BA10</f>
        <v>0</v>
      </c>
      <c r="AA35" s="18">
        <f>'2'!BD34</f>
        <v>0</v>
      </c>
      <c r="AB35" s="18">
        <f>'2'!BE34</f>
        <v>0</v>
      </c>
      <c r="AC35" s="18">
        <f>'2'!BF34</f>
        <v>0</v>
      </c>
      <c r="AD35" s="17">
        <f t="shared" si="53"/>
        <v>107.024328492021</v>
      </c>
      <c r="AE35" s="19">
        <f t="shared" si="54"/>
        <v>-257.952936892021</v>
      </c>
      <c r="AF35" s="2">
        <f t="shared" si="55"/>
        <v>58</v>
      </c>
      <c r="AG35" s="2">
        <f>'2'!BH10</f>
        <v>63</v>
      </c>
    </row>
    <row r="36" spans="1:33">
      <c r="A36" s="10">
        <v>46114</v>
      </c>
      <c r="B36" s="11" t="s">
        <v>3297</v>
      </c>
      <c r="C36" s="11" t="s">
        <v>3289</v>
      </c>
      <c r="D36" s="12" t="s">
        <v>22</v>
      </c>
      <c r="E36" s="13">
        <f>SUMIFS(卸车数据!$J$6:$J$1048576,卸车数据!$R$6:$R$1048576,"&gt;="&amp;A36+TIME(8,0,0),卸车数据!$R$6:$R$1048576,"&lt;"&amp;A36+TIME(9,0,0))</f>
        <v>2151</v>
      </c>
      <c r="F36" s="20">
        <v>2330</v>
      </c>
      <c r="G36" s="22">
        <v>9785</v>
      </c>
      <c r="H36" s="15">
        <f t="shared" si="41"/>
        <v>4</v>
      </c>
      <c r="I36" s="15">
        <f t="shared" si="38"/>
        <v>100.75</v>
      </c>
      <c r="J36" s="15">
        <f>'2'!K11</f>
        <v>9</v>
      </c>
      <c r="K36" s="16">
        <f t="shared" si="42"/>
        <v>239</v>
      </c>
      <c r="L36" s="15">
        <f t="shared" si="56"/>
        <v>151.86</v>
      </c>
      <c r="M36" s="17">
        <f t="shared" si="43"/>
        <v>-151.86</v>
      </c>
      <c r="N36" s="15">
        <f>'2'!W11</f>
        <v>16</v>
      </c>
      <c r="O36" s="16">
        <f t="shared" si="44"/>
        <v>611.5625</v>
      </c>
      <c r="P36" s="15">
        <f t="shared" si="45"/>
        <v>0.06859</v>
      </c>
      <c r="Q36" s="17">
        <f t="shared" si="46"/>
        <v>630.883961</v>
      </c>
      <c r="R36" s="15">
        <f t="shared" si="57"/>
        <v>253.64</v>
      </c>
      <c r="S36" s="17">
        <f t="shared" si="47"/>
        <v>377.243961</v>
      </c>
      <c r="T36" s="15">
        <f>'2'!AG11+'2'!AR11</f>
        <v>33</v>
      </c>
      <c r="U36" s="16">
        <f t="shared" si="48"/>
        <v>70.6060606060606</v>
      </c>
      <c r="V36" s="15">
        <f t="shared" si="49"/>
        <v>0.276355</v>
      </c>
      <c r="W36" s="17">
        <f t="shared" si="50"/>
        <v>605.272721</v>
      </c>
      <c r="X36" s="15">
        <f t="shared" si="58"/>
        <v>521.82</v>
      </c>
      <c r="Y36" s="17">
        <f t="shared" si="52"/>
        <v>83.4527209999999</v>
      </c>
      <c r="Z36" s="18">
        <f>'2'!BA11</f>
        <v>0</v>
      </c>
      <c r="AA36" s="18">
        <f>'2'!BD35</f>
        <v>0</v>
      </c>
      <c r="AB36" s="18">
        <f>'2'!BE35</f>
        <v>0</v>
      </c>
      <c r="AC36" s="18">
        <f>'2'!BF35</f>
        <v>0</v>
      </c>
      <c r="AD36" s="17">
        <f t="shared" si="53"/>
        <v>107.024328492021</v>
      </c>
      <c r="AE36" s="19">
        <f t="shared" si="54"/>
        <v>101.062353507979</v>
      </c>
      <c r="AF36" s="2">
        <f t="shared" si="55"/>
        <v>58</v>
      </c>
      <c r="AG36" s="2">
        <f>'2'!BH11</f>
        <v>63</v>
      </c>
    </row>
    <row r="37" spans="1:33">
      <c r="A37" s="10">
        <v>46114</v>
      </c>
      <c r="B37" s="11" t="s">
        <v>3302</v>
      </c>
      <c r="C37" s="11" t="s">
        <v>3289</v>
      </c>
      <c r="D37" s="12" t="s">
        <v>22</v>
      </c>
      <c r="E37" s="13">
        <f>SUMIFS(卸车数据!$J$6:$J$1048576,卸车数据!$R$6:$R$1048576,"&gt;="&amp;A37+TIME(9,0,0),卸车数据!$R$6:$R$1048576,"&lt;"&amp;A37+TIME(10,0,0))</f>
        <v>2187</v>
      </c>
      <c r="F37" s="13">
        <v>1307</v>
      </c>
      <c r="G37" s="22">
        <v>1193</v>
      </c>
      <c r="H37" s="15">
        <f t="shared" si="41"/>
        <v>4</v>
      </c>
      <c r="I37" s="15">
        <f t="shared" si="38"/>
        <v>100.75</v>
      </c>
      <c r="J37" s="15">
        <f>'2'!K12</f>
        <v>12</v>
      </c>
      <c r="K37" s="16">
        <f t="shared" si="42"/>
        <v>182.25</v>
      </c>
      <c r="L37" s="15">
        <f t="shared" si="56"/>
        <v>195.48</v>
      </c>
      <c r="M37" s="17">
        <f t="shared" si="43"/>
        <v>-195.48</v>
      </c>
      <c r="N37" s="15">
        <f>'2'!W12</f>
        <v>18</v>
      </c>
      <c r="O37" s="16">
        <f t="shared" si="44"/>
        <v>66.2777777777778</v>
      </c>
      <c r="P37" s="15">
        <f t="shared" si="45"/>
        <v>0.06859</v>
      </c>
      <c r="Q37" s="17">
        <f t="shared" si="46"/>
        <v>76.9181978</v>
      </c>
      <c r="R37" s="15">
        <f t="shared" si="57"/>
        <v>282.72</v>
      </c>
      <c r="S37" s="17">
        <f t="shared" si="47"/>
        <v>-205.8018022</v>
      </c>
      <c r="T37" s="15">
        <f>'2'!AG12+'2'!AR12</f>
        <v>28</v>
      </c>
      <c r="U37" s="16">
        <f t="shared" si="48"/>
        <v>46.6785714285714</v>
      </c>
      <c r="V37" s="15">
        <f t="shared" si="49"/>
        <v>0.276355</v>
      </c>
      <c r="W37" s="17">
        <f t="shared" si="50"/>
        <v>339.5242259</v>
      </c>
      <c r="X37" s="15">
        <f t="shared" si="58"/>
        <v>449.12</v>
      </c>
      <c r="Y37" s="17">
        <f t="shared" si="52"/>
        <v>-109.5957741</v>
      </c>
      <c r="Z37" s="18">
        <f>'2'!BA12</f>
        <v>0</v>
      </c>
      <c r="AA37" s="18">
        <f>'2'!BD36</f>
        <v>0</v>
      </c>
      <c r="AB37" s="18">
        <f>'2'!BE36</f>
        <v>0</v>
      </c>
      <c r="AC37" s="18">
        <f>'2'!BF36</f>
        <v>0</v>
      </c>
      <c r="AD37" s="17">
        <f t="shared" si="53"/>
        <v>107.024328492021</v>
      </c>
      <c r="AE37" s="19">
        <f t="shared" si="54"/>
        <v>-718.651904792021</v>
      </c>
      <c r="AF37" s="2">
        <f t="shared" si="55"/>
        <v>58</v>
      </c>
      <c r="AG37" s="2">
        <f>'2'!BH12</f>
        <v>63</v>
      </c>
    </row>
    <row r="38" spans="1:33">
      <c r="A38" s="10">
        <v>46114</v>
      </c>
      <c r="B38" s="11" t="s">
        <v>3306</v>
      </c>
      <c r="C38" s="11" t="s">
        <v>3289</v>
      </c>
      <c r="D38" s="12" t="s">
        <v>22</v>
      </c>
      <c r="E38" s="13">
        <f>SUMIFS(卸车数据!$J$6:$J$1048576,卸车数据!$R$6:$R$1048576,"&gt;="&amp;A38+TIME(10,0,0),卸车数据!$R$6:$R$1048576,"&lt;"&amp;A38+TIME(11,0,0))</f>
        <v>1905</v>
      </c>
      <c r="F38" s="13">
        <v>2124</v>
      </c>
      <c r="G38" s="22">
        <v>9398</v>
      </c>
      <c r="H38" s="15">
        <f t="shared" si="41"/>
        <v>4</v>
      </c>
      <c r="I38" s="15">
        <f t="shared" si="38"/>
        <v>100.75</v>
      </c>
      <c r="J38" s="15">
        <f>'2'!K13</f>
        <v>12</v>
      </c>
      <c r="K38" s="16">
        <f t="shared" si="42"/>
        <v>158.75</v>
      </c>
      <c r="L38" s="15">
        <f t="shared" si="56"/>
        <v>195.48</v>
      </c>
      <c r="M38" s="17">
        <f t="shared" si="43"/>
        <v>-195.48</v>
      </c>
      <c r="N38" s="15">
        <f>'2'!W13</f>
        <v>18</v>
      </c>
      <c r="O38" s="16">
        <f t="shared" si="44"/>
        <v>522.111111111111</v>
      </c>
      <c r="P38" s="15">
        <f t="shared" si="45"/>
        <v>0.06859</v>
      </c>
      <c r="Q38" s="17">
        <f t="shared" si="46"/>
        <v>605.9322908</v>
      </c>
      <c r="R38" s="15">
        <f t="shared" si="57"/>
        <v>282.72</v>
      </c>
      <c r="S38" s="17">
        <f t="shared" si="47"/>
        <v>323.2122908</v>
      </c>
      <c r="T38" s="15">
        <f>'2'!AG13+'2'!AR13</f>
        <v>28</v>
      </c>
      <c r="U38" s="16">
        <f t="shared" si="48"/>
        <v>75.8571428571429</v>
      </c>
      <c r="V38" s="15">
        <f t="shared" si="49"/>
        <v>0.276355</v>
      </c>
      <c r="W38" s="17">
        <f t="shared" si="50"/>
        <v>551.7593388</v>
      </c>
      <c r="X38" s="15">
        <f t="shared" si="58"/>
        <v>449.12</v>
      </c>
      <c r="Y38" s="17">
        <f t="shared" si="52"/>
        <v>102.6393388</v>
      </c>
      <c r="Z38" s="18">
        <f>'2'!BA13</f>
        <v>0</v>
      </c>
      <c r="AA38" s="18">
        <f>'2'!BD37</f>
        <v>0</v>
      </c>
      <c r="AB38" s="18">
        <f>'2'!BE37</f>
        <v>0</v>
      </c>
      <c r="AC38" s="18">
        <f>'2'!BF37</f>
        <v>0</v>
      </c>
      <c r="AD38" s="17">
        <f t="shared" si="53"/>
        <v>107.024328492021</v>
      </c>
      <c r="AE38" s="19">
        <f t="shared" si="54"/>
        <v>22.5973011079792</v>
      </c>
      <c r="AF38" s="2">
        <f t="shared" si="55"/>
        <v>58</v>
      </c>
      <c r="AG38" s="2">
        <f>'2'!BH13</f>
        <v>63</v>
      </c>
    </row>
    <row r="39" spans="1:33">
      <c r="A39" s="10">
        <v>46114</v>
      </c>
      <c r="B39" s="11" t="s">
        <v>3310</v>
      </c>
      <c r="C39" s="11" t="s">
        <v>3289</v>
      </c>
      <c r="D39" s="11" t="s">
        <v>3311</v>
      </c>
      <c r="E39" s="13">
        <f>SUMIFS(卸车数据!$J$6:$J$1048576,卸车数据!$R$6:$R$1048576,"&gt;="&amp;A39+TIME(11,0,0),卸车数据!$R$6:$R$1048576,"&lt;"&amp;A39+TIME(12,0,0))</f>
        <v>8737</v>
      </c>
      <c r="F39" s="13">
        <v>3981</v>
      </c>
      <c r="G39" s="22">
        <v>65</v>
      </c>
      <c r="H39" s="15">
        <f t="shared" si="41"/>
        <v>4</v>
      </c>
      <c r="I39" s="15">
        <f t="shared" si="38"/>
        <v>100.75</v>
      </c>
      <c r="J39" s="15">
        <f>'2'!K14</f>
        <v>15</v>
      </c>
      <c r="K39" s="16">
        <f t="shared" si="42"/>
        <v>582.466666666667</v>
      </c>
      <c r="L39" s="15">
        <f t="shared" si="56"/>
        <v>239.1</v>
      </c>
      <c r="M39" s="17">
        <f t="shared" si="43"/>
        <v>-239.1</v>
      </c>
      <c r="N39" s="15">
        <f>'2'!W14</f>
        <v>20</v>
      </c>
      <c r="O39" s="16">
        <f t="shared" si="44"/>
        <v>3.25</v>
      </c>
      <c r="P39" s="15">
        <f t="shared" si="45"/>
        <v>0.06859</v>
      </c>
      <c r="Q39" s="17">
        <f t="shared" si="46"/>
        <v>4.190849</v>
      </c>
      <c r="R39" s="15">
        <f t="shared" si="57"/>
        <v>311.8</v>
      </c>
      <c r="S39" s="17">
        <f t="shared" si="47"/>
        <v>-307.609151</v>
      </c>
      <c r="T39" s="15">
        <f>'2'!AG14+'2'!AR14</f>
        <v>31</v>
      </c>
      <c r="U39" s="16">
        <f t="shared" si="48"/>
        <v>128.41935483871</v>
      </c>
      <c r="V39" s="15">
        <f t="shared" si="49"/>
        <v>0.276355</v>
      </c>
      <c r="W39" s="17">
        <f t="shared" si="50"/>
        <v>1034.1590997</v>
      </c>
      <c r="X39" s="15">
        <f t="shared" si="58"/>
        <v>492.74</v>
      </c>
      <c r="Y39" s="17">
        <f t="shared" si="52"/>
        <v>541.4190997</v>
      </c>
      <c r="Z39" s="18">
        <f>'2'!BA14</f>
        <v>0</v>
      </c>
      <c r="AA39" s="18">
        <f>'2'!BD38</f>
        <v>0</v>
      </c>
      <c r="AB39" s="18">
        <f>'2'!BE38</f>
        <v>0</v>
      </c>
      <c r="AC39" s="18">
        <f>'2'!BF38</f>
        <v>0</v>
      </c>
      <c r="AD39" s="17">
        <f t="shared" si="53"/>
        <v>107.024328492021</v>
      </c>
      <c r="AE39" s="19">
        <f t="shared" si="54"/>
        <v>-213.064379792021</v>
      </c>
      <c r="AF39" s="2">
        <f t="shared" si="55"/>
        <v>66</v>
      </c>
      <c r="AG39" s="2">
        <f>'2'!BH14</f>
        <v>71</v>
      </c>
    </row>
    <row r="40" spans="1:33">
      <c r="A40" s="10">
        <v>46114</v>
      </c>
      <c r="B40" s="11" t="s">
        <v>3318</v>
      </c>
      <c r="C40" s="11" t="s">
        <v>3289</v>
      </c>
      <c r="D40" s="11" t="s">
        <v>3319</v>
      </c>
      <c r="E40" s="13">
        <f>SUMIFS(卸车数据!$J$6:$J$1048576,卸车数据!$R$6:$R$1048576,"&gt;="&amp;A40+TIME(12,0,0),卸车数据!$R$6:$R$1048576,"&lt;"&amp;A40+TIME(13,0,0))</f>
        <v>8748</v>
      </c>
      <c r="F40" s="23">
        <v>6097</v>
      </c>
      <c r="G40" s="22">
        <v>21</v>
      </c>
      <c r="H40" s="15">
        <f t="shared" si="41"/>
        <v>4</v>
      </c>
      <c r="I40" s="15">
        <f t="shared" si="38"/>
        <v>100.75</v>
      </c>
      <c r="J40" s="15">
        <f>'2'!K15</f>
        <v>19</v>
      </c>
      <c r="K40" s="16">
        <f t="shared" si="42"/>
        <v>460.421052631579</v>
      </c>
      <c r="L40" s="15">
        <f t="shared" si="56"/>
        <v>297.26</v>
      </c>
      <c r="M40" s="17">
        <f t="shared" si="43"/>
        <v>-297.26</v>
      </c>
      <c r="N40" s="15">
        <f>'2'!W15</f>
        <v>4</v>
      </c>
      <c r="O40" s="16">
        <f t="shared" si="44"/>
        <v>5.25</v>
      </c>
      <c r="P40" s="15">
        <f t="shared" si="45"/>
        <v>0.06859</v>
      </c>
      <c r="Q40" s="17">
        <f t="shared" si="46"/>
        <v>1.3539666</v>
      </c>
      <c r="R40" s="15">
        <f t="shared" si="57"/>
        <v>79.16</v>
      </c>
      <c r="S40" s="17">
        <f t="shared" si="47"/>
        <v>-77.8060334</v>
      </c>
      <c r="T40" s="15">
        <f>'2'!AG15+'2'!AR15</f>
        <v>43</v>
      </c>
      <c r="U40" s="16">
        <f t="shared" si="48"/>
        <v>141.790697674419</v>
      </c>
      <c r="V40" s="15">
        <f t="shared" si="49"/>
        <v>0.276355</v>
      </c>
      <c r="W40" s="17">
        <f t="shared" si="50"/>
        <v>1583.8402489</v>
      </c>
      <c r="X40" s="15">
        <f t="shared" si="58"/>
        <v>667.22</v>
      </c>
      <c r="Y40" s="17">
        <f t="shared" si="52"/>
        <v>916.6202489</v>
      </c>
      <c r="Z40" s="18">
        <f>'2'!BA15</f>
        <v>0</v>
      </c>
      <c r="AA40" s="18">
        <f>'2'!BD39</f>
        <v>0</v>
      </c>
      <c r="AB40" s="18">
        <f>'2'!BE39</f>
        <v>0</v>
      </c>
      <c r="AC40" s="18">
        <f>'2'!BF39</f>
        <v>0</v>
      </c>
      <c r="AD40" s="17">
        <f t="shared" si="53"/>
        <v>107.024328492021</v>
      </c>
      <c r="AE40" s="19">
        <f t="shared" si="54"/>
        <v>333.779887007979</v>
      </c>
      <c r="AF40" s="2">
        <f t="shared" si="55"/>
        <v>66</v>
      </c>
      <c r="AG40" s="2">
        <f>'2'!BH15</f>
        <v>71</v>
      </c>
    </row>
    <row r="41" spans="1:33">
      <c r="A41" s="10">
        <v>46114</v>
      </c>
      <c r="B41" s="11" t="s">
        <v>3327</v>
      </c>
      <c r="C41" s="11" t="s">
        <v>3289</v>
      </c>
      <c r="D41" s="11" t="s">
        <v>3319</v>
      </c>
      <c r="E41" s="13">
        <f>SUMIFS(卸车数据!$J$6:$J$1048576,卸车数据!$R$6:$R$1048576,"&gt;="&amp;A41+TIME(13,0,0),卸车数据!$R$6:$R$1048576,"&lt;"&amp;A41+TIME(14,0,0))</f>
        <v>5814</v>
      </c>
      <c r="F41" s="23">
        <v>1735</v>
      </c>
      <c r="G41" s="22">
        <v>5781</v>
      </c>
      <c r="H41" s="15">
        <f t="shared" si="41"/>
        <v>4</v>
      </c>
      <c r="I41" s="15">
        <f t="shared" si="38"/>
        <v>100.75</v>
      </c>
      <c r="J41" s="15">
        <f>'2'!K16</f>
        <v>12</v>
      </c>
      <c r="K41" s="16">
        <f t="shared" si="42"/>
        <v>484.5</v>
      </c>
      <c r="L41" s="15">
        <f t="shared" si="56"/>
        <v>195.48</v>
      </c>
      <c r="M41" s="17">
        <f t="shared" si="43"/>
        <v>-195.48</v>
      </c>
      <c r="N41" s="15">
        <f>'2'!W16</f>
        <v>23</v>
      </c>
      <c r="O41" s="16">
        <f t="shared" si="44"/>
        <v>251.347826086957</v>
      </c>
      <c r="P41" s="15">
        <f t="shared" si="45"/>
        <v>0.06859</v>
      </c>
      <c r="Q41" s="17">
        <f t="shared" si="46"/>
        <v>372.7276626</v>
      </c>
      <c r="R41" s="15">
        <f t="shared" si="57"/>
        <v>355.42</v>
      </c>
      <c r="S41" s="17">
        <f t="shared" si="47"/>
        <v>17.3076626</v>
      </c>
      <c r="T41" s="15">
        <f>'2'!AG16+'2'!AR16</f>
        <v>31</v>
      </c>
      <c r="U41" s="16">
        <f t="shared" si="48"/>
        <v>55.9677419354839</v>
      </c>
      <c r="V41" s="15">
        <f t="shared" si="49"/>
        <v>0.276355</v>
      </c>
      <c r="W41" s="17">
        <f t="shared" si="50"/>
        <v>450.7073695</v>
      </c>
      <c r="X41" s="15">
        <f t="shared" si="58"/>
        <v>492.74</v>
      </c>
      <c r="Y41" s="17">
        <f t="shared" si="52"/>
        <v>-42.0326305</v>
      </c>
      <c r="Z41" s="18">
        <f>'2'!BA16</f>
        <v>0</v>
      </c>
      <c r="AA41" s="18">
        <f>'2'!BD40</f>
        <v>0</v>
      </c>
      <c r="AB41" s="18">
        <f>'2'!BE40</f>
        <v>0</v>
      </c>
      <c r="AC41" s="18">
        <f>'2'!BF40</f>
        <v>0</v>
      </c>
      <c r="AD41" s="17">
        <f t="shared" si="53"/>
        <v>107.024328492021</v>
      </c>
      <c r="AE41" s="19">
        <f t="shared" si="54"/>
        <v>-427.979296392021</v>
      </c>
      <c r="AF41" s="2">
        <f t="shared" si="55"/>
        <v>66</v>
      </c>
      <c r="AG41" s="2">
        <f>'2'!BH16</f>
        <v>71</v>
      </c>
    </row>
    <row r="42" spans="1:33">
      <c r="A42" s="10">
        <v>46114</v>
      </c>
      <c r="B42" s="11" t="s">
        <v>3331</v>
      </c>
      <c r="C42" s="11" t="s">
        <v>3289</v>
      </c>
      <c r="D42" s="11" t="s">
        <v>3319</v>
      </c>
      <c r="E42" s="13">
        <f>SUMIFS(卸车数据!$J$6:$J$1048576,卸车数据!$R$6:$R$1048576,"&gt;="&amp;A42+TIME(14,0,0),卸车数据!$R$6:$R$1048576,"&lt;"&amp;A42+TIME(15,0,0))</f>
        <v>5555</v>
      </c>
      <c r="F42" s="23">
        <v>1811</v>
      </c>
      <c r="G42" s="22">
        <v>9249</v>
      </c>
      <c r="H42" s="15">
        <f t="shared" si="41"/>
        <v>4</v>
      </c>
      <c r="I42" s="15">
        <f t="shared" si="38"/>
        <v>100.75</v>
      </c>
      <c r="J42" s="15">
        <f>'2'!K17</f>
        <v>12</v>
      </c>
      <c r="K42" s="16">
        <f t="shared" si="42"/>
        <v>462.916666666667</v>
      </c>
      <c r="L42" s="15">
        <f t="shared" si="56"/>
        <v>195.48</v>
      </c>
      <c r="M42" s="17">
        <f t="shared" si="43"/>
        <v>-195.48</v>
      </c>
      <c r="N42" s="15">
        <f>'2'!W17</f>
        <v>23</v>
      </c>
      <c r="O42" s="16">
        <f t="shared" si="44"/>
        <v>402.130434782609</v>
      </c>
      <c r="P42" s="15">
        <f t="shared" si="45"/>
        <v>0.06859</v>
      </c>
      <c r="Q42" s="17">
        <f t="shared" si="46"/>
        <v>596.3255754</v>
      </c>
      <c r="R42" s="15">
        <f t="shared" si="57"/>
        <v>355.42</v>
      </c>
      <c r="S42" s="17">
        <f t="shared" si="47"/>
        <v>240.9055754</v>
      </c>
      <c r="T42" s="15">
        <f>'2'!AG17+'2'!AR17</f>
        <v>31</v>
      </c>
      <c r="U42" s="16">
        <f t="shared" si="48"/>
        <v>58.4193548387097</v>
      </c>
      <c r="V42" s="15">
        <f t="shared" si="49"/>
        <v>0.276355</v>
      </c>
      <c r="W42" s="17">
        <f t="shared" si="50"/>
        <v>470.4501707</v>
      </c>
      <c r="X42" s="15">
        <f t="shared" si="58"/>
        <v>492.74</v>
      </c>
      <c r="Y42" s="17">
        <f t="shared" si="52"/>
        <v>-22.2898293</v>
      </c>
      <c r="Z42" s="18">
        <f>'2'!BA17</f>
        <v>0</v>
      </c>
      <c r="AA42" s="18">
        <f>'2'!BD41</f>
        <v>0</v>
      </c>
      <c r="AB42" s="18">
        <f>'2'!BE41</f>
        <v>0</v>
      </c>
      <c r="AC42" s="18">
        <f>'2'!BF41</f>
        <v>0</v>
      </c>
      <c r="AD42" s="17">
        <f t="shared" si="53"/>
        <v>107.024328492021</v>
      </c>
      <c r="AE42" s="19">
        <f t="shared" si="54"/>
        <v>-184.638582392021</v>
      </c>
      <c r="AF42" s="2">
        <f t="shared" si="55"/>
        <v>66</v>
      </c>
      <c r="AG42" s="2">
        <f>'2'!BH17</f>
        <v>71</v>
      </c>
    </row>
    <row r="43" spans="1:33">
      <c r="A43" s="10">
        <v>46114</v>
      </c>
      <c r="B43" s="11" t="s">
        <v>3334</v>
      </c>
      <c r="C43" s="11" t="s">
        <v>3289</v>
      </c>
      <c r="D43" s="12" t="s">
        <v>22</v>
      </c>
      <c r="E43" s="13">
        <f>SUMIFS(卸车数据!$J$6:$J$1048576,卸车数据!$R$6:$R$1048576,"&gt;="&amp;A43+TIME(15,0,0),卸车数据!$R$6:$R$1048576,"&lt;"&amp;A43+TIME(16,0,0))</f>
        <v>0</v>
      </c>
      <c r="F43" s="23">
        <v>4367</v>
      </c>
      <c r="G43" s="22">
        <v>10842</v>
      </c>
      <c r="H43" s="15">
        <f t="shared" si="41"/>
        <v>4</v>
      </c>
      <c r="I43" s="15">
        <f t="shared" si="38"/>
        <v>100.75</v>
      </c>
      <c r="J43" s="15">
        <f>'2'!K18</f>
        <v>12</v>
      </c>
      <c r="K43" s="16">
        <f t="shared" si="42"/>
        <v>0</v>
      </c>
      <c r="L43" s="15">
        <f t="shared" si="56"/>
        <v>195.48</v>
      </c>
      <c r="M43" s="17">
        <f t="shared" si="43"/>
        <v>-195.48</v>
      </c>
      <c r="N43" s="15">
        <f>'2'!W18</f>
        <v>23</v>
      </c>
      <c r="O43" s="16">
        <f t="shared" si="44"/>
        <v>471.391304347826</v>
      </c>
      <c r="P43" s="15">
        <f t="shared" si="45"/>
        <v>0.06859</v>
      </c>
      <c r="Q43" s="17">
        <f t="shared" si="46"/>
        <v>699.0336132</v>
      </c>
      <c r="R43" s="15">
        <f t="shared" si="57"/>
        <v>355.42</v>
      </c>
      <c r="S43" s="17">
        <f t="shared" si="47"/>
        <v>343.6136132</v>
      </c>
      <c r="T43" s="15">
        <f>'2'!AG18+'2'!AR18</f>
        <v>31</v>
      </c>
      <c r="U43" s="16">
        <f t="shared" si="48"/>
        <v>140.870967741935</v>
      </c>
      <c r="V43" s="15">
        <f t="shared" si="49"/>
        <v>0.276355</v>
      </c>
      <c r="W43" s="17">
        <f t="shared" si="50"/>
        <v>1134.4317479</v>
      </c>
      <c r="X43" s="15">
        <f t="shared" si="58"/>
        <v>492.74</v>
      </c>
      <c r="Y43" s="17">
        <f t="shared" si="52"/>
        <v>641.6917479</v>
      </c>
      <c r="Z43" s="18">
        <f>'2'!BA18</f>
        <v>0</v>
      </c>
      <c r="AA43" s="18">
        <f>'2'!BD42</f>
        <v>0</v>
      </c>
      <c r="AB43" s="18">
        <f>'2'!BE42</f>
        <v>0</v>
      </c>
      <c r="AC43" s="18">
        <f>'2'!BF42</f>
        <v>0</v>
      </c>
      <c r="AD43" s="17">
        <f t="shared" si="53"/>
        <v>107.024328492021</v>
      </c>
      <c r="AE43" s="19">
        <f t="shared" si="54"/>
        <v>582.051032607979</v>
      </c>
      <c r="AF43" s="2">
        <f t="shared" si="55"/>
        <v>66</v>
      </c>
      <c r="AG43" s="2">
        <f>'2'!BH18</f>
        <v>71</v>
      </c>
    </row>
    <row r="44" spans="1:33">
      <c r="A44" s="10">
        <v>46114</v>
      </c>
      <c r="B44" s="11" t="s">
        <v>3339</v>
      </c>
      <c r="C44" s="11" t="s">
        <v>3289</v>
      </c>
      <c r="D44" s="12" t="s">
        <v>22</v>
      </c>
      <c r="E44" s="13">
        <f>SUMIFS(卸车数据!$J$6:$J$1048576,卸车数据!$R$6:$R$1048576,"&gt;="&amp;A44+TIME(16,0,0),卸车数据!$R$6:$R$1048576,"&lt;"&amp;A44+TIME(17,0,0))</f>
        <v>5283</v>
      </c>
      <c r="F44" s="23">
        <v>3251</v>
      </c>
      <c r="G44" s="22">
        <v>7308</v>
      </c>
      <c r="H44" s="15">
        <f t="shared" si="41"/>
        <v>4</v>
      </c>
      <c r="I44" s="15">
        <f t="shared" si="38"/>
        <v>100.75</v>
      </c>
      <c r="J44" s="15">
        <f>'2'!K19</f>
        <v>12</v>
      </c>
      <c r="K44" s="16">
        <f t="shared" si="42"/>
        <v>440.25</v>
      </c>
      <c r="L44" s="15">
        <f t="shared" si="56"/>
        <v>195.48</v>
      </c>
      <c r="M44" s="17">
        <f t="shared" si="43"/>
        <v>-195.48</v>
      </c>
      <c r="N44" s="15">
        <f>'2'!W19</f>
        <v>23</v>
      </c>
      <c r="O44" s="16">
        <f t="shared" si="44"/>
        <v>317.739130434783</v>
      </c>
      <c r="P44" s="15">
        <f t="shared" si="45"/>
        <v>0.06859</v>
      </c>
      <c r="Q44" s="17">
        <f t="shared" si="46"/>
        <v>471.1803768</v>
      </c>
      <c r="R44" s="15">
        <f t="shared" si="57"/>
        <v>355.42</v>
      </c>
      <c r="S44" s="17">
        <f t="shared" si="47"/>
        <v>115.7603768</v>
      </c>
      <c r="T44" s="15">
        <f>'2'!AG19+'2'!AR19</f>
        <v>31</v>
      </c>
      <c r="U44" s="16">
        <f t="shared" si="48"/>
        <v>104.870967741935</v>
      </c>
      <c r="V44" s="15">
        <f t="shared" si="49"/>
        <v>0.276355</v>
      </c>
      <c r="W44" s="17">
        <f t="shared" si="50"/>
        <v>844.5242987</v>
      </c>
      <c r="X44" s="15">
        <f t="shared" si="58"/>
        <v>492.74</v>
      </c>
      <c r="Y44" s="17">
        <f t="shared" si="52"/>
        <v>351.7842987</v>
      </c>
      <c r="Z44" s="18">
        <f>'2'!BA19</f>
        <v>0</v>
      </c>
      <c r="AA44" s="18">
        <f>'2'!BD43</f>
        <v>0</v>
      </c>
      <c r="AB44" s="18">
        <f>'2'!BE43</f>
        <v>0</v>
      </c>
      <c r="AC44" s="18">
        <f>'2'!BF43</f>
        <v>0</v>
      </c>
      <c r="AD44" s="17">
        <f t="shared" si="53"/>
        <v>107.024328492021</v>
      </c>
      <c r="AE44" s="19">
        <f t="shared" si="54"/>
        <v>64.2903470079792</v>
      </c>
      <c r="AF44" s="2">
        <f t="shared" si="55"/>
        <v>66</v>
      </c>
      <c r="AG44" s="2">
        <f>'2'!BH19</f>
        <v>71</v>
      </c>
    </row>
    <row r="45" spans="1:33">
      <c r="A45" s="10">
        <v>46114</v>
      </c>
      <c r="B45" s="11" t="s">
        <v>3344</v>
      </c>
      <c r="C45" s="11" t="s">
        <v>3289</v>
      </c>
      <c r="D45" s="11" t="s">
        <v>3319</v>
      </c>
      <c r="E45" s="13">
        <f>SUMIFS(卸车数据!$J$6:$J$1048576,卸车数据!$R$6:$R$1048576,"&gt;="&amp;A45+TIME(17,0,0),卸车数据!$R$6:$R$1048576,"&lt;"&amp;A45+TIME(18,0,0))</f>
        <v>173</v>
      </c>
      <c r="F45" s="23">
        <v>605</v>
      </c>
      <c r="G45" s="22">
        <v>0</v>
      </c>
      <c r="H45" s="15">
        <f t="shared" si="41"/>
        <v>4</v>
      </c>
      <c r="I45" s="15">
        <f t="shared" si="38"/>
        <v>100.75</v>
      </c>
      <c r="J45" s="15">
        <f>'2'!K20</f>
        <v>12</v>
      </c>
      <c r="K45" s="16">
        <f t="shared" si="42"/>
        <v>14.4166666666667</v>
      </c>
      <c r="L45" s="15">
        <f t="shared" si="56"/>
        <v>195.48</v>
      </c>
      <c r="M45" s="17">
        <f t="shared" si="43"/>
        <v>-195.48</v>
      </c>
      <c r="N45" s="15">
        <f>'2'!W20</f>
        <v>23</v>
      </c>
      <c r="O45" s="16">
        <f t="shared" si="44"/>
        <v>0</v>
      </c>
      <c r="P45" s="15">
        <f t="shared" si="45"/>
        <v>0.06859</v>
      </c>
      <c r="Q45" s="17">
        <f t="shared" si="46"/>
        <v>0</v>
      </c>
      <c r="R45" s="15">
        <f t="shared" si="57"/>
        <v>355.42</v>
      </c>
      <c r="S45" s="17">
        <f t="shared" si="47"/>
        <v>-355.42</v>
      </c>
      <c r="T45" s="15">
        <f>'2'!AG20+'2'!AR20</f>
        <v>31</v>
      </c>
      <c r="U45" s="16">
        <f t="shared" si="48"/>
        <v>19.5161290322581</v>
      </c>
      <c r="V45" s="15">
        <f t="shared" si="49"/>
        <v>0.276355</v>
      </c>
      <c r="W45" s="17">
        <f t="shared" si="50"/>
        <v>157.1630885</v>
      </c>
      <c r="X45" s="15">
        <f t="shared" si="58"/>
        <v>492.74</v>
      </c>
      <c r="Y45" s="17">
        <f t="shared" si="52"/>
        <v>-335.5769115</v>
      </c>
      <c r="Z45" s="18">
        <f>'2'!BA20</f>
        <v>0</v>
      </c>
      <c r="AA45" s="18">
        <f>'2'!BD44</f>
        <v>0</v>
      </c>
      <c r="AB45" s="18">
        <f>'2'!BE44</f>
        <v>0</v>
      </c>
      <c r="AC45" s="18">
        <f>'2'!BF44</f>
        <v>0</v>
      </c>
      <c r="AD45" s="17">
        <f t="shared" si="53"/>
        <v>107.024328492021</v>
      </c>
      <c r="AE45" s="19">
        <f t="shared" si="54"/>
        <v>-1094.25123999202</v>
      </c>
      <c r="AF45" s="2">
        <f t="shared" si="55"/>
        <v>66</v>
      </c>
      <c r="AG45" s="2">
        <f>'2'!BH20</f>
        <v>71</v>
      </c>
    </row>
    <row r="46" spans="1:33">
      <c r="A46" s="10">
        <v>46114</v>
      </c>
      <c r="B46" s="11" t="s">
        <v>3347</v>
      </c>
      <c r="C46" s="11" t="s">
        <v>3265</v>
      </c>
      <c r="D46" s="11" t="s">
        <v>3319</v>
      </c>
      <c r="E46" s="13">
        <f>SUMIFS(卸车数据!$J$6:$J$1048576,卸车数据!$R$6:$R$1048576,"&gt;="&amp;A46+TIME(18,0,0),卸车数据!$R$6:$R$1048576,"&lt;"&amp;A46+TIME(19,0,0))</f>
        <v>16761</v>
      </c>
      <c r="F46" s="24">
        <v>4222</v>
      </c>
      <c r="G46" s="22">
        <v>730</v>
      </c>
      <c r="H46" s="15">
        <f t="shared" si="41"/>
        <v>2</v>
      </c>
      <c r="I46" s="15">
        <f t="shared" si="38"/>
        <v>44.0122222222222</v>
      </c>
      <c r="J46" s="15">
        <f>'2'!K21</f>
        <v>24</v>
      </c>
      <c r="K46" s="16">
        <f t="shared" si="42"/>
        <v>698.375</v>
      </c>
      <c r="L46" s="15">
        <f t="shared" ref="L46:L51" si="59">J46*14.62+21</f>
        <v>371.88</v>
      </c>
      <c r="M46" s="17">
        <f t="shared" si="43"/>
        <v>-371.88</v>
      </c>
      <c r="N46" s="15">
        <f>'2'!W21</f>
        <v>15</v>
      </c>
      <c r="O46" s="16">
        <f t="shared" si="44"/>
        <v>48.6666666666667</v>
      </c>
      <c r="P46" s="15">
        <f t="shared" si="45"/>
        <v>0.06859</v>
      </c>
      <c r="Q46" s="17">
        <f t="shared" si="46"/>
        <v>47.066458</v>
      </c>
      <c r="R46" s="15">
        <f t="shared" ref="R46:R51" si="60">(N46-13)*14.62+13*18+21</f>
        <v>284.24</v>
      </c>
      <c r="S46" s="17">
        <f t="shared" si="47"/>
        <v>-237.173542</v>
      </c>
      <c r="T46" s="15">
        <f>'2'!AG21+'2'!AR21</f>
        <v>57</v>
      </c>
      <c r="U46" s="16">
        <f t="shared" si="48"/>
        <v>74.0701754385965</v>
      </c>
      <c r="V46" s="15">
        <f t="shared" si="49"/>
        <v>0.276355</v>
      </c>
      <c r="W46" s="17">
        <f t="shared" si="50"/>
        <v>1096.7645614</v>
      </c>
      <c r="X46" s="15">
        <f t="shared" ref="X46:X51" si="61">(T46-13)*14.62+13*18+42</f>
        <v>919.28</v>
      </c>
      <c r="Y46" s="17">
        <f t="shared" si="52"/>
        <v>177.4845614</v>
      </c>
      <c r="Z46" s="18">
        <f>'2'!BA21</f>
        <v>4</v>
      </c>
      <c r="AA46" s="18">
        <f>'2'!BD45</f>
        <v>0</v>
      </c>
      <c r="AB46" s="18">
        <f>'2'!BE45</f>
        <v>0</v>
      </c>
      <c r="AC46" s="18">
        <f>'2'!BF45</f>
        <v>0</v>
      </c>
      <c r="AD46" s="17">
        <f t="shared" si="53"/>
        <v>165.504328492021</v>
      </c>
      <c r="AE46" s="19">
        <f t="shared" si="54"/>
        <v>-641.085531314243</v>
      </c>
      <c r="AF46" s="2">
        <f t="shared" si="55"/>
        <v>100</v>
      </c>
      <c r="AG46" s="2">
        <f>'2'!BH21</f>
        <v>104</v>
      </c>
    </row>
    <row r="47" spans="1:33">
      <c r="A47" s="10">
        <v>46114</v>
      </c>
      <c r="B47" s="11" t="s">
        <v>3351</v>
      </c>
      <c r="C47" s="11" t="s">
        <v>3265</v>
      </c>
      <c r="D47" s="11" t="s">
        <v>3319</v>
      </c>
      <c r="E47" s="13">
        <f>SUMIFS(卸车数据!$J$6:$J$1048576,卸车数据!$R$6:$R$1048576,"&gt;="&amp;A47+TIME(19,0,0),卸车数据!$R$6:$R$1048576,"&lt;"&amp;A47+TIME(20,0,0))</f>
        <v>32462</v>
      </c>
      <c r="F47" s="24">
        <v>5872</v>
      </c>
      <c r="G47" s="22">
        <v>12913</v>
      </c>
      <c r="H47" s="15">
        <f t="shared" si="41"/>
        <v>2</v>
      </c>
      <c r="I47" s="15">
        <f t="shared" si="38"/>
        <v>44.0122222222222</v>
      </c>
      <c r="J47" s="15">
        <f>'2'!K22</f>
        <v>22</v>
      </c>
      <c r="K47" s="16">
        <f t="shared" si="42"/>
        <v>1475.54545454545</v>
      </c>
      <c r="L47" s="15">
        <f t="shared" si="59"/>
        <v>342.64</v>
      </c>
      <c r="M47" s="17">
        <f t="shared" si="43"/>
        <v>-342.64</v>
      </c>
      <c r="N47" s="15">
        <f>'2'!W22</f>
        <v>30</v>
      </c>
      <c r="O47" s="16">
        <f t="shared" si="44"/>
        <v>430.433333333333</v>
      </c>
      <c r="P47" s="15">
        <f t="shared" si="45"/>
        <v>0.06859</v>
      </c>
      <c r="Q47" s="17">
        <f t="shared" si="46"/>
        <v>832.5605098</v>
      </c>
      <c r="R47" s="15">
        <f t="shared" si="60"/>
        <v>503.54</v>
      </c>
      <c r="S47" s="17">
        <f t="shared" si="47"/>
        <v>329.0205098</v>
      </c>
      <c r="T47" s="15">
        <f>'2'!AG22+'2'!AR22</f>
        <v>44</v>
      </c>
      <c r="U47" s="16">
        <f t="shared" si="48"/>
        <v>133.454545454545</v>
      </c>
      <c r="V47" s="15">
        <f t="shared" si="49"/>
        <v>0.276355</v>
      </c>
      <c r="W47" s="17">
        <f t="shared" si="50"/>
        <v>1525.3911664</v>
      </c>
      <c r="X47" s="15">
        <f t="shared" si="61"/>
        <v>729.22</v>
      </c>
      <c r="Y47" s="17">
        <f t="shared" si="52"/>
        <v>796.1711664</v>
      </c>
      <c r="Z47" s="18">
        <f>'2'!BA22</f>
        <v>4</v>
      </c>
      <c r="AA47" s="18">
        <f>'2'!BD46</f>
        <v>0</v>
      </c>
      <c r="AB47" s="18">
        <f>'2'!BE46</f>
        <v>0</v>
      </c>
      <c r="AC47" s="18">
        <f>'2'!BF46</f>
        <v>0</v>
      </c>
      <c r="AD47" s="17">
        <f t="shared" si="53"/>
        <v>165.504328492021</v>
      </c>
      <c r="AE47" s="19">
        <f t="shared" si="54"/>
        <v>573.035125485757</v>
      </c>
      <c r="AF47" s="2">
        <f t="shared" si="55"/>
        <v>100</v>
      </c>
      <c r="AG47" s="2">
        <f>'2'!BH22</f>
        <v>104</v>
      </c>
    </row>
    <row r="48" spans="1:33">
      <c r="A48" s="10">
        <v>46114</v>
      </c>
      <c r="B48" s="11" t="s">
        <v>3352</v>
      </c>
      <c r="C48" s="11" t="s">
        <v>3265</v>
      </c>
      <c r="D48" s="11" t="s">
        <v>3319</v>
      </c>
      <c r="E48" s="13">
        <f>SUMIFS(卸车数据!$J$6:$J$1048576,卸车数据!$R$6:$R$1048576,"&gt;="&amp;A48+TIME(20,0,0),卸车数据!$R$6:$R$1048576,"&lt;"&amp;A48+TIME(21,0,0))</f>
        <v>17152</v>
      </c>
      <c r="F48" s="24">
        <v>5882</v>
      </c>
      <c r="G48" s="14">
        <v>13576</v>
      </c>
      <c r="H48" s="15">
        <f t="shared" si="41"/>
        <v>2</v>
      </c>
      <c r="I48" s="15">
        <f t="shared" si="38"/>
        <v>44.0122222222222</v>
      </c>
      <c r="J48" s="15">
        <f>'2'!K23</f>
        <v>22</v>
      </c>
      <c r="K48" s="16">
        <f t="shared" si="42"/>
        <v>779.636363636364</v>
      </c>
      <c r="L48" s="15">
        <f t="shared" si="59"/>
        <v>342.64</v>
      </c>
      <c r="M48" s="17">
        <f t="shared" si="43"/>
        <v>-342.64</v>
      </c>
      <c r="N48" s="15">
        <f>'2'!W23</f>
        <v>30</v>
      </c>
      <c r="O48" s="16">
        <f t="shared" si="44"/>
        <v>452.533333333333</v>
      </c>
      <c r="P48" s="15">
        <f t="shared" si="45"/>
        <v>0.06859</v>
      </c>
      <c r="Q48" s="17">
        <f t="shared" si="46"/>
        <v>875.3071696</v>
      </c>
      <c r="R48" s="15">
        <f t="shared" si="60"/>
        <v>503.54</v>
      </c>
      <c r="S48" s="17">
        <f t="shared" si="47"/>
        <v>371.7671696</v>
      </c>
      <c r="T48" s="15">
        <f>'2'!AG23+'2'!AR23</f>
        <v>44</v>
      </c>
      <c r="U48" s="16">
        <f t="shared" si="48"/>
        <v>133.681818181818</v>
      </c>
      <c r="V48" s="15">
        <f t="shared" si="49"/>
        <v>0.276355</v>
      </c>
      <c r="W48" s="17">
        <f t="shared" si="50"/>
        <v>1527.9889034</v>
      </c>
      <c r="X48" s="15">
        <f t="shared" si="61"/>
        <v>729.22</v>
      </c>
      <c r="Y48" s="17">
        <f t="shared" si="52"/>
        <v>798.7689034</v>
      </c>
      <c r="Z48" s="18">
        <f>'2'!BA23</f>
        <v>4</v>
      </c>
      <c r="AA48" s="18">
        <f>'2'!BD47</f>
        <v>0</v>
      </c>
      <c r="AB48" s="18">
        <f>'2'!BE47</f>
        <v>0</v>
      </c>
      <c r="AC48" s="18">
        <f>'2'!BF47</f>
        <v>0</v>
      </c>
      <c r="AD48" s="17">
        <f t="shared" si="53"/>
        <v>165.504328492021</v>
      </c>
      <c r="AE48" s="19">
        <f t="shared" si="54"/>
        <v>618.379522285756</v>
      </c>
      <c r="AF48" s="2">
        <f t="shared" si="55"/>
        <v>100</v>
      </c>
      <c r="AG48" s="2">
        <f>'2'!BH23</f>
        <v>104</v>
      </c>
    </row>
    <row r="49" spans="1:33">
      <c r="A49" s="10">
        <v>46114</v>
      </c>
      <c r="B49" s="11" t="s">
        <v>3354</v>
      </c>
      <c r="C49" s="11" t="s">
        <v>3265</v>
      </c>
      <c r="D49" s="11" t="s">
        <v>3319</v>
      </c>
      <c r="E49" s="13">
        <f>SUMIFS(卸车数据!$J$6:$J$1048576,卸车数据!$R$6:$R$1048576,"&gt;="&amp;A49+TIME(21,0,0),卸车数据!$R$6:$R$1048576,"&lt;"&amp;A49+TIME(22,0,0))</f>
        <v>5</v>
      </c>
      <c r="F49" s="24">
        <v>5669</v>
      </c>
      <c r="G49" s="14">
        <v>15137</v>
      </c>
      <c r="H49" s="15">
        <f t="shared" si="41"/>
        <v>2</v>
      </c>
      <c r="I49" s="15">
        <f t="shared" si="38"/>
        <v>44.0122222222222</v>
      </c>
      <c r="J49" s="15">
        <f>'2'!K24</f>
        <v>22</v>
      </c>
      <c r="K49" s="16">
        <f t="shared" si="42"/>
        <v>0.227272727272727</v>
      </c>
      <c r="L49" s="15">
        <f t="shared" si="59"/>
        <v>342.64</v>
      </c>
      <c r="M49" s="17">
        <f t="shared" si="43"/>
        <v>-342.64</v>
      </c>
      <c r="N49" s="15">
        <f>'2'!W24</f>
        <v>30</v>
      </c>
      <c r="O49" s="16">
        <f t="shared" si="44"/>
        <v>504.566666666667</v>
      </c>
      <c r="P49" s="15">
        <f t="shared" si="45"/>
        <v>0.06859</v>
      </c>
      <c r="Q49" s="17">
        <f t="shared" si="46"/>
        <v>975.9520202</v>
      </c>
      <c r="R49" s="15">
        <f t="shared" si="60"/>
        <v>503.54</v>
      </c>
      <c r="S49" s="17">
        <f t="shared" si="47"/>
        <v>472.4120202</v>
      </c>
      <c r="T49" s="15">
        <f>'2'!AG24+'2'!AR24</f>
        <v>44</v>
      </c>
      <c r="U49" s="16">
        <f t="shared" si="48"/>
        <v>128.840909090909</v>
      </c>
      <c r="V49" s="15">
        <f t="shared" si="49"/>
        <v>0.276355</v>
      </c>
      <c r="W49" s="17">
        <f t="shared" si="50"/>
        <v>1472.6571053</v>
      </c>
      <c r="X49" s="15">
        <f t="shared" si="61"/>
        <v>729.22</v>
      </c>
      <c r="Y49" s="17">
        <f t="shared" si="52"/>
        <v>743.4371053</v>
      </c>
      <c r="Z49" s="18">
        <f>'2'!BA24</f>
        <v>4</v>
      </c>
      <c r="AA49" s="18">
        <f>'2'!BD48</f>
        <v>0</v>
      </c>
      <c r="AB49" s="18">
        <f>'2'!BE48</f>
        <v>0</v>
      </c>
      <c r="AC49" s="18">
        <f>'2'!BF48</f>
        <v>0</v>
      </c>
      <c r="AD49" s="17">
        <f t="shared" si="53"/>
        <v>165.504328492021</v>
      </c>
      <c r="AE49" s="19">
        <f t="shared" si="54"/>
        <v>663.692574785757</v>
      </c>
      <c r="AF49" s="2">
        <f t="shared" si="55"/>
        <v>100</v>
      </c>
      <c r="AG49" s="2">
        <f>'2'!BH24</f>
        <v>104</v>
      </c>
    </row>
    <row r="50" spans="1:33">
      <c r="A50" s="10">
        <v>46114</v>
      </c>
      <c r="B50" s="11" t="s">
        <v>3355</v>
      </c>
      <c r="C50" s="11" t="s">
        <v>3265</v>
      </c>
      <c r="D50" s="11" t="s">
        <v>3319</v>
      </c>
      <c r="E50" s="13">
        <f>SUMIFS(卸车数据!$J$6:$J$1048576,卸车数据!$R$6:$R$1048576,"&gt;="&amp;A50+TIME(22,0,0),卸车数据!$R$6:$R$1048576,"&lt;"&amp;A50+TIME(23,0,0))</f>
        <v>6512</v>
      </c>
      <c r="F50" s="24">
        <v>3017</v>
      </c>
      <c r="G50" s="14">
        <v>5730</v>
      </c>
      <c r="H50" s="15">
        <f t="shared" si="41"/>
        <v>2</v>
      </c>
      <c r="I50" s="15">
        <f t="shared" si="38"/>
        <v>44.0122222222222</v>
      </c>
      <c r="J50" s="15">
        <f>'2'!K25</f>
        <v>22</v>
      </c>
      <c r="K50" s="16">
        <f t="shared" si="42"/>
        <v>296</v>
      </c>
      <c r="L50" s="15">
        <f t="shared" si="59"/>
        <v>342.64</v>
      </c>
      <c r="M50" s="17">
        <f t="shared" si="43"/>
        <v>-342.64</v>
      </c>
      <c r="N50" s="15">
        <f>'2'!W25</f>
        <v>30</v>
      </c>
      <c r="O50" s="16">
        <f t="shared" si="44"/>
        <v>191</v>
      </c>
      <c r="P50" s="15">
        <f t="shared" si="45"/>
        <v>0.06859</v>
      </c>
      <c r="Q50" s="17">
        <f t="shared" si="46"/>
        <v>369.439458</v>
      </c>
      <c r="R50" s="15">
        <f t="shared" si="60"/>
        <v>503.54</v>
      </c>
      <c r="S50" s="17">
        <f t="shared" si="47"/>
        <v>-134.100542</v>
      </c>
      <c r="T50" s="15">
        <f>'2'!AG25+'2'!AR25</f>
        <v>44</v>
      </c>
      <c r="U50" s="16">
        <f t="shared" si="48"/>
        <v>68.5681818181818</v>
      </c>
      <c r="V50" s="15">
        <f t="shared" si="49"/>
        <v>0.276355</v>
      </c>
      <c r="W50" s="17">
        <f t="shared" si="50"/>
        <v>783.7372529</v>
      </c>
      <c r="X50" s="15">
        <f t="shared" si="61"/>
        <v>729.22</v>
      </c>
      <c r="Y50" s="17">
        <f t="shared" si="52"/>
        <v>54.5172528999998</v>
      </c>
      <c r="Z50" s="18">
        <f>'2'!BA25</f>
        <v>4</v>
      </c>
      <c r="AA50" s="18">
        <f>'2'!BD49</f>
        <v>0</v>
      </c>
      <c r="AB50" s="18">
        <f>'2'!BE49</f>
        <v>0</v>
      </c>
      <c r="AC50" s="18">
        <f>'2'!BF49</f>
        <v>0</v>
      </c>
      <c r="AD50" s="17">
        <f t="shared" si="53"/>
        <v>165.504328492021</v>
      </c>
      <c r="AE50" s="19">
        <f t="shared" si="54"/>
        <v>-631.739839814243</v>
      </c>
      <c r="AF50" s="2">
        <f t="shared" si="55"/>
        <v>100</v>
      </c>
      <c r="AG50" s="2">
        <f>'2'!BH25</f>
        <v>104</v>
      </c>
    </row>
    <row r="51" spans="1:33">
      <c r="A51" s="10">
        <v>46114</v>
      </c>
      <c r="B51" s="11" t="s">
        <v>3357</v>
      </c>
      <c r="C51" s="11" t="s">
        <v>3265</v>
      </c>
      <c r="D51" s="12" t="s">
        <v>3311</v>
      </c>
      <c r="E51" s="13">
        <f>SUMIFS(卸车数据!$J$6:$J$1048576,卸车数据!$R$6:$R$1048576,"&gt;="&amp;A51+TIME(23,0,0),卸车数据!$R$6:$R$1048576,"&lt;"&amp;A51+TIME(0,0,0))</f>
        <v>0</v>
      </c>
      <c r="F51" s="24">
        <v>3732</v>
      </c>
      <c r="G51" s="14">
        <v>7445</v>
      </c>
      <c r="H51" s="15">
        <f t="shared" si="41"/>
        <v>2</v>
      </c>
      <c r="I51" s="15">
        <f t="shared" si="38"/>
        <v>44.0122222222222</v>
      </c>
      <c r="J51" s="15">
        <f>'2'!K26</f>
        <v>17</v>
      </c>
      <c r="K51" s="16">
        <f t="shared" si="42"/>
        <v>0</v>
      </c>
      <c r="L51" s="15">
        <f t="shared" si="59"/>
        <v>269.54</v>
      </c>
      <c r="M51" s="17">
        <f t="shared" si="43"/>
        <v>-269.54</v>
      </c>
      <c r="N51" s="15">
        <f>'2'!W26</f>
        <v>25</v>
      </c>
      <c r="O51" s="16">
        <f t="shared" si="44"/>
        <v>297.8</v>
      </c>
      <c r="P51" s="15">
        <f t="shared" si="45"/>
        <v>0.06859</v>
      </c>
      <c r="Q51" s="17">
        <f t="shared" si="46"/>
        <v>480.013397</v>
      </c>
      <c r="R51" s="15">
        <f t="shared" si="60"/>
        <v>430.44</v>
      </c>
      <c r="S51" s="17">
        <f t="shared" si="47"/>
        <v>49.5733969999999</v>
      </c>
      <c r="T51" s="15">
        <f>'2'!AG26+'2'!AR26</f>
        <v>46</v>
      </c>
      <c r="U51" s="16">
        <f t="shared" si="48"/>
        <v>81.1304347826087</v>
      </c>
      <c r="V51" s="15">
        <f t="shared" si="49"/>
        <v>0.276355</v>
      </c>
      <c r="W51" s="17">
        <f t="shared" si="50"/>
        <v>969.4754484</v>
      </c>
      <c r="X51" s="15">
        <f t="shared" si="61"/>
        <v>758.46</v>
      </c>
      <c r="Y51" s="17">
        <f t="shared" si="52"/>
        <v>211.0154484</v>
      </c>
      <c r="Z51" s="18">
        <f>'2'!BA26</f>
        <v>4</v>
      </c>
      <c r="AA51" s="18">
        <f>'2'!BD50</f>
        <v>0</v>
      </c>
      <c r="AB51" s="18">
        <f>'2'!BE50</f>
        <v>0</v>
      </c>
      <c r="AC51" s="18">
        <f>'2'!BF50</f>
        <v>0</v>
      </c>
      <c r="AD51" s="17">
        <f t="shared" si="53"/>
        <v>165.504328492021</v>
      </c>
      <c r="AE51" s="19">
        <f t="shared" si="54"/>
        <v>-218.467705314243</v>
      </c>
      <c r="AF51" s="2">
        <f t="shared" si="55"/>
        <v>92</v>
      </c>
      <c r="AG51" s="2">
        <f>'2'!BH26</f>
        <v>96</v>
      </c>
    </row>
    <row r="52" spans="1:33">
      <c r="A52" s="10"/>
      <c r="B52" s="11"/>
      <c r="C52" s="11"/>
      <c r="D52" s="12"/>
      <c r="E52" s="13"/>
      <c r="F52" s="19">
        <f>SUM(F28:F51)</f>
        <v>80982</v>
      </c>
      <c r="G52" s="19">
        <f>SUM(G28:G51)</f>
        <v>166596</v>
      </c>
      <c r="H52" s="15"/>
      <c r="I52" s="15"/>
      <c r="J52" s="15"/>
      <c r="K52" s="16"/>
      <c r="L52" s="15"/>
      <c r="M52" s="17"/>
      <c r="N52" s="15"/>
      <c r="O52" s="16"/>
      <c r="P52" s="15"/>
      <c r="Q52" s="17"/>
      <c r="R52" s="15"/>
      <c r="S52" s="17"/>
      <c r="T52" s="15"/>
      <c r="U52" s="16"/>
      <c r="V52" s="15"/>
      <c r="W52" s="17"/>
      <c r="X52" s="15"/>
      <c r="Y52" s="17"/>
      <c r="Z52" s="18"/>
      <c r="AA52" s="18"/>
      <c r="AB52" s="18"/>
      <c r="AC52" s="18"/>
      <c r="AD52" s="17"/>
      <c r="AE52" s="19">
        <f>SUM(AE28:AE51)</f>
        <v>-3790.30853769739</v>
      </c>
    </row>
    <row r="53" spans="1:33">
      <c r="A53" s="10">
        <v>46115</v>
      </c>
      <c r="B53" s="11" t="s">
        <v>3264</v>
      </c>
      <c r="C53" s="11" t="s">
        <v>3265</v>
      </c>
      <c r="D53" s="12" t="s">
        <v>22</v>
      </c>
      <c r="E53" s="13">
        <f>SUMIFS(卸车数据!$J$6:$J$1048576,卸车数据!$R$6:$R$1048576,"&gt;="&amp;A53+TIME(0,0,0),卸车数据!$R$6:$R$1048576,"&lt;"&amp;A53+TIME(1,0,0))</f>
        <v>19525</v>
      </c>
      <c r="F53" s="13">
        <v>1290</v>
      </c>
      <c r="G53" s="14">
        <v>5239</v>
      </c>
      <c r="H53" s="15">
        <f t="shared" ref="H53:H76" si="62">IF(C53="夜班",2,4)</f>
        <v>2</v>
      </c>
      <c r="I53" s="15">
        <f t="shared" ref="I53:I76" si="63">IF(H53=2,21.79+16000/30/24,25.75+12000/30/24*2+30000/30/24)</f>
        <v>44.0122222222222</v>
      </c>
      <c r="J53" s="15">
        <f>'3'!K3</f>
        <v>17</v>
      </c>
      <c r="K53" s="16">
        <f t="shared" ref="K53:K76" si="64">E53/J53</f>
        <v>1148.52941176471</v>
      </c>
      <c r="L53" s="15">
        <f t="shared" ref="L53:L59" si="65">J53*14.62+21</f>
        <v>269.54</v>
      </c>
      <c r="M53" s="17">
        <f t="shared" ref="M53:M76" si="66">0-L53</f>
        <v>-269.54</v>
      </c>
      <c r="N53" s="15">
        <f>'3'!W3</f>
        <v>25</v>
      </c>
      <c r="O53" s="16">
        <f t="shared" ref="O53:O76" si="67">G53/N53</f>
        <v>209.56</v>
      </c>
      <c r="P53" s="15">
        <f>0.0722*0.95</f>
        <v>0.06859</v>
      </c>
      <c r="Q53" s="17">
        <f t="shared" ref="Q53:Q76" si="68">P53*G53*0.94</f>
        <v>337.7824294</v>
      </c>
      <c r="R53" s="15">
        <f t="shared" ref="R53:R59" si="69">(N53-13)*14.62+13*18+21</f>
        <v>430.44</v>
      </c>
      <c r="S53" s="17">
        <f t="shared" ref="S53:S76" si="70">Q53-R53</f>
        <v>-92.6575706</v>
      </c>
      <c r="T53" s="15">
        <f>'3'!AG3+'3'!AR3</f>
        <v>46</v>
      </c>
      <c r="U53" s="16">
        <f t="shared" ref="U53:U76" si="71">F53/T53</f>
        <v>28.0434782608696</v>
      </c>
      <c r="V53" s="15">
        <f>0.2909*0.95</f>
        <v>0.276355</v>
      </c>
      <c r="W53" s="17">
        <f t="shared" ref="W53:W76" si="72">V53*F53*0.94</f>
        <v>335.108073</v>
      </c>
      <c r="X53" s="15">
        <f t="shared" ref="X53:X76" si="73">(T53-13)*14.62+13*18+42</f>
        <v>758.46</v>
      </c>
      <c r="Y53" s="17">
        <f t="shared" ref="Y53:Y76" si="74">W53-X53</f>
        <v>-423.351927</v>
      </c>
      <c r="Z53" s="18">
        <f>'3'!BA3</f>
        <v>4</v>
      </c>
      <c r="AA53" s="18">
        <f>'3'!BD3</f>
        <v>3</v>
      </c>
      <c r="AB53" s="18">
        <f>'3'!BE3</f>
        <v>0</v>
      </c>
      <c r="AC53" s="18">
        <f>'3'!BF3</f>
        <v>1</v>
      </c>
      <c r="AD53" s="17">
        <f>(Z53-1)*14.62+(9000/26/13)+(AA53-1)*14.54+7500/26/11+AB53*(4200/26/9)+AC53*(4000/26/11)</f>
        <v>139.777009144701</v>
      </c>
      <c r="AE53" s="19">
        <f t="shared" ref="AE53:AE76" si="75">M53+S53+Y53-I53-AD53</f>
        <v>-969.338728966924</v>
      </c>
      <c r="AF53" s="2">
        <f t="shared" ref="AF53:AF76" si="76">AB53+AA53+Z53+T53+N53+J53+AC53</f>
        <v>96</v>
      </c>
      <c r="AG53" s="2">
        <f>'3'!BH3</f>
        <v>96</v>
      </c>
    </row>
    <row r="54" spans="1:33">
      <c r="A54" s="10">
        <v>46115</v>
      </c>
      <c r="B54" s="11" t="s">
        <v>3268</v>
      </c>
      <c r="C54" s="11" t="s">
        <v>3265</v>
      </c>
      <c r="D54" s="12" t="s">
        <v>22</v>
      </c>
      <c r="E54" s="13">
        <f>SUMIFS(卸车数据!$J$6:$J$1048576,卸车数据!$R$6:$R$1048576,"&gt;="&amp;A54+TIME(1,0,0),卸车数据!$R$6:$R$1048576,"&lt;"&amp;A54+TIME(2,0,0))</f>
        <v>2703</v>
      </c>
      <c r="F54" s="13">
        <v>4629</v>
      </c>
      <c r="G54" s="14">
        <v>13688</v>
      </c>
      <c r="H54" s="15">
        <f t="shared" si="62"/>
        <v>2</v>
      </c>
      <c r="I54" s="15">
        <f t="shared" si="63"/>
        <v>44.0122222222222</v>
      </c>
      <c r="J54" s="15">
        <f>'3'!K4</f>
        <v>17</v>
      </c>
      <c r="K54" s="16">
        <f t="shared" si="64"/>
        <v>159</v>
      </c>
      <c r="L54" s="15">
        <f t="shared" si="65"/>
        <v>269.54</v>
      </c>
      <c r="M54" s="17">
        <f t="shared" si="66"/>
        <v>-269.54</v>
      </c>
      <c r="N54" s="15">
        <f>'3'!W4</f>
        <v>25</v>
      </c>
      <c r="O54" s="16">
        <f t="shared" si="67"/>
        <v>547.52</v>
      </c>
      <c r="P54" s="15">
        <f t="shared" ref="P54:P76" si="77">0.0722*0.95</f>
        <v>0.06859</v>
      </c>
      <c r="Q54" s="17">
        <f t="shared" si="68"/>
        <v>882.5283248</v>
      </c>
      <c r="R54" s="15">
        <f t="shared" si="69"/>
        <v>430.44</v>
      </c>
      <c r="S54" s="17">
        <f t="shared" si="70"/>
        <v>452.0883248</v>
      </c>
      <c r="T54" s="15">
        <f>'3'!AG4+'3'!AR4</f>
        <v>46</v>
      </c>
      <c r="U54" s="16">
        <f t="shared" si="71"/>
        <v>100.630434782609</v>
      </c>
      <c r="V54" s="15">
        <f t="shared" ref="V54:V76" si="78">0.2909*0.95</f>
        <v>0.276355</v>
      </c>
      <c r="W54" s="17">
        <f t="shared" si="72"/>
        <v>1202.4924573</v>
      </c>
      <c r="X54" s="15">
        <f t="shared" si="73"/>
        <v>758.46</v>
      </c>
      <c r="Y54" s="17">
        <f t="shared" si="74"/>
        <v>444.0324573</v>
      </c>
      <c r="Z54" s="18">
        <f>'3'!BA4</f>
        <v>4</v>
      </c>
      <c r="AA54" s="18">
        <f>'3'!BD4</f>
        <v>3</v>
      </c>
      <c r="AB54" s="18">
        <f>'3'!BE4</f>
        <v>0</v>
      </c>
      <c r="AC54" s="18">
        <f>'3'!BF4</f>
        <v>1</v>
      </c>
      <c r="AD54" s="17">
        <f t="shared" ref="AD54:AD76" si="79">(Z54-1)*14.62+(9000/26/13)+(AA54-1)*14.54+7500/26/11+AB54*(4200/26/9)+AC54*(4000/26/11)</f>
        <v>139.777009144701</v>
      </c>
      <c r="AE54" s="19">
        <f t="shared" si="75"/>
        <v>442.791550733076</v>
      </c>
      <c r="AF54" s="2">
        <f t="shared" si="76"/>
        <v>96</v>
      </c>
      <c r="AG54" s="2">
        <f>'3'!BH4</f>
        <v>96</v>
      </c>
    </row>
    <row r="55" spans="1:33">
      <c r="A55" s="10">
        <v>46115</v>
      </c>
      <c r="B55" s="11" t="s">
        <v>3270</v>
      </c>
      <c r="C55" s="11" t="s">
        <v>3265</v>
      </c>
      <c r="D55" s="12" t="s">
        <v>22</v>
      </c>
      <c r="E55" s="13">
        <f>SUMIFS(卸车数据!$J$6:$J$1048576,卸车数据!$R$6:$R$1048576,"&gt;="&amp;A55+TIME(2,0,0),卸车数据!$R$6:$R$1048576,"&lt;"&amp;A55+TIME(3,0,0))</f>
        <v>0</v>
      </c>
      <c r="F55" s="13">
        <v>3244</v>
      </c>
      <c r="G55" s="14">
        <v>13096</v>
      </c>
      <c r="H55" s="15">
        <f t="shared" si="62"/>
        <v>2</v>
      </c>
      <c r="I55" s="15">
        <f t="shared" si="63"/>
        <v>44.0122222222222</v>
      </c>
      <c r="J55" s="15">
        <f>'3'!K5</f>
        <v>17</v>
      </c>
      <c r="K55" s="16">
        <f t="shared" si="64"/>
        <v>0</v>
      </c>
      <c r="L55" s="15">
        <f t="shared" si="65"/>
        <v>269.54</v>
      </c>
      <c r="M55" s="17">
        <f t="shared" si="66"/>
        <v>-269.54</v>
      </c>
      <c r="N55" s="15">
        <f>'3'!W5</f>
        <v>25</v>
      </c>
      <c r="O55" s="16">
        <f t="shared" si="67"/>
        <v>523.84</v>
      </c>
      <c r="P55" s="15">
        <f t="shared" si="77"/>
        <v>0.06859</v>
      </c>
      <c r="Q55" s="17">
        <f t="shared" si="68"/>
        <v>844.3593616</v>
      </c>
      <c r="R55" s="15">
        <f t="shared" si="69"/>
        <v>430.44</v>
      </c>
      <c r="S55" s="17">
        <f t="shared" si="70"/>
        <v>413.9193616</v>
      </c>
      <c r="T55" s="15">
        <f>'3'!AG5+'3'!AR5</f>
        <v>46</v>
      </c>
      <c r="U55" s="16">
        <f t="shared" si="71"/>
        <v>70.5217391304348</v>
      </c>
      <c r="V55" s="15">
        <f t="shared" si="78"/>
        <v>0.276355</v>
      </c>
      <c r="W55" s="17">
        <f t="shared" si="72"/>
        <v>842.7058828</v>
      </c>
      <c r="X55" s="15">
        <f t="shared" si="73"/>
        <v>758.46</v>
      </c>
      <c r="Y55" s="17">
        <f t="shared" si="74"/>
        <v>84.2458827999999</v>
      </c>
      <c r="Z55" s="18">
        <f>'3'!BA5</f>
        <v>4</v>
      </c>
      <c r="AA55" s="18">
        <f>'3'!BD5</f>
        <v>3</v>
      </c>
      <c r="AB55" s="18">
        <f>'3'!BE5</f>
        <v>0</v>
      </c>
      <c r="AC55" s="18">
        <f>'3'!BF5</f>
        <v>1</v>
      </c>
      <c r="AD55" s="17">
        <f t="shared" si="79"/>
        <v>139.777009144701</v>
      </c>
      <c r="AE55" s="19">
        <f t="shared" si="75"/>
        <v>44.8360130330762</v>
      </c>
      <c r="AF55" s="2">
        <f t="shared" si="76"/>
        <v>96</v>
      </c>
      <c r="AG55" s="2">
        <f>'3'!BH5</f>
        <v>96</v>
      </c>
    </row>
    <row r="56" spans="1:33">
      <c r="A56" s="10">
        <v>46115</v>
      </c>
      <c r="B56" s="11" t="s">
        <v>3273</v>
      </c>
      <c r="C56" s="11" t="s">
        <v>3265</v>
      </c>
      <c r="D56" s="12" t="s">
        <v>22</v>
      </c>
      <c r="E56" s="13">
        <f>SUMIFS(卸车数据!$J$6:$J$1048576,卸车数据!$R$6:$R$1048576,"&gt;="&amp;A56+TIME(3,0,0),卸车数据!$R$6:$R$1048576,"&lt;"&amp;A56+TIME(4,0,0))</f>
        <v>4655</v>
      </c>
      <c r="F56" s="13">
        <v>4683</v>
      </c>
      <c r="G56" s="14">
        <v>7621</v>
      </c>
      <c r="H56" s="15">
        <f t="shared" si="62"/>
        <v>2</v>
      </c>
      <c r="I56" s="15">
        <f t="shared" si="63"/>
        <v>44.0122222222222</v>
      </c>
      <c r="J56" s="15">
        <f>'3'!K6</f>
        <v>17</v>
      </c>
      <c r="K56" s="16">
        <f t="shared" si="64"/>
        <v>273.823529411765</v>
      </c>
      <c r="L56" s="15">
        <f t="shared" si="65"/>
        <v>269.54</v>
      </c>
      <c r="M56" s="17">
        <f t="shared" si="66"/>
        <v>-269.54</v>
      </c>
      <c r="N56" s="15">
        <f>'3'!W6</f>
        <v>18</v>
      </c>
      <c r="O56" s="16">
        <f t="shared" si="67"/>
        <v>423.388888888889</v>
      </c>
      <c r="P56" s="15">
        <f t="shared" si="77"/>
        <v>0.06859</v>
      </c>
      <c r="Q56" s="17">
        <f t="shared" si="68"/>
        <v>491.3609266</v>
      </c>
      <c r="R56" s="15">
        <f t="shared" si="69"/>
        <v>328.1</v>
      </c>
      <c r="S56" s="17">
        <f t="shared" si="70"/>
        <v>163.2609266</v>
      </c>
      <c r="T56" s="15">
        <f>'3'!AG6+'3'!AR6</f>
        <v>53</v>
      </c>
      <c r="U56" s="16">
        <f t="shared" si="71"/>
        <v>88.3584905660377</v>
      </c>
      <c r="V56" s="15">
        <f t="shared" si="78"/>
        <v>0.276355</v>
      </c>
      <c r="W56" s="17">
        <f t="shared" si="72"/>
        <v>1216.5202371</v>
      </c>
      <c r="X56" s="15">
        <f t="shared" si="73"/>
        <v>860.8</v>
      </c>
      <c r="Y56" s="17">
        <f t="shared" si="74"/>
        <v>355.7202371</v>
      </c>
      <c r="Z56" s="18">
        <f>'3'!BA6</f>
        <v>4</v>
      </c>
      <c r="AA56" s="18">
        <f>'3'!BD6</f>
        <v>3</v>
      </c>
      <c r="AB56" s="18">
        <f>'3'!BE6</f>
        <v>0</v>
      </c>
      <c r="AC56" s="18">
        <f>'3'!BF6</f>
        <v>1</v>
      </c>
      <c r="AD56" s="17">
        <f t="shared" si="79"/>
        <v>139.777009144701</v>
      </c>
      <c r="AE56" s="19">
        <f t="shared" si="75"/>
        <v>65.6519323330762</v>
      </c>
      <c r="AF56" s="2">
        <f t="shared" si="76"/>
        <v>96</v>
      </c>
      <c r="AG56" s="2">
        <f>'3'!BH6</f>
        <v>96</v>
      </c>
    </row>
    <row r="57" spans="1:33">
      <c r="A57" s="10">
        <v>46115</v>
      </c>
      <c r="B57" s="11" t="s">
        <v>3280</v>
      </c>
      <c r="C57" s="11" t="s">
        <v>3265</v>
      </c>
      <c r="D57" s="12" t="s">
        <v>22</v>
      </c>
      <c r="E57" s="13">
        <f>SUMIFS(卸车数据!$J$6:$J$1048576,卸车数据!$R$6:$R$1048576,"&gt;="&amp;A57+TIME(4,0,0),卸车数据!$R$6:$R$1048576,"&lt;"&amp;A57+TIME(5,0,0))</f>
        <v>33</v>
      </c>
      <c r="F57" s="13">
        <v>5097</v>
      </c>
      <c r="G57" s="14">
        <v>8873</v>
      </c>
      <c r="H57" s="15">
        <f t="shared" si="62"/>
        <v>2</v>
      </c>
      <c r="I57" s="15">
        <f t="shared" si="63"/>
        <v>44.0122222222222</v>
      </c>
      <c r="J57" s="15">
        <f>'3'!K7</f>
        <v>17</v>
      </c>
      <c r="K57" s="16">
        <f t="shared" si="64"/>
        <v>1.94117647058824</v>
      </c>
      <c r="L57" s="15">
        <f t="shared" si="65"/>
        <v>269.54</v>
      </c>
      <c r="M57" s="17">
        <f t="shared" si="66"/>
        <v>-269.54</v>
      </c>
      <c r="N57" s="15">
        <f>'3'!W7</f>
        <v>25</v>
      </c>
      <c r="O57" s="16">
        <f t="shared" si="67"/>
        <v>354.92</v>
      </c>
      <c r="P57" s="15">
        <f t="shared" si="77"/>
        <v>0.06859</v>
      </c>
      <c r="Q57" s="17">
        <f t="shared" si="68"/>
        <v>572.0831258</v>
      </c>
      <c r="R57" s="15">
        <f t="shared" si="69"/>
        <v>430.44</v>
      </c>
      <c r="S57" s="17">
        <f t="shared" si="70"/>
        <v>141.6431258</v>
      </c>
      <c r="T57" s="15">
        <f>'3'!AG7+'3'!AR7</f>
        <v>46</v>
      </c>
      <c r="U57" s="16">
        <f t="shared" si="71"/>
        <v>110.804347826087</v>
      </c>
      <c r="V57" s="15">
        <f t="shared" si="78"/>
        <v>0.276355</v>
      </c>
      <c r="W57" s="17">
        <f t="shared" si="72"/>
        <v>1324.0665489</v>
      </c>
      <c r="X57" s="15">
        <f t="shared" si="73"/>
        <v>758.46</v>
      </c>
      <c r="Y57" s="17">
        <f t="shared" si="74"/>
        <v>565.6065489</v>
      </c>
      <c r="Z57" s="18">
        <f>'3'!BA7</f>
        <v>4</v>
      </c>
      <c r="AA57" s="18">
        <f>'3'!BD7</f>
        <v>3</v>
      </c>
      <c r="AB57" s="18">
        <f>'3'!BE7</f>
        <v>0</v>
      </c>
      <c r="AC57" s="18">
        <f>'3'!BF7</f>
        <v>1</v>
      </c>
      <c r="AD57" s="17">
        <f t="shared" si="79"/>
        <v>139.777009144701</v>
      </c>
      <c r="AE57" s="19">
        <f t="shared" si="75"/>
        <v>253.920443333076</v>
      </c>
      <c r="AF57" s="2">
        <f t="shared" si="76"/>
        <v>96</v>
      </c>
      <c r="AG57" s="2">
        <f>'3'!BH7</f>
        <v>96</v>
      </c>
    </row>
    <row r="58" spans="1:33">
      <c r="A58" s="10">
        <v>46115</v>
      </c>
      <c r="B58" s="11" t="s">
        <v>3283</v>
      </c>
      <c r="C58" s="11" t="s">
        <v>3265</v>
      </c>
      <c r="D58" s="12" t="s">
        <v>22</v>
      </c>
      <c r="E58" s="13">
        <f>SUMIFS(卸车数据!$J$6:$J$1048576,卸车数据!$R$6:$R$1048576,"&gt;="&amp;A58+TIME(5,0,0),卸车数据!$R$6:$R$1048576,"&lt;"&amp;A58+TIME(6,0,0))</f>
        <v>228</v>
      </c>
      <c r="F58" s="13">
        <v>2951</v>
      </c>
      <c r="G58" s="14">
        <v>8759</v>
      </c>
      <c r="H58" s="15">
        <f t="shared" si="62"/>
        <v>2</v>
      </c>
      <c r="I58" s="15">
        <f t="shared" si="63"/>
        <v>44.0122222222222</v>
      </c>
      <c r="J58" s="15">
        <f>'3'!K8</f>
        <v>17</v>
      </c>
      <c r="K58" s="16">
        <f t="shared" si="64"/>
        <v>13.4117647058824</v>
      </c>
      <c r="L58" s="15">
        <f t="shared" si="65"/>
        <v>269.54</v>
      </c>
      <c r="M58" s="17">
        <f t="shared" si="66"/>
        <v>-269.54</v>
      </c>
      <c r="N58" s="15">
        <f>'3'!W8</f>
        <v>25</v>
      </c>
      <c r="O58" s="16">
        <f t="shared" si="67"/>
        <v>350.36</v>
      </c>
      <c r="P58" s="15">
        <f t="shared" si="77"/>
        <v>0.06859</v>
      </c>
      <c r="Q58" s="17">
        <f t="shared" si="68"/>
        <v>564.7330214</v>
      </c>
      <c r="R58" s="15">
        <f t="shared" si="69"/>
        <v>430.44</v>
      </c>
      <c r="S58" s="17">
        <f t="shared" si="70"/>
        <v>134.2930214</v>
      </c>
      <c r="T58" s="15">
        <f>'3'!AG8+'3'!AR8</f>
        <v>46</v>
      </c>
      <c r="U58" s="16">
        <f t="shared" si="71"/>
        <v>64.1521739130435</v>
      </c>
      <c r="V58" s="15">
        <f t="shared" si="78"/>
        <v>0.276355</v>
      </c>
      <c r="W58" s="17">
        <f t="shared" si="72"/>
        <v>766.5921887</v>
      </c>
      <c r="X58" s="15">
        <f t="shared" si="73"/>
        <v>758.46</v>
      </c>
      <c r="Y58" s="17">
        <f t="shared" si="74"/>
        <v>8.1321886999998</v>
      </c>
      <c r="Z58" s="18">
        <f>'3'!BA8</f>
        <v>4</v>
      </c>
      <c r="AA58" s="18">
        <f>'3'!BD8</f>
        <v>3</v>
      </c>
      <c r="AB58" s="18">
        <f>'3'!BE8</f>
        <v>0</v>
      </c>
      <c r="AC58" s="18">
        <f>'3'!BF8</f>
        <v>1</v>
      </c>
      <c r="AD58" s="17">
        <f t="shared" si="79"/>
        <v>139.777009144701</v>
      </c>
      <c r="AE58" s="19">
        <f t="shared" si="75"/>
        <v>-310.904021266924</v>
      </c>
      <c r="AF58" s="2">
        <f t="shared" si="76"/>
        <v>96</v>
      </c>
      <c r="AG58" s="2">
        <f>'3'!BH8</f>
        <v>96</v>
      </c>
    </row>
    <row r="59" spans="1:33">
      <c r="A59" s="10">
        <v>46115</v>
      </c>
      <c r="B59" s="11" t="s">
        <v>3286</v>
      </c>
      <c r="C59" s="11" t="s">
        <v>3265</v>
      </c>
      <c r="D59" s="12" t="s">
        <v>22</v>
      </c>
      <c r="E59" s="13">
        <f>SUMIFS(卸车数据!$J$6:$J$1048576,卸车数据!$R$6:$R$1048576,"&gt;="&amp;A59+TIME(6,0,0),卸车数据!$R$6:$R$1048576,"&lt;"&amp;A59+TIME(7,0,0))</f>
        <v>624</v>
      </c>
      <c r="F59" s="13">
        <v>882</v>
      </c>
      <c r="G59" s="14">
        <v>312</v>
      </c>
      <c r="H59" s="15">
        <f t="shared" si="62"/>
        <v>2</v>
      </c>
      <c r="I59" s="15">
        <f t="shared" si="63"/>
        <v>44.0122222222222</v>
      </c>
      <c r="J59" s="15">
        <f>'3'!K9</f>
        <v>17</v>
      </c>
      <c r="K59" s="16">
        <f t="shared" si="64"/>
        <v>36.7058823529412</v>
      </c>
      <c r="L59" s="15">
        <f t="shared" si="65"/>
        <v>269.54</v>
      </c>
      <c r="M59" s="17">
        <f t="shared" si="66"/>
        <v>-269.54</v>
      </c>
      <c r="N59" s="15">
        <f>'3'!W9</f>
        <v>25</v>
      </c>
      <c r="O59" s="16">
        <f t="shared" si="67"/>
        <v>12.48</v>
      </c>
      <c r="P59" s="15">
        <f t="shared" si="77"/>
        <v>0.06859</v>
      </c>
      <c r="Q59" s="17">
        <f t="shared" si="68"/>
        <v>20.1160752</v>
      </c>
      <c r="R59" s="15">
        <f t="shared" si="69"/>
        <v>430.44</v>
      </c>
      <c r="S59" s="17">
        <f t="shared" si="70"/>
        <v>-410.3239248</v>
      </c>
      <c r="T59" s="15">
        <f>'3'!AG9+'3'!AR9</f>
        <v>46</v>
      </c>
      <c r="U59" s="16">
        <f t="shared" si="71"/>
        <v>19.1739130434783</v>
      </c>
      <c r="V59" s="15">
        <f t="shared" si="78"/>
        <v>0.276355</v>
      </c>
      <c r="W59" s="17">
        <f t="shared" si="72"/>
        <v>229.1204034</v>
      </c>
      <c r="X59" s="15">
        <f t="shared" si="73"/>
        <v>758.46</v>
      </c>
      <c r="Y59" s="17">
        <f t="shared" si="74"/>
        <v>-529.3395966</v>
      </c>
      <c r="Z59" s="18">
        <f>'3'!BA9</f>
        <v>4</v>
      </c>
      <c r="AA59" s="18">
        <f>'3'!BD9</f>
        <v>3</v>
      </c>
      <c r="AB59" s="18">
        <f>'3'!BE9</f>
        <v>0</v>
      </c>
      <c r="AC59" s="18">
        <f>'3'!BF9</f>
        <v>1</v>
      </c>
      <c r="AD59" s="17">
        <f t="shared" si="79"/>
        <v>139.777009144701</v>
      </c>
      <c r="AE59" s="19">
        <f t="shared" si="75"/>
        <v>-1392.99275276692</v>
      </c>
      <c r="AF59" s="2">
        <f t="shared" si="76"/>
        <v>96</v>
      </c>
      <c r="AG59" s="2">
        <f>'3'!BH9</f>
        <v>96</v>
      </c>
    </row>
    <row r="60" spans="1:33">
      <c r="A60" s="10">
        <v>46115</v>
      </c>
      <c r="B60" s="11" t="s">
        <v>3288</v>
      </c>
      <c r="C60" s="11" t="s">
        <v>3289</v>
      </c>
      <c r="D60" s="12" t="s">
        <v>22</v>
      </c>
      <c r="E60" s="13">
        <f>SUMIFS(卸车数据!$J$6:$J$1048576,卸车数据!$R$6:$R$1048576,"&gt;="&amp;A60+TIME(7,0,0),卸车数据!$R$6:$R$1048576,"&lt;"&amp;A60+TIME(8,0,0))</f>
        <v>4202</v>
      </c>
      <c r="F60" s="13">
        <v>2590</v>
      </c>
      <c r="G60" s="14">
        <v>112</v>
      </c>
      <c r="H60" s="15">
        <f t="shared" si="62"/>
        <v>4</v>
      </c>
      <c r="I60" s="15">
        <f t="shared" si="63"/>
        <v>100.75</v>
      </c>
      <c r="J60" s="15">
        <f>'3'!K10</f>
        <v>9</v>
      </c>
      <c r="K60" s="16">
        <f t="shared" si="64"/>
        <v>466.888888888889</v>
      </c>
      <c r="L60" s="15">
        <f t="shared" ref="L60:L70" si="80">J60*14.54+21</f>
        <v>151.86</v>
      </c>
      <c r="M60" s="17">
        <f t="shared" si="66"/>
        <v>-151.86</v>
      </c>
      <c r="N60" s="15">
        <f>'3'!W10</f>
        <v>16</v>
      </c>
      <c r="O60" s="16">
        <f t="shared" si="67"/>
        <v>7</v>
      </c>
      <c r="P60" s="15">
        <f t="shared" si="77"/>
        <v>0.06859</v>
      </c>
      <c r="Q60" s="17">
        <f t="shared" si="68"/>
        <v>7.2211552</v>
      </c>
      <c r="R60" s="15">
        <f t="shared" ref="R60:R70" si="81">N60*14.54+21</f>
        <v>253.64</v>
      </c>
      <c r="S60" s="17">
        <f t="shared" si="70"/>
        <v>-246.4188448</v>
      </c>
      <c r="T60" s="15">
        <f>'3'!AG10+'3'!AR10</f>
        <v>33</v>
      </c>
      <c r="U60" s="16">
        <f t="shared" si="71"/>
        <v>78.4848484848485</v>
      </c>
      <c r="V60" s="15">
        <f t="shared" si="78"/>
        <v>0.276355</v>
      </c>
      <c r="W60" s="17">
        <f t="shared" si="72"/>
        <v>672.813883</v>
      </c>
      <c r="X60" s="15">
        <f t="shared" si="73"/>
        <v>568.4</v>
      </c>
      <c r="Y60" s="17">
        <f t="shared" si="74"/>
        <v>104.413883</v>
      </c>
      <c r="Z60" s="18">
        <f>'3'!BA10</f>
        <v>0</v>
      </c>
      <c r="AA60" s="18">
        <f>'3'!BD10</f>
        <v>2</v>
      </c>
      <c r="AB60" s="18">
        <f>'3'!BE10</f>
        <v>2</v>
      </c>
      <c r="AC60" s="18">
        <f>'3'!BF10</f>
        <v>1</v>
      </c>
      <c r="AD60" s="17">
        <f t="shared" si="79"/>
        <v>102.654445042137</v>
      </c>
      <c r="AE60" s="19">
        <f t="shared" si="75"/>
        <v>-497.269406842137</v>
      </c>
      <c r="AF60" s="2">
        <f t="shared" si="76"/>
        <v>63</v>
      </c>
      <c r="AG60" s="2">
        <f>'3'!BH10</f>
        <v>63</v>
      </c>
    </row>
    <row r="61" spans="1:33">
      <c r="A61" s="10">
        <v>46115</v>
      </c>
      <c r="B61" s="11" t="s">
        <v>3297</v>
      </c>
      <c r="C61" s="11" t="s">
        <v>3289</v>
      </c>
      <c r="D61" s="12" t="s">
        <v>22</v>
      </c>
      <c r="E61" s="13">
        <f>SUMIFS(卸车数据!$J$6:$J$1048576,卸车数据!$R$6:$R$1048576,"&gt;="&amp;A61+TIME(8,0,0),卸车数据!$R$6:$R$1048576,"&lt;"&amp;A61+TIME(9,0,0))</f>
        <v>2111</v>
      </c>
      <c r="F61" s="13">
        <v>2514</v>
      </c>
      <c r="G61" s="14">
        <v>6872</v>
      </c>
      <c r="H61" s="15">
        <f t="shared" si="62"/>
        <v>4</v>
      </c>
      <c r="I61" s="15">
        <f t="shared" si="63"/>
        <v>100.75</v>
      </c>
      <c r="J61" s="15">
        <f>'3'!K11</f>
        <v>9</v>
      </c>
      <c r="K61" s="16">
        <f t="shared" si="64"/>
        <v>234.555555555556</v>
      </c>
      <c r="L61" s="15">
        <f t="shared" si="80"/>
        <v>151.86</v>
      </c>
      <c r="M61" s="17">
        <f t="shared" si="66"/>
        <v>-151.86</v>
      </c>
      <c r="N61" s="15">
        <f>'3'!W11</f>
        <v>16</v>
      </c>
      <c r="O61" s="16">
        <f t="shared" si="67"/>
        <v>429.5</v>
      </c>
      <c r="P61" s="15">
        <f t="shared" si="77"/>
        <v>0.06859</v>
      </c>
      <c r="Q61" s="17">
        <f t="shared" si="68"/>
        <v>443.0694512</v>
      </c>
      <c r="R61" s="15">
        <f t="shared" si="81"/>
        <v>253.64</v>
      </c>
      <c r="S61" s="17">
        <f t="shared" si="70"/>
        <v>189.4294512</v>
      </c>
      <c r="T61" s="15">
        <f>'3'!AG11+'3'!AR11</f>
        <v>33</v>
      </c>
      <c r="U61" s="16">
        <f t="shared" si="71"/>
        <v>76.1818181818182</v>
      </c>
      <c r="V61" s="15">
        <f t="shared" si="78"/>
        <v>0.276355</v>
      </c>
      <c r="W61" s="17">
        <f t="shared" si="72"/>
        <v>653.0710818</v>
      </c>
      <c r="X61" s="15">
        <f t="shared" si="73"/>
        <v>568.4</v>
      </c>
      <c r="Y61" s="17">
        <f t="shared" si="74"/>
        <v>84.6710817999999</v>
      </c>
      <c r="Z61" s="18">
        <f>'3'!BA11</f>
        <v>0</v>
      </c>
      <c r="AA61" s="18">
        <f>'3'!BD11</f>
        <v>2</v>
      </c>
      <c r="AB61" s="18">
        <f>'3'!BE11</f>
        <v>2</v>
      </c>
      <c r="AC61" s="18">
        <f>'3'!BF11</f>
        <v>1</v>
      </c>
      <c r="AD61" s="17">
        <f t="shared" si="79"/>
        <v>102.654445042137</v>
      </c>
      <c r="AE61" s="19">
        <f t="shared" si="75"/>
        <v>-81.1639120421374</v>
      </c>
      <c r="AF61" s="2">
        <f t="shared" si="76"/>
        <v>63</v>
      </c>
      <c r="AG61" s="2">
        <f>'3'!BH11</f>
        <v>63</v>
      </c>
    </row>
    <row r="62" spans="1:33">
      <c r="A62" s="10">
        <v>46115</v>
      </c>
      <c r="B62" s="11" t="s">
        <v>3302</v>
      </c>
      <c r="C62" s="11" t="s">
        <v>3289</v>
      </c>
      <c r="D62" s="12" t="s">
        <v>22</v>
      </c>
      <c r="E62" s="13">
        <f>SUMIFS(卸车数据!$J$6:$J$1048576,卸车数据!$R$6:$R$1048576,"&gt;="&amp;A62+TIME(9,0,0),卸车数据!$R$6:$R$1048576,"&lt;"&amp;A62+TIME(10,0,0))</f>
        <v>0</v>
      </c>
      <c r="F62" s="13">
        <v>809</v>
      </c>
      <c r="G62" s="14">
        <v>3029</v>
      </c>
      <c r="H62" s="15">
        <f t="shared" si="62"/>
        <v>4</v>
      </c>
      <c r="I62" s="15">
        <f t="shared" si="63"/>
        <v>100.75</v>
      </c>
      <c r="J62" s="15">
        <f>'3'!K12</f>
        <v>12</v>
      </c>
      <c r="K62" s="16">
        <f t="shared" si="64"/>
        <v>0</v>
      </c>
      <c r="L62" s="15">
        <f t="shared" si="80"/>
        <v>195.48</v>
      </c>
      <c r="M62" s="17">
        <f t="shared" si="66"/>
        <v>-195.48</v>
      </c>
      <c r="N62" s="15">
        <f>'3'!W12</f>
        <v>18</v>
      </c>
      <c r="O62" s="16">
        <f t="shared" si="67"/>
        <v>168.277777777778</v>
      </c>
      <c r="P62" s="15">
        <f t="shared" si="77"/>
        <v>0.06859</v>
      </c>
      <c r="Q62" s="17">
        <f t="shared" si="68"/>
        <v>195.2935634</v>
      </c>
      <c r="R62" s="15">
        <f t="shared" si="81"/>
        <v>282.72</v>
      </c>
      <c r="S62" s="17">
        <f t="shared" si="70"/>
        <v>-87.4264366</v>
      </c>
      <c r="T62" s="15">
        <f>'3'!AG12+'3'!AR12</f>
        <v>28</v>
      </c>
      <c r="U62" s="16">
        <f t="shared" si="71"/>
        <v>28.8928571428571</v>
      </c>
      <c r="V62" s="15">
        <f t="shared" si="78"/>
        <v>0.276355</v>
      </c>
      <c r="W62" s="17">
        <f t="shared" si="72"/>
        <v>210.1569233</v>
      </c>
      <c r="X62" s="15">
        <f t="shared" si="73"/>
        <v>495.3</v>
      </c>
      <c r="Y62" s="17">
        <f t="shared" si="74"/>
        <v>-285.1430767</v>
      </c>
      <c r="Z62" s="18">
        <f>'3'!BA12</f>
        <v>0</v>
      </c>
      <c r="AA62" s="18">
        <f>'3'!BD12</f>
        <v>2</v>
      </c>
      <c r="AB62" s="18">
        <f>'3'!BE12</f>
        <v>2</v>
      </c>
      <c r="AC62" s="18">
        <f>'3'!BF12</f>
        <v>1</v>
      </c>
      <c r="AD62" s="17">
        <f t="shared" si="79"/>
        <v>102.654445042137</v>
      </c>
      <c r="AE62" s="19">
        <f t="shared" si="75"/>
        <v>-771.453958342137</v>
      </c>
      <c r="AF62" s="2">
        <f t="shared" si="76"/>
        <v>63</v>
      </c>
      <c r="AG62" s="2">
        <f>'3'!BH12</f>
        <v>63</v>
      </c>
    </row>
    <row r="63" spans="1:33">
      <c r="A63" s="10">
        <v>46115</v>
      </c>
      <c r="B63" s="11" t="s">
        <v>3306</v>
      </c>
      <c r="C63" s="11" t="s">
        <v>3289</v>
      </c>
      <c r="D63" s="12" t="s">
        <v>22</v>
      </c>
      <c r="E63" s="13">
        <f>SUMIFS(卸车数据!$J$6:$J$1048576,卸车数据!$R$6:$R$1048576,"&gt;="&amp;A63+TIME(10,0,0),卸车数据!$R$6:$R$1048576,"&lt;"&amp;A63+TIME(11,0,0))</f>
        <v>2075</v>
      </c>
      <c r="F63" s="13">
        <v>2197</v>
      </c>
      <c r="G63" s="14">
        <v>7780</v>
      </c>
      <c r="H63" s="15">
        <f t="shared" si="62"/>
        <v>4</v>
      </c>
      <c r="I63" s="15">
        <f t="shared" si="63"/>
        <v>100.75</v>
      </c>
      <c r="J63" s="15">
        <f>'3'!K13</f>
        <v>12</v>
      </c>
      <c r="K63" s="16">
        <f t="shared" si="64"/>
        <v>172.916666666667</v>
      </c>
      <c r="L63" s="15">
        <f t="shared" si="80"/>
        <v>195.48</v>
      </c>
      <c r="M63" s="17">
        <f t="shared" si="66"/>
        <v>-195.48</v>
      </c>
      <c r="N63" s="15">
        <f>'3'!W13</f>
        <v>18</v>
      </c>
      <c r="O63" s="16">
        <f t="shared" si="67"/>
        <v>432.222222222222</v>
      </c>
      <c r="P63" s="15">
        <f t="shared" si="77"/>
        <v>0.06859</v>
      </c>
      <c r="Q63" s="17">
        <f t="shared" si="68"/>
        <v>501.612388</v>
      </c>
      <c r="R63" s="15">
        <f t="shared" si="81"/>
        <v>282.72</v>
      </c>
      <c r="S63" s="17">
        <f t="shared" si="70"/>
        <v>218.892388</v>
      </c>
      <c r="T63" s="15">
        <f>'3'!AG13+'3'!AR13</f>
        <v>28</v>
      </c>
      <c r="U63" s="16">
        <f t="shared" si="71"/>
        <v>78.4642857142857</v>
      </c>
      <c r="V63" s="15">
        <f t="shared" si="78"/>
        <v>0.276355</v>
      </c>
      <c r="W63" s="17">
        <f t="shared" si="72"/>
        <v>570.7228189</v>
      </c>
      <c r="X63" s="15">
        <f t="shared" si="73"/>
        <v>495.3</v>
      </c>
      <c r="Y63" s="17">
        <f t="shared" si="74"/>
        <v>75.4228188999999</v>
      </c>
      <c r="Z63" s="18">
        <f>'3'!BA13</f>
        <v>0</v>
      </c>
      <c r="AA63" s="18">
        <f>'3'!BD13</f>
        <v>2</v>
      </c>
      <c r="AB63" s="18">
        <f>'3'!BE13</f>
        <v>2</v>
      </c>
      <c r="AC63" s="18">
        <f>'3'!BF13</f>
        <v>1</v>
      </c>
      <c r="AD63" s="17">
        <f t="shared" si="79"/>
        <v>102.654445042137</v>
      </c>
      <c r="AE63" s="19">
        <f t="shared" si="75"/>
        <v>-104.569238142137</v>
      </c>
      <c r="AF63" s="2">
        <f t="shared" si="76"/>
        <v>63</v>
      </c>
      <c r="AG63" s="2">
        <f>'3'!BH13</f>
        <v>63</v>
      </c>
    </row>
    <row r="64" spans="1:33">
      <c r="A64" s="10">
        <v>46115</v>
      </c>
      <c r="B64" s="11" t="s">
        <v>3310</v>
      </c>
      <c r="C64" s="11" t="s">
        <v>3289</v>
      </c>
      <c r="D64" s="11" t="s">
        <v>3311</v>
      </c>
      <c r="E64" s="13">
        <f>SUMIFS(卸车数据!$J$6:$J$1048576,卸车数据!$R$6:$R$1048576,"&gt;="&amp;A64+TIME(11,0,0),卸车数据!$R$6:$R$1048576,"&lt;"&amp;A64+TIME(12,0,0))</f>
        <v>10832</v>
      </c>
      <c r="F64" s="13">
        <v>2252</v>
      </c>
      <c r="G64" s="14">
        <v>4041</v>
      </c>
      <c r="H64" s="15">
        <f t="shared" si="62"/>
        <v>4</v>
      </c>
      <c r="I64" s="15">
        <f t="shared" si="63"/>
        <v>100.75</v>
      </c>
      <c r="J64" s="15">
        <f>'3'!K14</f>
        <v>15</v>
      </c>
      <c r="K64" s="16">
        <f t="shared" si="64"/>
        <v>722.133333333333</v>
      </c>
      <c r="L64" s="15">
        <f t="shared" si="80"/>
        <v>239.1</v>
      </c>
      <c r="M64" s="17">
        <f t="shared" si="66"/>
        <v>-239.1</v>
      </c>
      <c r="N64" s="15">
        <f>'3'!W14</f>
        <v>20</v>
      </c>
      <c r="O64" s="16">
        <f t="shared" si="67"/>
        <v>202.05</v>
      </c>
      <c r="P64" s="15">
        <f t="shared" si="77"/>
        <v>0.06859</v>
      </c>
      <c r="Q64" s="17">
        <f t="shared" si="68"/>
        <v>260.5418586</v>
      </c>
      <c r="R64" s="15">
        <f t="shared" si="81"/>
        <v>311.8</v>
      </c>
      <c r="S64" s="17">
        <f t="shared" si="70"/>
        <v>-51.2581413999999</v>
      </c>
      <c r="T64" s="15">
        <f>'3'!AG14+'3'!AR14</f>
        <v>31</v>
      </c>
      <c r="U64" s="16">
        <f t="shared" si="71"/>
        <v>72.6451612903226</v>
      </c>
      <c r="V64" s="15">
        <f t="shared" si="78"/>
        <v>0.276355</v>
      </c>
      <c r="W64" s="17">
        <f t="shared" si="72"/>
        <v>585.0103724</v>
      </c>
      <c r="X64" s="15">
        <f t="shared" si="73"/>
        <v>539.16</v>
      </c>
      <c r="Y64" s="17">
        <f t="shared" si="74"/>
        <v>45.8503723999999</v>
      </c>
      <c r="Z64" s="18">
        <f>'3'!BA14</f>
        <v>0</v>
      </c>
      <c r="AA64" s="18">
        <f>'3'!BD14</f>
        <v>2</v>
      </c>
      <c r="AB64" s="18">
        <f>'3'!BE14</f>
        <v>2</v>
      </c>
      <c r="AC64" s="18">
        <f>'3'!BF14</f>
        <v>1</v>
      </c>
      <c r="AD64" s="17">
        <f t="shared" si="79"/>
        <v>102.654445042137</v>
      </c>
      <c r="AE64" s="19">
        <f t="shared" si="75"/>
        <v>-447.912214042137</v>
      </c>
      <c r="AF64" s="2">
        <f t="shared" si="76"/>
        <v>71</v>
      </c>
      <c r="AG64" s="2">
        <f>'3'!BH14</f>
        <v>71</v>
      </c>
    </row>
    <row r="65" spans="1:33">
      <c r="A65" s="10">
        <v>46115</v>
      </c>
      <c r="B65" s="11" t="s">
        <v>3318</v>
      </c>
      <c r="C65" s="11" t="s">
        <v>3289</v>
      </c>
      <c r="D65" s="11" t="s">
        <v>3319</v>
      </c>
      <c r="E65" s="13">
        <f>SUMIFS(卸车数据!$J$6:$J$1048576,卸车数据!$R$6:$R$1048576,"&gt;="&amp;A65+TIME(12,0,0),卸车数据!$R$6:$R$1048576,"&lt;"&amp;A65+TIME(13,0,0))</f>
        <v>7393</v>
      </c>
      <c r="F65" s="13">
        <v>7628</v>
      </c>
      <c r="G65" s="14">
        <v>48</v>
      </c>
      <c r="H65" s="15">
        <f t="shared" si="62"/>
        <v>4</v>
      </c>
      <c r="I65" s="15">
        <f t="shared" si="63"/>
        <v>100.75</v>
      </c>
      <c r="J65" s="15">
        <f>'3'!K15</f>
        <v>19</v>
      </c>
      <c r="K65" s="16">
        <f t="shared" si="64"/>
        <v>389.105263157895</v>
      </c>
      <c r="L65" s="15">
        <f t="shared" si="80"/>
        <v>297.26</v>
      </c>
      <c r="M65" s="17">
        <f t="shared" si="66"/>
        <v>-297.26</v>
      </c>
      <c r="N65" s="15">
        <f>'3'!W15</f>
        <v>4</v>
      </c>
      <c r="O65" s="16">
        <f t="shared" si="67"/>
        <v>12</v>
      </c>
      <c r="P65" s="15">
        <f t="shared" si="77"/>
        <v>0.06859</v>
      </c>
      <c r="Q65" s="17">
        <f t="shared" si="68"/>
        <v>3.0947808</v>
      </c>
      <c r="R65" s="15">
        <f t="shared" si="81"/>
        <v>79.16</v>
      </c>
      <c r="S65" s="17">
        <f t="shared" si="70"/>
        <v>-76.0652192</v>
      </c>
      <c r="T65" s="15">
        <f>'3'!AG15+'3'!AR15</f>
        <v>43</v>
      </c>
      <c r="U65" s="16">
        <f t="shared" si="71"/>
        <v>177.395348837209</v>
      </c>
      <c r="V65" s="15">
        <f t="shared" si="78"/>
        <v>0.276355</v>
      </c>
      <c r="W65" s="17">
        <f t="shared" si="72"/>
        <v>1981.5537836</v>
      </c>
      <c r="X65" s="15">
        <f t="shared" si="73"/>
        <v>714.6</v>
      </c>
      <c r="Y65" s="17">
        <f t="shared" si="74"/>
        <v>1266.9537836</v>
      </c>
      <c r="Z65" s="18">
        <f>'3'!BA15</f>
        <v>0</v>
      </c>
      <c r="AA65" s="18">
        <f>'3'!BD15</f>
        <v>2</v>
      </c>
      <c r="AB65" s="18">
        <f>'3'!BE15</f>
        <v>2</v>
      </c>
      <c r="AC65" s="18">
        <f>'3'!BF15</f>
        <v>1</v>
      </c>
      <c r="AD65" s="17">
        <f t="shared" si="79"/>
        <v>102.654445042137</v>
      </c>
      <c r="AE65" s="19">
        <f t="shared" si="75"/>
        <v>690.224119357862</v>
      </c>
      <c r="AF65" s="2">
        <f t="shared" si="76"/>
        <v>71</v>
      </c>
      <c r="AG65" s="2">
        <f>'3'!BH15</f>
        <v>71</v>
      </c>
    </row>
    <row r="66" spans="1:33">
      <c r="A66" s="10">
        <v>46115</v>
      </c>
      <c r="B66" s="11" t="s">
        <v>3327</v>
      </c>
      <c r="C66" s="11" t="s">
        <v>3289</v>
      </c>
      <c r="D66" s="11" t="s">
        <v>3319</v>
      </c>
      <c r="E66" s="13">
        <f>SUMIFS(卸车数据!$J$6:$J$1048576,卸车数据!$R$6:$R$1048576,"&gt;="&amp;A66+TIME(13,0,0),卸车数据!$R$6:$R$1048576,"&lt;"&amp;A66+TIME(14,0,0))</f>
        <v>9205</v>
      </c>
      <c r="F66" s="13">
        <v>4560</v>
      </c>
      <c r="G66" s="14">
        <v>4912</v>
      </c>
      <c r="H66" s="15">
        <f t="shared" si="62"/>
        <v>4</v>
      </c>
      <c r="I66" s="15">
        <f t="shared" si="63"/>
        <v>100.75</v>
      </c>
      <c r="J66" s="15">
        <f>'3'!K16</f>
        <v>12</v>
      </c>
      <c r="K66" s="16">
        <f t="shared" si="64"/>
        <v>767.083333333333</v>
      </c>
      <c r="L66" s="15">
        <f t="shared" si="80"/>
        <v>195.48</v>
      </c>
      <c r="M66" s="17">
        <f t="shared" si="66"/>
        <v>-195.48</v>
      </c>
      <c r="N66" s="15">
        <f>'3'!W16</f>
        <v>23</v>
      </c>
      <c r="O66" s="16">
        <f t="shared" si="67"/>
        <v>213.565217391304</v>
      </c>
      <c r="P66" s="15">
        <f t="shared" si="77"/>
        <v>0.06859</v>
      </c>
      <c r="Q66" s="17">
        <f t="shared" si="68"/>
        <v>316.6992352</v>
      </c>
      <c r="R66" s="15">
        <f t="shared" si="81"/>
        <v>355.42</v>
      </c>
      <c r="S66" s="17">
        <f t="shared" si="70"/>
        <v>-38.7207648</v>
      </c>
      <c r="T66" s="15">
        <f>'3'!AG16+'3'!AR16</f>
        <v>31</v>
      </c>
      <c r="U66" s="16">
        <f t="shared" si="71"/>
        <v>147.096774193548</v>
      </c>
      <c r="V66" s="15">
        <f t="shared" si="78"/>
        <v>0.276355</v>
      </c>
      <c r="W66" s="17">
        <f t="shared" si="72"/>
        <v>1184.568072</v>
      </c>
      <c r="X66" s="15">
        <f t="shared" si="73"/>
        <v>539.16</v>
      </c>
      <c r="Y66" s="17">
        <f t="shared" si="74"/>
        <v>645.408072</v>
      </c>
      <c r="Z66" s="18">
        <f>'3'!BA16</f>
        <v>0</v>
      </c>
      <c r="AA66" s="18">
        <f>'3'!BD16</f>
        <v>2</v>
      </c>
      <c r="AB66" s="18">
        <f>'3'!BE16</f>
        <v>2</v>
      </c>
      <c r="AC66" s="18">
        <f>'3'!BF16</f>
        <v>1</v>
      </c>
      <c r="AD66" s="17">
        <f t="shared" si="79"/>
        <v>102.654445042137</v>
      </c>
      <c r="AE66" s="19">
        <f t="shared" si="75"/>
        <v>207.802862157862</v>
      </c>
      <c r="AF66" s="2">
        <f t="shared" si="76"/>
        <v>71</v>
      </c>
      <c r="AG66" s="2">
        <f>'3'!BH16</f>
        <v>71</v>
      </c>
    </row>
    <row r="67" spans="1:33">
      <c r="A67" s="10">
        <v>46115</v>
      </c>
      <c r="B67" s="11" t="s">
        <v>3331</v>
      </c>
      <c r="C67" s="11" t="s">
        <v>3289</v>
      </c>
      <c r="D67" s="11" t="s">
        <v>3319</v>
      </c>
      <c r="E67" s="13">
        <f>SUMIFS(卸车数据!$J$6:$J$1048576,卸车数据!$R$6:$R$1048576,"&gt;="&amp;A67+TIME(14,0,0),卸车数据!$R$6:$R$1048576,"&lt;"&amp;A67+TIME(15,0,0))</f>
        <v>5625</v>
      </c>
      <c r="F67" s="13">
        <v>1607</v>
      </c>
      <c r="G67" s="14">
        <v>8598</v>
      </c>
      <c r="H67" s="15">
        <f t="shared" si="62"/>
        <v>4</v>
      </c>
      <c r="I67" s="15">
        <f t="shared" si="63"/>
        <v>100.75</v>
      </c>
      <c r="J67" s="15">
        <f>'3'!K17</f>
        <v>12</v>
      </c>
      <c r="K67" s="16">
        <f t="shared" si="64"/>
        <v>468.75</v>
      </c>
      <c r="L67" s="15">
        <f t="shared" si="80"/>
        <v>195.48</v>
      </c>
      <c r="M67" s="17">
        <f t="shared" si="66"/>
        <v>-195.48</v>
      </c>
      <c r="N67" s="15">
        <f>'3'!W17</f>
        <v>23</v>
      </c>
      <c r="O67" s="16">
        <f t="shared" si="67"/>
        <v>373.826086956522</v>
      </c>
      <c r="P67" s="15">
        <f t="shared" si="77"/>
        <v>0.06859</v>
      </c>
      <c r="Q67" s="17">
        <f t="shared" si="68"/>
        <v>554.3526108</v>
      </c>
      <c r="R67" s="15">
        <f t="shared" si="81"/>
        <v>355.42</v>
      </c>
      <c r="S67" s="17">
        <f t="shared" si="70"/>
        <v>198.9326108</v>
      </c>
      <c r="T67" s="15">
        <f>'3'!AG17+'3'!AR17</f>
        <v>31</v>
      </c>
      <c r="U67" s="16">
        <f t="shared" si="71"/>
        <v>51.8387096774194</v>
      </c>
      <c r="V67" s="15">
        <f t="shared" si="78"/>
        <v>0.276355</v>
      </c>
      <c r="W67" s="17">
        <f t="shared" si="72"/>
        <v>417.4563359</v>
      </c>
      <c r="X67" s="15">
        <f t="shared" si="73"/>
        <v>539.16</v>
      </c>
      <c r="Y67" s="17">
        <f t="shared" si="74"/>
        <v>-121.7036641</v>
      </c>
      <c r="Z67" s="18">
        <f>'3'!BA17</f>
        <v>0</v>
      </c>
      <c r="AA67" s="18">
        <f>'3'!BD17</f>
        <v>2</v>
      </c>
      <c r="AB67" s="18">
        <f>'3'!BE17</f>
        <v>2</v>
      </c>
      <c r="AC67" s="18">
        <f>'3'!BF17</f>
        <v>1</v>
      </c>
      <c r="AD67" s="17">
        <f t="shared" si="79"/>
        <v>102.654445042137</v>
      </c>
      <c r="AE67" s="19">
        <f t="shared" si="75"/>
        <v>-321.655498342137</v>
      </c>
      <c r="AF67" s="2">
        <f t="shared" si="76"/>
        <v>71</v>
      </c>
      <c r="AG67" s="2">
        <f>'3'!BH17</f>
        <v>71</v>
      </c>
    </row>
    <row r="68" spans="1:33">
      <c r="A68" s="10">
        <v>46115</v>
      </c>
      <c r="B68" s="11" t="s">
        <v>3334</v>
      </c>
      <c r="C68" s="11" t="s">
        <v>3289</v>
      </c>
      <c r="D68" s="12" t="s">
        <v>22</v>
      </c>
      <c r="E68" s="13">
        <f>SUMIFS(卸车数据!$J$6:$J$1048576,卸车数据!$R$6:$R$1048576,"&gt;="&amp;A68+TIME(15,0,0),卸车数据!$R$6:$R$1048576,"&lt;"&amp;A68+TIME(16,0,0))</f>
        <v>0</v>
      </c>
      <c r="F68" s="13">
        <v>3839</v>
      </c>
      <c r="G68" s="14">
        <v>10763</v>
      </c>
      <c r="H68" s="15">
        <f t="shared" si="62"/>
        <v>4</v>
      </c>
      <c r="I68" s="15">
        <f t="shared" si="63"/>
        <v>100.75</v>
      </c>
      <c r="J68" s="15">
        <f>'3'!K18</f>
        <v>12</v>
      </c>
      <c r="K68" s="16">
        <f t="shared" si="64"/>
        <v>0</v>
      </c>
      <c r="L68" s="15">
        <f t="shared" si="80"/>
        <v>195.48</v>
      </c>
      <c r="M68" s="17">
        <f t="shared" si="66"/>
        <v>-195.48</v>
      </c>
      <c r="N68" s="15">
        <f>'3'!W18</f>
        <v>23</v>
      </c>
      <c r="O68" s="16">
        <f t="shared" si="67"/>
        <v>467.95652173913</v>
      </c>
      <c r="P68" s="15">
        <f t="shared" si="77"/>
        <v>0.06859</v>
      </c>
      <c r="Q68" s="17">
        <f t="shared" si="68"/>
        <v>693.9401198</v>
      </c>
      <c r="R68" s="15">
        <f t="shared" si="81"/>
        <v>355.42</v>
      </c>
      <c r="S68" s="17">
        <f t="shared" si="70"/>
        <v>338.5201198</v>
      </c>
      <c r="T68" s="15">
        <f>'3'!AG18+'3'!AR18</f>
        <v>31</v>
      </c>
      <c r="U68" s="16">
        <f t="shared" si="71"/>
        <v>123.838709677419</v>
      </c>
      <c r="V68" s="15">
        <f t="shared" si="78"/>
        <v>0.276355</v>
      </c>
      <c r="W68" s="17">
        <f t="shared" si="72"/>
        <v>997.2712343</v>
      </c>
      <c r="X68" s="15">
        <f t="shared" si="73"/>
        <v>539.16</v>
      </c>
      <c r="Y68" s="17">
        <f t="shared" si="74"/>
        <v>458.1112343</v>
      </c>
      <c r="Z68" s="18">
        <f>'3'!BA18</f>
        <v>0</v>
      </c>
      <c r="AA68" s="18">
        <f>'3'!BD18</f>
        <v>2</v>
      </c>
      <c r="AB68" s="18">
        <f>'3'!BE18</f>
        <v>2</v>
      </c>
      <c r="AC68" s="18">
        <f>'3'!BF18</f>
        <v>1</v>
      </c>
      <c r="AD68" s="17">
        <f t="shared" si="79"/>
        <v>102.654445042137</v>
      </c>
      <c r="AE68" s="19">
        <f t="shared" si="75"/>
        <v>397.746909057863</v>
      </c>
      <c r="AF68" s="2">
        <f t="shared" si="76"/>
        <v>71</v>
      </c>
      <c r="AG68" s="2">
        <f>'3'!BH18</f>
        <v>71</v>
      </c>
    </row>
    <row r="69" spans="1:33">
      <c r="A69" s="10">
        <v>46115</v>
      </c>
      <c r="B69" s="11" t="s">
        <v>3339</v>
      </c>
      <c r="C69" s="11" t="s">
        <v>3289</v>
      </c>
      <c r="D69" s="12" t="s">
        <v>22</v>
      </c>
      <c r="E69" s="13">
        <f>SUMIFS(卸车数据!$J$6:$J$1048576,卸车数据!$R$6:$R$1048576,"&gt;="&amp;A69+TIME(16,0,0),卸车数据!$R$6:$R$1048576,"&lt;"&amp;A69+TIME(17,0,0))</f>
        <v>9714</v>
      </c>
      <c r="F69" s="13">
        <v>2381</v>
      </c>
      <c r="G69" s="14">
        <v>9366</v>
      </c>
      <c r="H69" s="15">
        <f t="shared" si="62"/>
        <v>4</v>
      </c>
      <c r="I69" s="15">
        <f t="shared" si="63"/>
        <v>100.75</v>
      </c>
      <c r="J69" s="15">
        <f>'3'!K19</f>
        <v>12</v>
      </c>
      <c r="K69" s="16">
        <f t="shared" si="64"/>
        <v>809.5</v>
      </c>
      <c r="L69" s="15">
        <f t="shared" si="80"/>
        <v>195.48</v>
      </c>
      <c r="M69" s="17">
        <f t="shared" si="66"/>
        <v>-195.48</v>
      </c>
      <c r="N69" s="15">
        <f>'3'!W19</f>
        <v>23</v>
      </c>
      <c r="O69" s="16">
        <f t="shared" si="67"/>
        <v>407.217391304348</v>
      </c>
      <c r="P69" s="15">
        <f t="shared" si="77"/>
        <v>0.06859</v>
      </c>
      <c r="Q69" s="17">
        <f t="shared" si="68"/>
        <v>603.8691036</v>
      </c>
      <c r="R69" s="15">
        <f t="shared" si="81"/>
        <v>355.42</v>
      </c>
      <c r="S69" s="17">
        <f t="shared" si="70"/>
        <v>248.4491036</v>
      </c>
      <c r="T69" s="15">
        <f>'3'!AG19+'3'!AR19</f>
        <v>31</v>
      </c>
      <c r="U69" s="16">
        <f t="shared" si="71"/>
        <v>76.8064516129032</v>
      </c>
      <c r="V69" s="15">
        <f t="shared" si="78"/>
        <v>0.276355</v>
      </c>
      <c r="W69" s="17">
        <f t="shared" si="72"/>
        <v>618.5211797</v>
      </c>
      <c r="X69" s="15">
        <f t="shared" si="73"/>
        <v>539.16</v>
      </c>
      <c r="Y69" s="17">
        <f t="shared" si="74"/>
        <v>79.3611796999999</v>
      </c>
      <c r="Z69" s="18">
        <f>'3'!BA19</f>
        <v>0</v>
      </c>
      <c r="AA69" s="18">
        <f>'3'!BD19</f>
        <v>2</v>
      </c>
      <c r="AB69" s="18">
        <f>'3'!BE19</f>
        <v>2</v>
      </c>
      <c r="AC69" s="18">
        <f>'3'!BF19</f>
        <v>1</v>
      </c>
      <c r="AD69" s="17">
        <f t="shared" si="79"/>
        <v>102.654445042137</v>
      </c>
      <c r="AE69" s="19">
        <f t="shared" si="75"/>
        <v>-71.0741617421374</v>
      </c>
      <c r="AF69" s="2">
        <f t="shared" si="76"/>
        <v>71</v>
      </c>
      <c r="AG69" s="2">
        <f>'3'!BH19</f>
        <v>71</v>
      </c>
    </row>
    <row r="70" spans="1:33">
      <c r="A70" s="10">
        <v>46115</v>
      </c>
      <c r="B70" s="11" t="s">
        <v>3344</v>
      </c>
      <c r="C70" s="11" t="s">
        <v>3289</v>
      </c>
      <c r="D70" s="11" t="s">
        <v>3319</v>
      </c>
      <c r="E70" s="13">
        <f>SUMIFS(卸车数据!$J$6:$J$1048576,卸车数据!$R$6:$R$1048576,"&gt;="&amp;A70+TIME(17,0,0),卸车数据!$R$6:$R$1048576,"&lt;"&amp;A70+TIME(18,0,0))</f>
        <v>2985</v>
      </c>
      <c r="F70" s="13">
        <v>2276</v>
      </c>
      <c r="G70" s="14">
        <v>64</v>
      </c>
      <c r="H70" s="15">
        <f t="shared" si="62"/>
        <v>4</v>
      </c>
      <c r="I70" s="15">
        <f t="shared" si="63"/>
        <v>100.75</v>
      </c>
      <c r="J70" s="15">
        <f>'3'!K20</f>
        <v>12</v>
      </c>
      <c r="K70" s="16">
        <f t="shared" si="64"/>
        <v>248.75</v>
      </c>
      <c r="L70" s="15">
        <f t="shared" si="80"/>
        <v>195.48</v>
      </c>
      <c r="M70" s="17">
        <f t="shared" si="66"/>
        <v>-195.48</v>
      </c>
      <c r="N70" s="15">
        <f>'3'!W20</f>
        <v>23</v>
      </c>
      <c r="O70" s="16">
        <f t="shared" si="67"/>
        <v>2.78260869565217</v>
      </c>
      <c r="P70" s="15">
        <f t="shared" si="77"/>
        <v>0.06859</v>
      </c>
      <c r="Q70" s="17">
        <f t="shared" si="68"/>
        <v>4.1263744</v>
      </c>
      <c r="R70" s="15">
        <f t="shared" si="81"/>
        <v>355.42</v>
      </c>
      <c r="S70" s="17">
        <f t="shared" si="70"/>
        <v>-351.2936256</v>
      </c>
      <c r="T70" s="15">
        <f>'3'!AG20+'3'!AR20</f>
        <v>31</v>
      </c>
      <c r="U70" s="16">
        <f t="shared" si="71"/>
        <v>73.4193548387097</v>
      </c>
      <c r="V70" s="15">
        <f t="shared" si="78"/>
        <v>0.276355</v>
      </c>
      <c r="W70" s="17">
        <f t="shared" si="72"/>
        <v>591.2449412</v>
      </c>
      <c r="X70" s="15">
        <f t="shared" si="73"/>
        <v>539.16</v>
      </c>
      <c r="Y70" s="17">
        <f t="shared" si="74"/>
        <v>52.0849411999999</v>
      </c>
      <c r="Z70" s="18">
        <f>'3'!BA20</f>
        <v>0</v>
      </c>
      <c r="AA70" s="18">
        <f>'3'!BD20</f>
        <v>2</v>
      </c>
      <c r="AB70" s="18">
        <f>'3'!BE20</f>
        <v>2</v>
      </c>
      <c r="AC70" s="18">
        <f>'3'!BF20</f>
        <v>1</v>
      </c>
      <c r="AD70" s="17">
        <f t="shared" si="79"/>
        <v>102.654445042137</v>
      </c>
      <c r="AE70" s="19">
        <f t="shared" si="75"/>
        <v>-698.093129442137</v>
      </c>
      <c r="AF70" s="2">
        <f t="shared" si="76"/>
        <v>71</v>
      </c>
      <c r="AG70" s="2">
        <f>'3'!BH20</f>
        <v>71</v>
      </c>
    </row>
    <row r="71" spans="1:33">
      <c r="A71" s="10">
        <v>46115</v>
      </c>
      <c r="B71" s="11" t="s">
        <v>3347</v>
      </c>
      <c r="C71" s="11" t="s">
        <v>3265</v>
      </c>
      <c r="D71" s="11" t="s">
        <v>3319</v>
      </c>
      <c r="E71" s="13">
        <f>SUMIFS(卸车数据!$J$6:$J$1048576,卸车数据!$R$6:$R$1048576,"&gt;="&amp;A71+TIME(18,0,0),卸车数据!$R$6:$R$1048576,"&lt;"&amp;A71+TIME(19,0,0))</f>
        <v>28578</v>
      </c>
      <c r="F71" s="13">
        <v>4568</v>
      </c>
      <c r="G71" s="14">
        <v>3271</v>
      </c>
      <c r="H71" s="15">
        <f t="shared" si="62"/>
        <v>2</v>
      </c>
      <c r="I71" s="15">
        <f t="shared" si="63"/>
        <v>44.0122222222222</v>
      </c>
      <c r="J71" s="15">
        <f>'3'!K21</f>
        <v>24</v>
      </c>
      <c r="K71" s="16">
        <f t="shared" si="64"/>
        <v>1190.75</v>
      </c>
      <c r="L71" s="15">
        <f t="shared" ref="L71:L76" si="82">J71*14.62+21</f>
        <v>371.88</v>
      </c>
      <c r="M71" s="17">
        <f t="shared" si="66"/>
        <v>-371.88</v>
      </c>
      <c r="N71" s="15">
        <f>'3'!W21</f>
        <v>15</v>
      </c>
      <c r="O71" s="16">
        <f t="shared" si="67"/>
        <v>218.066666666667</v>
      </c>
      <c r="P71" s="15">
        <f t="shared" si="77"/>
        <v>0.06859</v>
      </c>
      <c r="Q71" s="17">
        <f t="shared" si="68"/>
        <v>210.8964166</v>
      </c>
      <c r="R71" s="15">
        <f t="shared" ref="R71:R76" si="83">(N71-13)*14.62+13*18+21</f>
        <v>284.24</v>
      </c>
      <c r="S71" s="17">
        <f t="shared" si="70"/>
        <v>-73.3435834</v>
      </c>
      <c r="T71" s="15">
        <f>'3'!AG21+'3'!AR21</f>
        <v>57</v>
      </c>
      <c r="U71" s="16">
        <f t="shared" si="71"/>
        <v>80.140350877193</v>
      </c>
      <c r="V71" s="15">
        <f t="shared" si="78"/>
        <v>0.276355</v>
      </c>
      <c r="W71" s="17">
        <f t="shared" si="72"/>
        <v>1186.6462616</v>
      </c>
      <c r="X71" s="15">
        <f t="shared" si="73"/>
        <v>919.28</v>
      </c>
      <c r="Y71" s="17">
        <f t="shared" si="74"/>
        <v>267.3662616</v>
      </c>
      <c r="Z71" s="18">
        <f>'3'!BA21</f>
        <v>4</v>
      </c>
      <c r="AA71" s="18">
        <f>'3'!BD21</f>
        <v>3</v>
      </c>
      <c r="AB71" s="18">
        <f>'3'!BE21</f>
        <v>0</v>
      </c>
      <c r="AC71" s="18">
        <f>'3'!BF21</f>
        <v>1</v>
      </c>
      <c r="AD71" s="17">
        <f t="shared" si="79"/>
        <v>139.777009144701</v>
      </c>
      <c r="AE71" s="19">
        <f t="shared" si="75"/>
        <v>-361.646553166924</v>
      </c>
      <c r="AF71" s="2">
        <f t="shared" si="76"/>
        <v>104</v>
      </c>
      <c r="AG71" s="2">
        <f>'3'!BH21</f>
        <v>104</v>
      </c>
    </row>
    <row r="72" spans="1:33">
      <c r="A72" s="10">
        <v>46115</v>
      </c>
      <c r="B72" s="11" t="s">
        <v>3351</v>
      </c>
      <c r="C72" s="11" t="s">
        <v>3265</v>
      </c>
      <c r="D72" s="11" t="s">
        <v>3319</v>
      </c>
      <c r="E72" s="13">
        <f>SUMIFS(卸车数据!$J$6:$J$1048576,卸车数据!$R$6:$R$1048576,"&gt;="&amp;A72+TIME(19,0,0),卸车数据!$R$6:$R$1048576,"&lt;"&amp;A72+TIME(20,0,0))</f>
        <v>22343</v>
      </c>
      <c r="F72" s="13">
        <v>6689</v>
      </c>
      <c r="G72" s="14">
        <v>13631</v>
      </c>
      <c r="H72" s="15">
        <f t="shared" si="62"/>
        <v>2</v>
      </c>
      <c r="I72" s="15">
        <f t="shared" si="63"/>
        <v>44.0122222222222</v>
      </c>
      <c r="J72" s="15">
        <f>'3'!K22</f>
        <v>22</v>
      </c>
      <c r="K72" s="16">
        <f t="shared" si="64"/>
        <v>1015.59090909091</v>
      </c>
      <c r="L72" s="15">
        <f t="shared" si="82"/>
        <v>342.64</v>
      </c>
      <c r="M72" s="17">
        <f t="shared" si="66"/>
        <v>-342.64</v>
      </c>
      <c r="N72" s="15">
        <f>'3'!W22</f>
        <v>30</v>
      </c>
      <c r="O72" s="16">
        <f t="shared" si="67"/>
        <v>454.366666666667</v>
      </c>
      <c r="P72" s="15">
        <f t="shared" si="77"/>
        <v>0.06859</v>
      </c>
      <c r="Q72" s="17">
        <f t="shared" si="68"/>
        <v>878.8532726</v>
      </c>
      <c r="R72" s="15">
        <f t="shared" si="83"/>
        <v>503.54</v>
      </c>
      <c r="S72" s="17">
        <f t="shared" si="70"/>
        <v>375.3132726</v>
      </c>
      <c r="T72" s="15">
        <f>'3'!AG22+'3'!AR22</f>
        <v>44</v>
      </c>
      <c r="U72" s="16">
        <f t="shared" si="71"/>
        <v>152.022727272727</v>
      </c>
      <c r="V72" s="15">
        <f t="shared" si="78"/>
        <v>0.276355</v>
      </c>
      <c r="W72" s="17">
        <f t="shared" si="72"/>
        <v>1737.6262793</v>
      </c>
      <c r="X72" s="15">
        <f t="shared" si="73"/>
        <v>729.22</v>
      </c>
      <c r="Y72" s="17">
        <f t="shared" si="74"/>
        <v>1008.4062793</v>
      </c>
      <c r="Z72" s="18">
        <f>'3'!BA22</f>
        <v>4</v>
      </c>
      <c r="AA72" s="18">
        <f>'3'!BD22</f>
        <v>3</v>
      </c>
      <c r="AB72" s="18">
        <f>'3'!BE22</f>
        <v>0</v>
      </c>
      <c r="AC72" s="18">
        <f>'3'!BF22</f>
        <v>1</v>
      </c>
      <c r="AD72" s="17">
        <f t="shared" si="79"/>
        <v>139.777009144701</v>
      </c>
      <c r="AE72" s="19">
        <f t="shared" si="75"/>
        <v>857.290320533076</v>
      </c>
      <c r="AF72" s="2">
        <f t="shared" si="76"/>
        <v>104</v>
      </c>
      <c r="AG72" s="2">
        <f>'3'!BH22</f>
        <v>104</v>
      </c>
    </row>
    <row r="73" spans="1:33">
      <c r="A73" s="10">
        <v>46115</v>
      </c>
      <c r="B73" s="11" t="s">
        <v>3352</v>
      </c>
      <c r="C73" s="11" t="s">
        <v>3265</v>
      </c>
      <c r="D73" s="11" t="s">
        <v>3319</v>
      </c>
      <c r="E73" s="13">
        <f>SUMIFS(卸车数据!$J$6:$J$1048576,卸车数据!$R$6:$R$1048576,"&gt;="&amp;A73+TIME(20,0,0),卸车数据!$R$6:$R$1048576,"&lt;"&amp;A73+TIME(21,0,0))</f>
        <v>18681</v>
      </c>
      <c r="F73" s="13">
        <v>4898</v>
      </c>
      <c r="G73" s="14">
        <v>13159</v>
      </c>
      <c r="H73" s="15">
        <f t="shared" si="62"/>
        <v>2</v>
      </c>
      <c r="I73" s="15">
        <f t="shared" si="63"/>
        <v>44.0122222222222</v>
      </c>
      <c r="J73" s="15">
        <f>'3'!K23</f>
        <v>22</v>
      </c>
      <c r="K73" s="16">
        <f t="shared" si="64"/>
        <v>849.136363636364</v>
      </c>
      <c r="L73" s="15">
        <f t="shared" si="82"/>
        <v>342.64</v>
      </c>
      <c r="M73" s="17">
        <f t="shared" si="66"/>
        <v>-342.64</v>
      </c>
      <c r="N73" s="15">
        <f>'3'!W23</f>
        <v>30</v>
      </c>
      <c r="O73" s="16">
        <f t="shared" si="67"/>
        <v>438.633333333333</v>
      </c>
      <c r="P73" s="15">
        <f t="shared" si="77"/>
        <v>0.06859</v>
      </c>
      <c r="Q73" s="17">
        <f t="shared" si="68"/>
        <v>848.4212614</v>
      </c>
      <c r="R73" s="15">
        <f t="shared" si="83"/>
        <v>503.54</v>
      </c>
      <c r="S73" s="17">
        <f t="shared" si="70"/>
        <v>344.8812614</v>
      </c>
      <c r="T73" s="15">
        <f>'3'!AG23+'3'!AR23</f>
        <v>44</v>
      </c>
      <c r="U73" s="16">
        <f t="shared" si="71"/>
        <v>111.318181818182</v>
      </c>
      <c r="V73" s="15">
        <f t="shared" si="78"/>
        <v>0.276355</v>
      </c>
      <c r="W73" s="17">
        <f t="shared" si="72"/>
        <v>1272.3715826</v>
      </c>
      <c r="X73" s="15">
        <f t="shared" si="73"/>
        <v>729.22</v>
      </c>
      <c r="Y73" s="17">
        <f t="shared" si="74"/>
        <v>543.1515826</v>
      </c>
      <c r="Z73" s="18">
        <f>'3'!BA23</f>
        <v>4</v>
      </c>
      <c r="AA73" s="18">
        <f>'3'!BD23</f>
        <v>3</v>
      </c>
      <c r="AB73" s="18">
        <f>'3'!BE23</f>
        <v>0</v>
      </c>
      <c r="AC73" s="18">
        <f>'3'!BF23</f>
        <v>1</v>
      </c>
      <c r="AD73" s="17">
        <f t="shared" si="79"/>
        <v>139.777009144701</v>
      </c>
      <c r="AE73" s="19">
        <f t="shared" si="75"/>
        <v>361.603612633076</v>
      </c>
      <c r="AF73" s="2">
        <f t="shared" si="76"/>
        <v>104</v>
      </c>
      <c r="AG73" s="2">
        <f>'3'!BH23</f>
        <v>104</v>
      </c>
    </row>
    <row r="74" spans="1:33">
      <c r="A74" s="10">
        <v>46115</v>
      </c>
      <c r="B74" s="11" t="s">
        <v>3354</v>
      </c>
      <c r="C74" s="11" t="s">
        <v>3265</v>
      </c>
      <c r="D74" s="11" t="s">
        <v>3319</v>
      </c>
      <c r="E74" s="13">
        <f>SUMIFS(卸车数据!$J$6:$J$1048576,卸车数据!$R$6:$R$1048576,"&gt;="&amp;A74+TIME(21,0,0),卸车数据!$R$6:$R$1048576,"&lt;"&amp;A74+TIME(22,0,0))</f>
        <v>2</v>
      </c>
      <c r="F74" s="13">
        <v>3744</v>
      </c>
      <c r="G74" s="14">
        <v>12709</v>
      </c>
      <c r="H74" s="15">
        <f t="shared" si="62"/>
        <v>2</v>
      </c>
      <c r="I74" s="15">
        <f t="shared" si="63"/>
        <v>44.0122222222222</v>
      </c>
      <c r="J74" s="15">
        <f>'3'!K24</f>
        <v>22</v>
      </c>
      <c r="K74" s="16">
        <f t="shared" si="64"/>
        <v>0.0909090909090909</v>
      </c>
      <c r="L74" s="15">
        <f t="shared" si="82"/>
        <v>342.64</v>
      </c>
      <c r="M74" s="17">
        <f t="shared" si="66"/>
        <v>-342.64</v>
      </c>
      <c r="N74" s="15">
        <f>'3'!W24</f>
        <v>30</v>
      </c>
      <c r="O74" s="16">
        <f t="shared" si="67"/>
        <v>423.633333333333</v>
      </c>
      <c r="P74" s="15">
        <f t="shared" si="77"/>
        <v>0.06859</v>
      </c>
      <c r="Q74" s="17">
        <f t="shared" si="68"/>
        <v>819.4076914</v>
      </c>
      <c r="R74" s="15">
        <f t="shared" si="83"/>
        <v>503.54</v>
      </c>
      <c r="S74" s="17">
        <f t="shared" si="70"/>
        <v>315.8676914</v>
      </c>
      <c r="T74" s="15">
        <f>'3'!AG24+'3'!AR24</f>
        <v>44</v>
      </c>
      <c r="U74" s="16">
        <f t="shared" si="71"/>
        <v>85.0909090909091</v>
      </c>
      <c r="V74" s="15">
        <f t="shared" si="78"/>
        <v>0.276355</v>
      </c>
      <c r="W74" s="17">
        <f t="shared" si="72"/>
        <v>972.5927328</v>
      </c>
      <c r="X74" s="15">
        <f t="shared" si="73"/>
        <v>729.22</v>
      </c>
      <c r="Y74" s="17">
        <f t="shared" si="74"/>
        <v>243.3727328</v>
      </c>
      <c r="Z74" s="18">
        <f>'3'!BA24</f>
        <v>4</v>
      </c>
      <c r="AA74" s="18">
        <f>'3'!BD24</f>
        <v>3</v>
      </c>
      <c r="AB74" s="18">
        <f>'3'!BE24</f>
        <v>0</v>
      </c>
      <c r="AC74" s="18">
        <f>'3'!BF24</f>
        <v>1</v>
      </c>
      <c r="AD74" s="17">
        <f t="shared" si="79"/>
        <v>139.777009144701</v>
      </c>
      <c r="AE74" s="19">
        <f t="shared" si="75"/>
        <v>32.8111928330761</v>
      </c>
      <c r="AF74" s="2">
        <f t="shared" si="76"/>
        <v>104</v>
      </c>
      <c r="AG74" s="2">
        <f>'3'!BH24</f>
        <v>104</v>
      </c>
    </row>
    <row r="75" spans="1:33">
      <c r="A75" s="10">
        <v>46115</v>
      </c>
      <c r="B75" s="11" t="s">
        <v>3355</v>
      </c>
      <c r="C75" s="11" t="s">
        <v>3265</v>
      </c>
      <c r="D75" s="11" t="s">
        <v>3319</v>
      </c>
      <c r="E75" s="13">
        <f>SUMIFS(卸车数据!$J$6:$J$1048576,卸车数据!$R$6:$R$1048576,"&gt;="&amp;A75+TIME(22,0,0),卸车数据!$R$6:$R$1048576,"&lt;"&amp;A75+TIME(23,0,0))</f>
        <v>5539</v>
      </c>
      <c r="F75" s="13">
        <v>2604</v>
      </c>
      <c r="G75" s="14">
        <v>10723</v>
      </c>
      <c r="H75" s="15">
        <f t="shared" si="62"/>
        <v>2</v>
      </c>
      <c r="I75" s="15">
        <f t="shared" si="63"/>
        <v>44.0122222222222</v>
      </c>
      <c r="J75" s="15">
        <f>'3'!K25</f>
        <v>22</v>
      </c>
      <c r="K75" s="16">
        <f t="shared" si="64"/>
        <v>251.772727272727</v>
      </c>
      <c r="L75" s="15">
        <f t="shared" si="82"/>
        <v>342.64</v>
      </c>
      <c r="M75" s="17">
        <f t="shared" si="66"/>
        <v>-342.64</v>
      </c>
      <c r="N75" s="15">
        <f>'3'!W25</f>
        <v>30</v>
      </c>
      <c r="O75" s="16">
        <f t="shared" si="67"/>
        <v>357.433333333333</v>
      </c>
      <c r="P75" s="15">
        <f t="shared" si="77"/>
        <v>0.06859</v>
      </c>
      <c r="Q75" s="17">
        <f t="shared" si="68"/>
        <v>691.3611358</v>
      </c>
      <c r="R75" s="15">
        <f t="shared" si="83"/>
        <v>503.54</v>
      </c>
      <c r="S75" s="17">
        <f t="shared" si="70"/>
        <v>187.8211358</v>
      </c>
      <c r="T75" s="15">
        <f>'3'!AG25+'3'!AR25</f>
        <v>44</v>
      </c>
      <c r="U75" s="16">
        <f t="shared" si="71"/>
        <v>59.1818181818182</v>
      </c>
      <c r="V75" s="15">
        <f t="shared" si="78"/>
        <v>0.276355</v>
      </c>
      <c r="W75" s="17">
        <f t="shared" si="72"/>
        <v>676.4507148</v>
      </c>
      <c r="X75" s="15">
        <f t="shared" si="73"/>
        <v>729.22</v>
      </c>
      <c r="Y75" s="17">
        <f t="shared" si="74"/>
        <v>-52.7692852000001</v>
      </c>
      <c r="Z75" s="18">
        <f>'3'!BA25</f>
        <v>4</v>
      </c>
      <c r="AA75" s="18">
        <f>'3'!BD25</f>
        <v>3</v>
      </c>
      <c r="AB75" s="18">
        <f>'3'!BE25</f>
        <v>0</v>
      </c>
      <c r="AC75" s="18">
        <f>'3'!BF25</f>
        <v>1</v>
      </c>
      <c r="AD75" s="17">
        <f t="shared" si="79"/>
        <v>139.777009144701</v>
      </c>
      <c r="AE75" s="19">
        <f t="shared" si="75"/>
        <v>-391.377380766924</v>
      </c>
      <c r="AF75" s="2">
        <f t="shared" si="76"/>
        <v>104</v>
      </c>
      <c r="AG75" s="2">
        <f>'3'!BH25</f>
        <v>104</v>
      </c>
    </row>
    <row r="76" spans="1:33">
      <c r="A76" s="10">
        <v>46115</v>
      </c>
      <c r="B76" s="11" t="s">
        <v>3357</v>
      </c>
      <c r="C76" s="11" t="s">
        <v>3265</v>
      </c>
      <c r="D76" s="12" t="s">
        <v>3311</v>
      </c>
      <c r="E76" s="13">
        <f>SUMIFS(卸车数据!$J$6:$J$1048576,卸车数据!$R$6:$R$1048576,"&gt;="&amp;A76+TIME(23,0,0),卸车数据!$R$6:$R$1048576,"&lt;"&amp;A76+TIME(0,0,0))</f>
        <v>0</v>
      </c>
      <c r="F76" s="13">
        <v>1515</v>
      </c>
      <c r="G76" s="14">
        <v>4311</v>
      </c>
      <c r="H76" s="15">
        <f t="shared" si="62"/>
        <v>2</v>
      </c>
      <c r="I76" s="15">
        <f t="shared" si="63"/>
        <v>44.0122222222222</v>
      </c>
      <c r="J76" s="15">
        <f>'3'!K26</f>
        <v>17</v>
      </c>
      <c r="K76" s="16">
        <f t="shared" si="64"/>
        <v>0</v>
      </c>
      <c r="L76" s="15">
        <f t="shared" si="82"/>
        <v>269.54</v>
      </c>
      <c r="M76" s="17">
        <f t="shared" si="66"/>
        <v>-269.54</v>
      </c>
      <c r="N76" s="15">
        <f>'3'!W26</f>
        <v>25</v>
      </c>
      <c r="O76" s="16">
        <f t="shared" si="67"/>
        <v>172.44</v>
      </c>
      <c r="P76" s="15">
        <f t="shared" si="77"/>
        <v>0.06859</v>
      </c>
      <c r="Q76" s="17">
        <f t="shared" si="68"/>
        <v>277.9500006</v>
      </c>
      <c r="R76" s="15">
        <f t="shared" si="83"/>
        <v>430.44</v>
      </c>
      <c r="S76" s="17">
        <f t="shared" si="70"/>
        <v>-152.4899994</v>
      </c>
      <c r="T76" s="15">
        <f>'3'!AG26+'3'!AR26</f>
        <v>46</v>
      </c>
      <c r="U76" s="16">
        <f t="shared" si="71"/>
        <v>32.9347826086956</v>
      </c>
      <c r="V76" s="15">
        <f t="shared" si="78"/>
        <v>0.276355</v>
      </c>
      <c r="W76" s="17">
        <f t="shared" si="72"/>
        <v>393.5571555</v>
      </c>
      <c r="X76" s="15">
        <f t="shared" si="73"/>
        <v>758.46</v>
      </c>
      <c r="Y76" s="17">
        <f t="shared" si="74"/>
        <v>-364.9028445</v>
      </c>
      <c r="Z76" s="18">
        <f>'3'!BA3</f>
        <v>4</v>
      </c>
      <c r="AA76" s="18">
        <f>'3'!BD26</f>
        <v>3</v>
      </c>
      <c r="AB76" s="18">
        <f>'3'!BE26</f>
        <v>0</v>
      </c>
      <c r="AC76" s="18">
        <f>'3'!BF26</f>
        <v>1</v>
      </c>
      <c r="AD76" s="17">
        <f t="shared" si="79"/>
        <v>139.777009144701</v>
      </c>
      <c r="AE76" s="19">
        <f t="shared" si="75"/>
        <v>-970.722075266924</v>
      </c>
      <c r="AF76" s="2">
        <f t="shared" si="76"/>
        <v>96</v>
      </c>
      <c r="AG76" s="2">
        <f>'3'!BH26</f>
        <v>96</v>
      </c>
    </row>
    <row r="77" spans="1:33">
      <c r="A77" s="10"/>
      <c r="B77" s="11"/>
      <c r="C77" s="11"/>
      <c r="D77" s="12"/>
      <c r="E77" s="13"/>
      <c r="F77" s="13"/>
      <c r="G77" s="14"/>
      <c r="H77" s="15"/>
      <c r="I77" s="15"/>
      <c r="J77" s="15"/>
      <c r="K77" s="16"/>
      <c r="L77" s="15"/>
      <c r="M77" s="17"/>
      <c r="N77" s="15"/>
      <c r="O77" s="16"/>
      <c r="P77" s="15"/>
      <c r="Q77" s="17"/>
      <c r="R77" s="15"/>
      <c r="S77" s="17"/>
      <c r="T77" s="15"/>
      <c r="U77" s="16"/>
      <c r="V77" s="15"/>
      <c r="W77" s="17"/>
      <c r="X77" s="15"/>
      <c r="Y77" s="17"/>
      <c r="Z77" s="18"/>
      <c r="AA77" s="18"/>
      <c r="AB77" s="18"/>
      <c r="AC77" s="18"/>
      <c r="AD77" s="17"/>
      <c r="AE77" s="19">
        <f>SUM(AE53:AE76)</f>
        <v>-4035.49407513352</v>
      </c>
    </row>
    <row r="78" spans="1:33">
      <c r="A78" s="10">
        <v>46116</v>
      </c>
      <c r="B78" s="11" t="s">
        <v>3264</v>
      </c>
      <c r="C78" s="11" t="s">
        <v>3265</v>
      </c>
      <c r="D78" s="12" t="s">
        <v>22</v>
      </c>
      <c r="E78" s="13">
        <f>SUMIFS(卸车数据!$J$6:$J$1048576,卸车数据!$R$6:$R$1048576,"&gt;="&amp;A78+TIME(0,0,0),卸车数据!$R$6:$R$1048576,"&lt;"&amp;A78+TIME(1,0,0))</f>
        <v>15774</v>
      </c>
      <c r="F78" s="13">
        <v>2253</v>
      </c>
      <c r="G78" s="14">
        <v>6412</v>
      </c>
      <c r="H78" s="15">
        <f t="shared" ref="H78:H101" si="84">IF(C78="夜班",2,4)</f>
        <v>2</v>
      </c>
      <c r="I78" s="15">
        <f t="shared" ref="I78:I101" si="85">IF(H78=2,21.79+16000/30/24,25.75+12000/30/24*2+30000/30/24)</f>
        <v>44.0122222222222</v>
      </c>
      <c r="J78" s="15">
        <f>'4'!K3</f>
        <v>17</v>
      </c>
      <c r="K78" s="16">
        <f t="shared" ref="K78:K101" si="86">E78/J78</f>
        <v>927.882352941176</v>
      </c>
      <c r="L78" s="15">
        <f t="shared" ref="L78:L84" si="87">J78*14.62+21</f>
        <v>269.54</v>
      </c>
      <c r="M78" s="17">
        <f t="shared" ref="M78:M101" si="88">0-L78</f>
        <v>-269.54</v>
      </c>
      <c r="N78" s="15">
        <f>'4'!W3</f>
        <v>25</v>
      </c>
      <c r="O78" s="16">
        <f t="shared" ref="O78:O101" si="89">G78/N78</f>
        <v>256.48</v>
      </c>
      <c r="P78" s="15">
        <f t="shared" ref="P78:P101" si="90">0.0722*0.95</f>
        <v>0.06859</v>
      </c>
      <c r="Q78" s="17">
        <f t="shared" ref="Q78:Q101" si="91">P78*G78*0.94</f>
        <v>413.4111352</v>
      </c>
      <c r="R78" s="15">
        <f t="shared" ref="R78:R84" si="92">(N78-13)*14.62+13*18+21</f>
        <v>430.44</v>
      </c>
      <c r="S78" s="17">
        <f t="shared" ref="S78:S101" si="93">Q78-R78</f>
        <v>-17.0288648</v>
      </c>
      <c r="T78" s="15">
        <f>'4'!AG3+'4'!AR3</f>
        <v>45</v>
      </c>
      <c r="U78" s="16">
        <f t="shared" ref="U78:U101" si="94">F78/T78</f>
        <v>50.0666666666667</v>
      </c>
      <c r="V78" s="15">
        <f t="shared" ref="V78:V101" si="95">0.2909*0.95</f>
        <v>0.276355</v>
      </c>
      <c r="W78" s="17">
        <f t="shared" ref="W78:W101" si="96">V78*F78*0.94</f>
        <v>585.2701461</v>
      </c>
      <c r="X78" s="15">
        <f t="shared" ref="X78:X101" si="97">(T78-13)*14.62+13*18+42</f>
        <v>743.84</v>
      </c>
      <c r="Y78" s="17">
        <f t="shared" ref="Y78:Y101" si="98">W78-X78</f>
        <v>-158.5698539</v>
      </c>
      <c r="Z78" s="18">
        <f>'4'!BA3</f>
        <v>4</v>
      </c>
      <c r="AA78" s="18">
        <f>'4'!BD3</f>
        <v>3</v>
      </c>
      <c r="AB78" s="18">
        <f>'4'!BE3</f>
        <v>0</v>
      </c>
      <c r="AC78" s="18">
        <f>'4'!BF3</f>
        <v>1</v>
      </c>
      <c r="AD78" s="17">
        <f t="shared" ref="AD78:AD101" si="99">(Z78-1)*14.62+(9000/26/13)+(AA78-1)*14.54+7500/26/11+AB78*(4200/26/9)+AC78*(4000/26/11)</f>
        <v>139.777009144701</v>
      </c>
      <c r="AE78" s="19">
        <f t="shared" ref="AE78:AE101" si="100">M78+S78+Y78-I78-AD78</f>
        <v>-628.927950066924</v>
      </c>
      <c r="AF78" s="2">
        <f t="shared" ref="AF78:AF101" si="101">AB78+AA78+Z78+T78+N78+J78+AC78</f>
        <v>95</v>
      </c>
      <c r="AG78" s="2">
        <f>'4'!BH3</f>
        <v>95</v>
      </c>
    </row>
    <row r="79" spans="1:33">
      <c r="A79" s="10">
        <v>46116</v>
      </c>
      <c r="B79" s="11" t="s">
        <v>3268</v>
      </c>
      <c r="C79" s="11" t="s">
        <v>3265</v>
      </c>
      <c r="D79" s="12" t="s">
        <v>22</v>
      </c>
      <c r="E79" s="13">
        <f>SUMIFS(卸车数据!$J$6:$J$1048576,卸车数据!$R$6:$R$1048576,"&gt;="&amp;A79+TIME(1,0,0),卸车数据!$R$6:$R$1048576,"&lt;"&amp;A79+TIME(2,0,0))</f>
        <v>5539</v>
      </c>
      <c r="F79" s="13">
        <v>4752</v>
      </c>
      <c r="G79" s="14">
        <v>12376</v>
      </c>
      <c r="H79" s="15">
        <f t="shared" si="84"/>
        <v>2</v>
      </c>
      <c r="I79" s="15">
        <f t="shared" si="85"/>
        <v>44.0122222222222</v>
      </c>
      <c r="J79" s="15">
        <f>'4'!K4</f>
        <v>17</v>
      </c>
      <c r="K79" s="16">
        <f t="shared" si="86"/>
        <v>325.823529411765</v>
      </c>
      <c r="L79" s="15">
        <f t="shared" si="87"/>
        <v>269.54</v>
      </c>
      <c r="M79" s="17">
        <f t="shared" si="88"/>
        <v>-269.54</v>
      </c>
      <c r="N79" s="15">
        <f>'4'!W4</f>
        <v>25</v>
      </c>
      <c r="O79" s="16">
        <f t="shared" si="89"/>
        <v>495.04</v>
      </c>
      <c r="P79" s="15">
        <f t="shared" si="90"/>
        <v>0.06859</v>
      </c>
      <c r="Q79" s="17">
        <f t="shared" si="91"/>
        <v>797.9376496</v>
      </c>
      <c r="R79" s="15">
        <f t="shared" si="92"/>
        <v>430.44</v>
      </c>
      <c r="S79" s="17">
        <f t="shared" si="93"/>
        <v>367.4976496</v>
      </c>
      <c r="T79" s="15">
        <f>'4'!AG4+'4'!AR4</f>
        <v>45</v>
      </c>
      <c r="U79" s="16">
        <f t="shared" si="94"/>
        <v>105.6</v>
      </c>
      <c r="V79" s="15">
        <f t="shared" si="95"/>
        <v>0.276355</v>
      </c>
      <c r="W79" s="17">
        <f t="shared" si="96"/>
        <v>1234.4446224</v>
      </c>
      <c r="X79" s="15">
        <f t="shared" si="97"/>
        <v>743.84</v>
      </c>
      <c r="Y79" s="17">
        <f t="shared" si="98"/>
        <v>490.6046224</v>
      </c>
      <c r="Z79" s="18">
        <f>'4'!BA4</f>
        <v>4</v>
      </c>
      <c r="AA79" s="18">
        <f>'4'!BD4</f>
        <v>3</v>
      </c>
      <c r="AB79" s="18">
        <f>'4'!BE4</f>
        <v>0</v>
      </c>
      <c r="AC79" s="18">
        <f>'4'!BF4</f>
        <v>1</v>
      </c>
      <c r="AD79" s="17">
        <f t="shared" si="99"/>
        <v>139.777009144701</v>
      </c>
      <c r="AE79" s="19">
        <f t="shared" si="100"/>
        <v>404.773040633076</v>
      </c>
      <c r="AF79" s="2">
        <f t="shared" si="101"/>
        <v>95</v>
      </c>
      <c r="AG79" s="2">
        <f>'4'!BH4</f>
        <v>95</v>
      </c>
    </row>
    <row r="80" spans="1:33">
      <c r="A80" s="10">
        <v>46116</v>
      </c>
      <c r="B80" s="11" t="s">
        <v>3270</v>
      </c>
      <c r="C80" s="11" t="s">
        <v>3265</v>
      </c>
      <c r="D80" s="12" t="s">
        <v>22</v>
      </c>
      <c r="E80" s="13">
        <f>SUMIFS(卸车数据!$J$6:$J$1048576,卸车数据!$R$6:$R$1048576,"&gt;="&amp;A80+TIME(2,0,0),卸车数据!$R$6:$R$1048576,"&lt;"&amp;A80+TIME(3,0,0))</f>
        <v>0</v>
      </c>
      <c r="F80" s="13">
        <v>4442</v>
      </c>
      <c r="G80" s="14">
        <v>14209</v>
      </c>
      <c r="H80" s="15">
        <f t="shared" si="84"/>
        <v>2</v>
      </c>
      <c r="I80" s="15">
        <f t="shared" si="85"/>
        <v>44.0122222222222</v>
      </c>
      <c r="J80" s="15">
        <f>'4'!K5</f>
        <v>17</v>
      </c>
      <c r="K80" s="16">
        <f t="shared" si="86"/>
        <v>0</v>
      </c>
      <c r="L80" s="15">
        <f t="shared" si="87"/>
        <v>269.54</v>
      </c>
      <c r="M80" s="17">
        <f t="shared" si="88"/>
        <v>-269.54</v>
      </c>
      <c r="N80" s="15">
        <f>'4'!W5</f>
        <v>25</v>
      </c>
      <c r="O80" s="16">
        <f t="shared" si="89"/>
        <v>568.36</v>
      </c>
      <c r="P80" s="15">
        <f t="shared" si="90"/>
        <v>0.06859</v>
      </c>
      <c r="Q80" s="17">
        <f t="shared" si="91"/>
        <v>916.1195914</v>
      </c>
      <c r="R80" s="15">
        <f t="shared" si="92"/>
        <v>430.44</v>
      </c>
      <c r="S80" s="17">
        <f t="shared" si="93"/>
        <v>485.6795914</v>
      </c>
      <c r="T80" s="15">
        <f>'4'!AG5+'4'!AR5</f>
        <v>45</v>
      </c>
      <c r="U80" s="16">
        <f t="shared" si="94"/>
        <v>98.7111111111111</v>
      </c>
      <c r="V80" s="15">
        <f t="shared" si="95"/>
        <v>0.276355</v>
      </c>
      <c r="W80" s="17">
        <f t="shared" si="96"/>
        <v>1153.9147754</v>
      </c>
      <c r="X80" s="15">
        <f t="shared" si="97"/>
        <v>743.84</v>
      </c>
      <c r="Y80" s="17">
        <f t="shared" si="98"/>
        <v>410.0747754</v>
      </c>
      <c r="Z80" s="18">
        <f>'4'!BA5</f>
        <v>4</v>
      </c>
      <c r="AA80" s="18">
        <f>'4'!BD5</f>
        <v>3</v>
      </c>
      <c r="AB80" s="18">
        <f>'4'!BE5</f>
        <v>0</v>
      </c>
      <c r="AC80" s="18">
        <f>'4'!BF5</f>
        <v>1</v>
      </c>
      <c r="AD80" s="17">
        <f t="shared" si="99"/>
        <v>139.777009144701</v>
      </c>
      <c r="AE80" s="19">
        <f t="shared" si="100"/>
        <v>442.425135433076</v>
      </c>
      <c r="AF80" s="2">
        <f t="shared" si="101"/>
        <v>95</v>
      </c>
      <c r="AG80" s="2">
        <f>'4'!BH5</f>
        <v>95</v>
      </c>
    </row>
    <row r="81" spans="1:33">
      <c r="A81" s="10">
        <v>46116</v>
      </c>
      <c r="B81" s="11" t="s">
        <v>3273</v>
      </c>
      <c r="C81" s="11" t="s">
        <v>3265</v>
      </c>
      <c r="D81" s="12" t="s">
        <v>22</v>
      </c>
      <c r="E81" s="13">
        <f>SUMIFS(卸车数据!$J$6:$J$1048576,卸车数据!$R$6:$R$1048576,"&gt;="&amp;A81+TIME(3,0,0),卸车数据!$R$6:$R$1048576,"&lt;"&amp;A81+TIME(4,0,0))</f>
        <v>5155</v>
      </c>
      <c r="F81" s="13">
        <v>4011</v>
      </c>
      <c r="G81" s="14">
        <v>12712</v>
      </c>
      <c r="H81" s="15">
        <f t="shared" si="84"/>
        <v>2</v>
      </c>
      <c r="I81" s="15">
        <f t="shared" si="85"/>
        <v>44.0122222222222</v>
      </c>
      <c r="J81" s="15">
        <f>'4'!K6</f>
        <v>17</v>
      </c>
      <c r="K81" s="16">
        <f t="shared" si="86"/>
        <v>303.235294117647</v>
      </c>
      <c r="L81" s="15">
        <f t="shared" si="87"/>
        <v>269.54</v>
      </c>
      <c r="M81" s="17">
        <f t="shared" si="88"/>
        <v>-269.54</v>
      </c>
      <c r="N81" s="15">
        <f>'4'!W6</f>
        <v>18</v>
      </c>
      <c r="O81" s="16">
        <f t="shared" si="89"/>
        <v>706.222222222222</v>
      </c>
      <c r="P81" s="15">
        <f t="shared" si="90"/>
        <v>0.06859</v>
      </c>
      <c r="Q81" s="17">
        <f t="shared" si="91"/>
        <v>819.6011152</v>
      </c>
      <c r="R81" s="15">
        <f t="shared" si="92"/>
        <v>328.1</v>
      </c>
      <c r="S81" s="17">
        <f t="shared" si="93"/>
        <v>491.5011152</v>
      </c>
      <c r="T81" s="15">
        <f>'4'!AG6+'4'!AR6</f>
        <v>52</v>
      </c>
      <c r="U81" s="16">
        <f t="shared" si="94"/>
        <v>77.1346153846154</v>
      </c>
      <c r="V81" s="15">
        <f t="shared" si="95"/>
        <v>0.276355</v>
      </c>
      <c r="W81" s="17">
        <f t="shared" si="96"/>
        <v>1041.9523107</v>
      </c>
      <c r="X81" s="15">
        <f t="shared" si="97"/>
        <v>846.18</v>
      </c>
      <c r="Y81" s="17">
        <f t="shared" si="98"/>
        <v>195.7723107</v>
      </c>
      <c r="Z81" s="18">
        <f>'4'!BA6</f>
        <v>4</v>
      </c>
      <c r="AA81" s="18">
        <f>'4'!BD6</f>
        <v>3</v>
      </c>
      <c r="AB81" s="18">
        <f>'4'!BE6</f>
        <v>0</v>
      </c>
      <c r="AC81" s="18">
        <f>'4'!BF6</f>
        <v>1</v>
      </c>
      <c r="AD81" s="17">
        <f t="shared" si="99"/>
        <v>139.777009144701</v>
      </c>
      <c r="AE81" s="19">
        <f t="shared" si="100"/>
        <v>233.944194533076</v>
      </c>
      <c r="AF81" s="2">
        <f t="shared" si="101"/>
        <v>95</v>
      </c>
      <c r="AG81" s="2">
        <f>'4'!BH6</f>
        <v>95</v>
      </c>
    </row>
    <row r="82" spans="1:33">
      <c r="A82" s="10">
        <v>46116</v>
      </c>
      <c r="B82" s="11" t="s">
        <v>3280</v>
      </c>
      <c r="C82" s="11" t="s">
        <v>3265</v>
      </c>
      <c r="D82" s="12" t="s">
        <v>22</v>
      </c>
      <c r="E82" s="13">
        <f>SUMIFS(卸车数据!$J$6:$J$1048576,卸车数据!$R$6:$R$1048576,"&gt;="&amp;A82+TIME(4,0,0),卸车数据!$R$6:$R$1048576,"&lt;"&amp;A82+TIME(5,0,0))</f>
        <v>0</v>
      </c>
      <c r="F82" s="13">
        <v>4033</v>
      </c>
      <c r="G82" s="14">
        <v>12683</v>
      </c>
      <c r="H82" s="15">
        <f t="shared" si="84"/>
        <v>2</v>
      </c>
      <c r="I82" s="15">
        <f t="shared" si="85"/>
        <v>44.0122222222222</v>
      </c>
      <c r="J82" s="15">
        <f>'4'!K7</f>
        <v>17</v>
      </c>
      <c r="K82" s="16">
        <f t="shared" si="86"/>
        <v>0</v>
      </c>
      <c r="L82" s="15">
        <f t="shared" si="87"/>
        <v>269.54</v>
      </c>
      <c r="M82" s="17">
        <f t="shared" si="88"/>
        <v>-269.54</v>
      </c>
      <c r="N82" s="15">
        <f>'4'!W7</f>
        <v>25</v>
      </c>
      <c r="O82" s="16">
        <f t="shared" si="89"/>
        <v>507.32</v>
      </c>
      <c r="P82" s="15">
        <f t="shared" si="90"/>
        <v>0.06859</v>
      </c>
      <c r="Q82" s="17">
        <f t="shared" si="91"/>
        <v>817.7313518</v>
      </c>
      <c r="R82" s="15">
        <f t="shared" si="92"/>
        <v>430.44</v>
      </c>
      <c r="S82" s="17">
        <f t="shared" si="93"/>
        <v>387.2913518</v>
      </c>
      <c r="T82" s="15">
        <f>'4'!AG7+'4'!AR7</f>
        <v>45</v>
      </c>
      <c r="U82" s="16">
        <f t="shared" si="94"/>
        <v>89.6222222222222</v>
      </c>
      <c r="V82" s="15">
        <f t="shared" si="95"/>
        <v>0.276355</v>
      </c>
      <c r="W82" s="17">
        <f t="shared" si="96"/>
        <v>1047.6673321</v>
      </c>
      <c r="X82" s="15">
        <f t="shared" si="97"/>
        <v>743.84</v>
      </c>
      <c r="Y82" s="17">
        <f t="shared" si="98"/>
        <v>303.8273321</v>
      </c>
      <c r="Z82" s="18">
        <f>'4'!BA7</f>
        <v>4</v>
      </c>
      <c r="AA82" s="18">
        <f>'4'!BD7</f>
        <v>3</v>
      </c>
      <c r="AB82" s="18">
        <f>'4'!BE7</f>
        <v>0</v>
      </c>
      <c r="AC82" s="18">
        <f>'4'!BF7</f>
        <v>1</v>
      </c>
      <c r="AD82" s="17">
        <f t="shared" si="99"/>
        <v>139.777009144701</v>
      </c>
      <c r="AE82" s="19">
        <f t="shared" si="100"/>
        <v>237.789452533076</v>
      </c>
      <c r="AF82" s="2">
        <f t="shared" si="101"/>
        <v>95</v>
      </c>
      <c r="AG82" s="2">
        <f>'4'!BH7</f>
        <v>95</v>
      </c>
    </row>
    <row r="83" spans="1:33">
      <c r="A83" s="10">
        <v>46116</v>
      </c>
      <c r="B83" s="11" t="s">
        <v>3283</v>
      </c>
      <c r="C83" s="11" t="s">
        <v>3265</v>
      </c>
      <c r="D83" s="12" t="s">
        <v>22</v>
      </c>
      <c r="E83" s="13">
        <f>SUMIFS(卸车数据!$J$6:$J$1048576,卸车数据!$R$6:$R$1048576,"&gt;="&amp;A83+TIME(5,0,0),卸车数据!$R$6:$R$1048576,"&lt;"&amp;A83+TIME(6,0,0))</f>
        <v>3884</v>
      </c>
      <c r="F83" s="13">
        <v>2079</v>
      </c>
      <c r="G83" s="14">
        <v>249</v>
      </c>
      <c r="H83" s="15">
        <f t="shared" si="84"/>
        <v>2</v>
      </c>
      <c r="I83" s="15">
        <f t="shared" si="85"/>
        <v>44.0122222222222</v>
      </c>
      <c r="J83" s="15">
        <f>'4'!K8</f>
        <v>17</v>
      </c>
      <c r="K83" s="16">
        <f t="shared" si="86"/>
        <v>228.470588235294</v>
      </c>
      <c r="L83" s="15">
        <f t="shared" si="87"/>
        <v>269.54</v>
      </c>
      <c r="M83" s="17">
        <f t="shared" si="88"/>
        <v>-269.54</v>
      </c>
      <c r="N83" s="15">
        <f>'4'!W8</f>
        <v>25</v>
      </c>
      <c r="O83" s="16">
        <f t="shared" si="89"/>
        <v>9.96</v>
      </c>
      <c r="P83" s="15">
        <f t="shared" si="90"/>
        <v>0.06859</v>
      </c>
      <c r="Q83" s="17">
        <f t="shared" si="91"/>
        <v>16.0541754</v>
      </c>
      <c r="R83" s="15">
        <f t="shared" si="92"/>
        <v>430.44</v>
      </c>
      <c r="S83" s="17">
        <f t="shared" si="93"/>
        <v>-414.3858246</v>
      </c>
      <c r="T83" s="15">
        <f>'4'!AG8+'4'!AR8</f>
        <v>45</v>
      </c>
      <c r="U83" s="16">
        <f t="shared" si="94"/>
        <v>46.2</v>
      </c>
      <c r="V83" s="15">
        <f t="shared" si="95"/>
        <v>0.276355</v>
      </c>
      <c r="W83" s="17">
        <f t="shared" si="96"/>
        <v>540.0695223</v>
      </c>
      <c r="X83" s="15">
        <f t="shared" si="97"/>
        <v>743.84</v>
      </c>
      <c r="Y83" s="17">
        <f t="shared" si="98"/>
        <v>-203.7704777</v>
      </c>
      <c r="Z83" s="18">
        <f>'4'!BA8</f>
        <v>4</v>
      </c>
      <c r="AA83" s="18">
        <f>'4'!BD8</f>
        <v>3</v>
      </c>
      <c r="AB83" s="18">
        <f>'4'!BE8</f>
        <v>0</v>
      </c>
      <c r="AC83" s="18">
        <f>'4'!BF8</f>
        <v>1</v>
      </c>
      <c r="AD83" s="17">
        <f t="shared" si="99"/>
        <v>139.777009144701</v>
      </c>
      <c r="AE83" s="19">
        <f t="shared" si="100"/>
        <v>-1071.48553366692</v>
      </c>
      <c r="AF83" s="2">
        <f t="shared" si="101"/>
        <v>95</v>
      </c>
      <c r="AG83" s="2">
        <f>'4'!BH8</f>
        <v>95</v>
      </c>
    </row>
    <row r="84" spans="1:33">
      <c r="A84" s="10">
        <v>46116</v>
      </c>
      <c r="B84" s="11" t="s">
        <v>3286</v>
      </c>
      <c r="C84" s="11" t="s">
        <v>3265</v>
      </c>
      <c r="D84" s="12" t="s">
        <v>22</v>
      </c>
      <c r="E84" s="13">
        <f>SUMIFS(卸车数据!$J$6:$J$1048576,卸车数据!$R$6:$R$1048576,"&gt;="&amp;A84+TIME(6,0,0),卸车数据!$R$6:$R$1048576,"&lt;"&amp;A84+TIME(7,0,0))</f>
        <v>772</v>
      </c>
      <c r="F84" s="13">
        <v>1996</v>
      </c>
      <c r="G84" s="14">
        <v>3811</v>
      </c>
      <c r="H84" s="15">
        <f t="shared" si="84"/>
        <v>2</v>
      </c>
      <c r="I84" s="15">
        <f t="shared" si="85"/>
        <v>44.0122222222222</v>
      </c>
      <c r="J84" s="15">
        <f>'4'!K9</f>
        <v>17</v>
      </c>
      <c r="K84" s="16">
        <f t="shared" si="86"/>
        <v>45.4117647058824</v>
      </c>
      <c r="L84" s="15">
        <f t="shared" si="87"/>
        <v>269.54</v>
      </c>
      <c r="M84" s="17">
        <f t="shared" si="88"/>
        <v>-269.54</v>
      </c>
      <c r="N84" s="15">
        <f>'4'!W9</f>
        <v>25</v>
      </c>
      <c r="O84" s="16">
        <f t="shared" si="89"/>
        <v>152.44</v>
      </c>
      <c r="P84" s="15">
        <f t="shared" si="90"/>
        <v>0.06859</v>
      </c>
      <c r="Q84" s="17">
        <f t="shared" si="91"/>
        <v>245.7127006</v>
      </c>
      <c r="R84" s="15">
        <f t="shared" si="92"/>
        <v>430.44</v>
      </c>
      <c r="S84" s="17">
        <f t="shared" si="93"/>
        <v>-184.7272994</v>
      </c>
      <c r="T84" s="15">
        <f>'4'!AG9+'4'!AR9</f>
        <v>45</v>
      </c>
      <c r="U84" s="16">
        <f t="shared" si="94"/>
        <v>44.3555555555556</v>
      </c>
      <c r="V84" s="15">
        <f t="shared" si="95"/>
        <v>0.276355</v>
      </c>
      <c r="W84" s="17">
        <f t="shared" si="96"/>
        <v>518.5083052</v>
      </c>
      <c r="X84" s="15">
        <f t="shared" si="97"/>
        <v>743.84</v>
      </c>
      <c r="Y84" s="17">
        <f t="shared" si="98"/>
        <v>-225.3316948</v>
      </c>
      <c r="Z84" s="18">
        <f>'4'!BA9</f>
        <v>4</v>
      </c>
      <c r="AA84" s="18">
        <f>'4'!BD9</f>
        <v>3</v>
      </c>
      <c r="AB84" s="18">
        <f>'4'!BE9</f>
        <v>0</v>
      </c>
      <c r="AC84" s="18">
        <f>'4'!BF9</f>
        <v>1</v>
      </c>
      <c r="AD84" s="17">
        <f t="shared" si="99"/>
        <v>139.777009144701</v>
      </c>
      <c r="AE84" s="19">
        <f t="shared" si="100"/>
        <v>-863.388225566924</v>
      </c>
      <c r="AF84" s="2">
        <f t="shared" si="101"/>
        <v>95</v>
      </c>
      <c r="AG84" s="2">
        <f>'4'!BH9</f>
        <v>95</v>
      </c>
    </row>
    <row r="85" spans="1:33">
      <c r="A85" s="10">
        <v>46116</v>
      </c>
      <c r="B85" s="11" t="s">
        <v>3288</v>
      </c>
      <c r="C85" s="11" t="s">
        <v>3289</v>
      </c>
      <c r="D85" s="12" t="s">
        <v>22</v>
      </c>
      <c r="E85" s="13">
        <f>SUMIFS(卸车数据!$J$6:$J$1048576,卸车数据!$R$6:$R$1048576,"&gt;="&amp;A85+TIME(7,0,0),卸车数据!$R$6:$R$1048576,"&lt;"&amp;A85+TIME(8,0,0))</f>
        <v>2303</v>
      </c>
      <c r="F85" s="13">
        <v>3383</v>
      </c>
      <c r="G85" s="14">
        <v>815</v>
      </c>
      <c r="H85" s="15">
        <f t="shared" si="84"/>
        <v>4</v>
      </c>
      <c r="I85" s="15">
        <f t="shared" si="85"/>
        <v>100.75</v>
      </c>
      <c r="J85" s="15">
        <f>'4'!K10</f>
        <v>9</v>
      </c>
      <c r="K85" s="16">
        <f t="shared" si="86"/>
        <v>255.888888888889</v>
      </c>
      <c r="L85" s="15">
        <f t="shared" ref="L85:L95" si="102">J85*14.54+21</f>
        <v>151.86</v>
      </c>
      <c r="M85" s="17">
        <f t="shared" si="88"/>
        <v>-151.86</v>
      </c>
      <c r="N85" s="15">
        <f>'4'!W10</f>
        <v>11</v>
      </c>
      <c r="O85" s="16">
        <f t="shared" si="89"/>
        <v>74.0909090909091</v>
      </c>
      <c r="P85" s="15">
        <f t="shared" si="90"/>
        <v>0.06859</v>
      </c>
      <c r="Q85" s="17">
        <f t="shared" si="91"/>
        <v>52.546799</v>
      </c>
      <c r="R85" s="15">
        <f t="shared" ref="R85:R95" si="103">N85*14.54+21</f>
        <v>180.94</v>
      </c>
      <c r="S85" s="17">
        <f t="shared" si="93"/>
        <v>-128.393201</v>
      </c>
      <c r="T85" s="15">
        <f>'4'!AG10+'4'!AR10</f>
        <v>32</v>
      </c>
      <c r="U85" s="16">
        <f t="shared" si="94"/>
        <v>105.71875</v>
      </c>
      <c r="V85" s="15">
        <f t="shared" si="95"/>
        <v>0.276355</v>
      </c>
      <c r="W85" s="17">
        <f t="shared" si="96"/>
        <v>878.8144271</v>
      </c>
      <c r="X85" s="15">
        <f t="shared" si="97"/>
        <v>553.78</v>
      </c>
      <c r="Y85" s="17">
        <f t="shared" si="98"/>
        <v>325.0344271</v>
      </c>
      <c r="Z85" s="18">
        <f>'4'!BA10</f>
        <v>0</v>
      </c>
      <c r="AA85" s="18">
        <f>'4'!BD10</f>
        <v>2</v>
      </c>
      <c r="AB85" s="18">
        <f>'4'!BE10</f>
        <v>2</v>
      </c>
      <c r="AC85" s="18">
        <f>'4'!BF10</f>
        <v>1</v>
      </c>
      <c r="AD85" s="17">
        <f t="shared" si="99"/>
        <v>102.654445042137</v>
      </c>
      <c r="AE85" s="19">
        <f t="shared" si="100"/>
        <v>-158.623218942138</v>
      </c>
      <c r="AF85" s="2">
        <f t="shared" si="101"/>
        <v>57</v>
      </c>
      <c r="AG85" s="2">
        <f>'4'!BH10</f>
        <v>57</v>
      </c>
    </row>
    <row r="86" spans="1:33">
      <c r="A86" s="10">
        <v>46116</v>
      </c>
      <c r="B86" s="11" t="s">
        <v>3297</v>
      </c>
      <c r="C86" s="11" t="s">
        <v>3289</v>
      </c>
      <c r="D86" s="12" t="s">
        <v>22</v>
      </c>
      <c r="E86" s="13">
        <f>SUMIFS(卸车数据!$J$6:$J$1048576,卸车数据!$R$6:$R$1048576,"&gt;="&amp;A86+TIME(8,0,0),卸车数据!$R$6:$R$1048576,"&lt;"&amp;A86+TIME(9,0,0))</f>
        <v>2687</v>
      </c>
      <c r="F86" s="13">
        <v>1405</v>
      </c>
      <c r="G86" s="14">
        <v>9420</v>
      </c>
      <c r="H86" s="15">
        <f t="shared" si="84"/>
        <v>4</v>
      </c>
      <c r="I86" s="15">
        <f t="shared" si="85"/>
        <v>100.75</v>
      </c>
      <c r="J86" s="15">
        <f>'4'!K11</f>
        <v>9</v>
      </c>
      <c r="K86" s="16">
        <f t="shared" si="86"/>
        <v>298.555555555556</v>
      </c>
      <c r="L86" s="15">
        <f t="shared" si="102"/>
        <v>151.86</v>
      </c>
      <c r="M86" s="17">
        <f t="shared" si="88"/>
        <v>-151.86</v>
      </c>
      <c r="N86" s="15">
        <f>'4'!W11</f>
        <v>11</v>
      </c>
      <c r="O86" s="16">
        <f t="shared" si="89"/>
        <v>856.363636363636</v>
      </c>
      <c r="P86" s="15">
        <f t="shared" si="90"/>
        <v>0.06859</v>
      </c>
      <c r="Q86" s="17">
        <f t="shared" si="91"/>
        <v>607.350732</v>
      </c>
      <c r="R86" s="15">
        <f t="shared" si="103"/>
        <v>180.94</v>
      </c>
      <c r="S86" s="17">
        <f t="shared" si="93"/>
        <v>426.410732</v>
      </c>
      <c r="T86" s="15">
        <f>'4'!AG11+'4'!AR11</f>
        <v>32</v>
      </c>
      <c r="U86" s="16">
        <f t="shared" si="94"/>
        <v>43.90625</v>
      </c>
      <c r="V86" s="15">
        <f t="shared" si="95"/>
        <v>0.276355</v>
      </c>
      <c r="W86" s="17">
        <f t="shared" si="96"/>
        <v>364.9820485</v>
      </c>
      <c r="X86" s="15">
        <f t="shared" si="97"/>
        <v>553.78</v>
      </c>
      <c r="Y86" s="17">
        <f t="shared" si="98"/>
        <v>-188.7979515</v>
      </c>
      <c r="Z86" s="18">
        <f>'4'!BA11</f>
        <v>0</v>
      </c>
      <c r="AA86" s="18">
        <f>'4'!BD11</f>
        <v>2</v>
      </c>
      <c r="AB86" s="18">
        <f>'4'!BE11</f>
        <v>2</v>
      </c>
      <c r="AC86" s="18">
        <f>'4'!BF11</f>
        <v>1</v>
      </c>
      <c r="AD86" s="17">
        <f t="shared" si="99"/>
        <v>102.654445042137</v>
      </c>
      <c r="AE86" s="19">
        <f t="shared" si="100"/>
        <v>-117.651664542137</v>
      </c>
      <c r="AF86" s="2">
        <f t="shared" si="101"/>
        <v>57</v>
      </c>
      <c r="AG86" s="2">
        <f>'4'!BH11</f>
        <v>57</v>
      </c>
    </row>
    <row r="87" spans="1:33">
      <c r="A87" s="10">
        <v>46116</v>
      </c>
      <c r="B87" s="11" t="s">
        <v>3302</v>
      </c>
      <c r="C87" s="11" t="s">
        <v>3289</v>
      </c>
      <c r="D87" s="12" t="s">
        <v>22</v>
      </c>
      <c r="E87" s="13">
        <f>SUMIFS(卸车数据!$J$6:$J$1048576,卸车数据!$R$6:$R$1048576,"&gt;="&amp;A87+TIME(9,0,0),卸车数据!$R$6:$R$1048576,"&lt;"&amp;A87+TIME(10,0,0))</f>
        <v>243</v>
      </c>
      <c r="F87" s="13">
        <v>2362</v>
      </c>
      <c r="G87" s="14">
        <v>8845</v>
      </c>
      <c r="H87" s="15">
        <f t="shared" si="84"/>
        <v>4</v>
      </c>
      <c r="I87" s="15">
        <f t="shared" si="85"/>
        <v>100.75</v>
      </c>
      <c r="J87" s="15">
        <f>'4'!K12</f>
        <v>12</v>
      </c>
      <c r="K87" s="16">
        <f t="shared" si="86"/>
        <v>20.25</v>
      </c>
      <c r="L87" s="15">
        <f t="shared" si="102"/>
        <v>195.48</v>
      </c>
      <c r="M87" s="17">
        <f t="shared" si="88"/>
        <v>-195.48</v>
      </c>
      <c r="N87" s="15">
        <f>'4'!W12</f>
        <v>13</v>
      </c>
      <c r="O87" s="16">
        <f t="shared" si="89"/>
        <v>680.384615384615</v>
      </c>
      <c r="P87" s="15">
        <f t="shared" si="90"/>
        <v>0.06859</v>
      </c>
      <c r="Q87" s="17">
        <f t="shared" si="91"/>
        <v>570.277837</v>
      </c>
      <c r="R87" s="15">
        <f t="shared" si="103"/>
        <v>210.02</v>
      </c>
      <c r="S87" s="17">
        <f t="shared" si="93"/>
        <v>360.257837</v>
      </c>
      <c r="T87" s="15">
        <f>'4'!AG12+'4'!AR12</f>
        <v>27</v>
      </c>
      <c r="U87" s="16">
        <f t="shared" si="94"/>
        <v>87.4814814814815</v>
      </c>
      <c r="V87" s="15">
        <f t="shared" si="95"/>
        <v>0.276355</v>
      </c>
      <c r="W87" s="17">
        <f t="shared" si="96"/>
        <v>613.5854794</v>
      </c>
      <c r="X87" s="15">
        <f t="shared" si="97"/>
        <v>480.68</v>
      </c>
      <c r="Y87" s="17">
        <f t="shared" si="98"/>
        <v>132.9054794</v>
      </c>
      <c r="Z87" s="18">
        <f>'4'!BA12</f>
        <v>0</v>
      </c>
      <c r="AA87" s="18">
        <f>'4'!BD12</f>
        <v>2</v>
      </c>
      <c r="AB87" s="18">
        <f>'4'!BE12</f>
        <v>2</v>
      </c>
      <c r="AC87" s="18">
        <f>'4'!BF12</f>
        <v>1</v>
      </c>
      <c r="AD87" s="17">
        <f t="shared" si="99"/>
        <v>102.654445042137</v>
      </c>
      <c r="AE87" s="19">
        <f t="shared" si="100"/>
        <v>94.2788713578626</v>
      </c>
      <c r="AF87" s="2">
        <f t="shared" si="101"/>
        <v>57</v>
      </c>
      <c r="AG87" s="2">
        <f>'4'!BH12</f>
        <v>57</v>
      </c>
    </row>
    <row r="88" spans="1:33">
      <c r="A88" s="10">
        <v>46116</v>
      </c>
      <c r="B88" s="11" t="s">
        <v>3306</v>
      </c>
      <c r="C88" s="11" t="s">
        <v>3289</v>
      </c>
      <c r="D88" s="12" t="s">
        <v>22</v>
      </c>
      <c r="E88" s="13">
        <f>SUMIFS(卸车数据!$J$6:$J$1048576,卸车数据!$R$6:$R$1048576,"&gt;="&amp;A88+TIME(10,0,0),卸车数据!$R$6:$R$1048576,"&lt;"&amp;A88+TIME(11,0,0))</f>
        <v>0</v>
      </c>
      <c r="F88" s="13">
        <v>270</v>
      </c>
      <c r="G88" s="14">
        <v>57</v>
      </c>
      <c r="H88" s="15">
        <f t="shared" si="84"/>
        <v>4</v>
      </c>
      <c r="I88" s="15">
        <f t="shared" si="85"/>
        <v>100.75</v>
      </c>
      <c r="J88" s="15">
        <f>'4'!K13</f>
        <v>12</v>
      </c>
      <c r="K88" s="16">
        <f t="shared" si="86"/>
        <v>0</v>
      </c>
      <c r="L88" s="15">
        <f t="shared" si="102"/>
        <v>195.48</v>
      </c>
      <c r="M88" s="17">
        <f t="shared" si="88"/>
        <v>-195.48</v>
      </c>
      <c r="N88" s="15">
        <f>'4'!W13</f>
        <v>13</v>
      </c>
      <c r="O88" s="16">
        <f t="shared" si="89"/>
        <v>4.38461538461539</v>
      </c>
      <c r="P88" s="15">
        <f t="shared" si="90"/>
        <v>0.06859</v>
      </c>
      <c r="Q88" s="17">
        <f t="shared" si="91"/>
        <v>3.6750522</v>
      </c>
      <c r="R88" s="15">
        <f t="shared" si="103"/>
        <v>210.02</v>
      </c>
      <c r="S88" s="17">
        <f t="shared" si="93"/>
        <v>-206.3449478</v>
      </c>
      <c r="T88" s="15">
        <f>'4'!AG13+'4'!AR13</f>
        <v>27</v>
      </c>
      <c r="U88" s="16">
        <f t="shared" si="94"/>
        <v>10</v>
      </c>
      <c r="V88" s="15">
        <f t="shared" si="95"/>
        <v>0.276355</v>
      </c>
      <c r="W88" s="17">
        <f t="shared" si="96"/>
        <v>70.138899</v>
      </c>
      <c r="X88" s="15">
        <f t="shared" si="97"/>
        <v>480.68</v>
      </c>
      <c r="Y88" s="17">
        <f t="shared" si="98"/>
        <v>-410.541101</v>
      </c>
      <c r="Z88" s="18">
        <f>'4'!BA13</f>
        <v>0</v>
      </c>
      <c r="AA88" s="18">
        <f>'4'!BD13</f>
        <v>2</v>
      </c>
      <c r="AB88" s="18">
        <f>'4'!BE13</f>
        <v>2</v>
      </c>
      <c r="AC88" s="18">
        <f>'4'!BF13</f>
        <v>1</v>
      </c>
      <c r="AD88" s="17">
        <f t="shared" si="99"/>
        <v>102.654445042137</v>
      </c>
      <c r="AE88" s="19">
        <f t="shared" si="100"/>
        <v>-1015.77049384214</v>
      </c>
      <c r="AF88" s="2">
        <f t="shared" si="101"/>
        <v>57</v>
      </c>
      <c r="AG88" s="2">
        <f>'4'!BH13</f>
        <v>57</v>
      </c>
    </row>
    <row r="89" spans="1:33">
      <c r="A89" s="10">
        <v>46116</v>
      </c>
      <c r="B89" s="11" t="s">
        <v>3310</v>
      </c>
      <c r="C89" s="11" t="s">
        <v>3289</v>
      </c>
      <c r="D89" s="11" t="s">
        <v>3311</v>
      </c>
      <c r="E89" s="13">
        <f>SUMIFS(卸车数据!$J$6:$J$1048576,卸车数据!$R$6:$R$1048576,"&gt;="&amp;A89+TIME(11,0,0),卸车数据!$R$6:$R$1048576,"&lt;"&amp;A89+TIME(12,0,0))</f>
        <v>11573</v>
      </c>
      <c r="F89" s="13">
        <v>2666</v>
      </c>
      <c r="G89" s="14">
        <v>27</v>
      </c>
      <c r="H89" s="15">
        <f t="shared" si="84"/>
        <v>4</v>
      </c>
      <c r="I89" s="15">
        <f t="shared" si="85"/>
        <v>100.75</v>
      </c>
      <c r="J89" s="15">
        <f>'4'!K14</f>
        <v>15</v>
      </c>
      <c r="K89" s="16">
        <f t="shared" si="86"/>
        <v>771.533333333333</v>
      </c>
      <c r="L89" s="15">
        <f t="shared" si="102"/>
        <v>239.1</v>
      </c>
      <c r="M89" s="17">
        <f t="shared" si="88"/>
        <v>-239.1</v>
      </c>
      <c r="N89" s="15">
        <f>'4'!W14</f>
        <v>20</v>
      </c>
      <c r="O89" s="16">
        <f t="shared" si="89"/>
        <v>1.35</v>
      </c>
      <c r="P89" s="15">
        <f t="shared" si="90"/>
        <v>0.06859</v>
      </c>
      <c r="Q89" s="17">
        <f t="shared" si="91"/>
        <v>1.7408142</v>
      </c>
      <c r="R89" s="15">
        <f t="shared" si="103"/>
        <v>311.8</v>
      </c>
      <c r="S89" s="17">
        <f t="shared" si="93"/>
        <v>-310.0591858</v>
      </c>
      <c r="T89" s="15">
        <f>'4'!AG14+'4'!AR14</f>
        <v>35</v>
      </c>
      <c r="U89" s="16">
        <f t="shared" si="94"/>
        <v>76.1714285714286</v>
      </c>
      <c r="V89" s="15">
        <f t="shared" si="95"/>
        <v>0.276355</v>
      </c>
      <c r="W89" s="17">
        <f t="shared" si="96"/>
        <v>692.5566842</v>
      </c>
      <c r="X89" s="15">
        <f t="shared" si="97"/>
        <v>597.64</v>
      </c>
      <c r="Y89" s="17">
        <f t="shared" si="98"/>
        <v>94.9166841999998</v>
      </c>
      <c r="Z89" s="18">
        <f>'4'!BA14</f>
        <v>0</v>
      </c>
      <c r="AA89" s="18">
        <f>'4'!BD14</f>
        <v>2</v>
      </c>
      <c r="AB89" s="18">
        <f>'4'!BE14</f>
        <v>2</v>
      </c>
      <c r="AC89" s="18">
        <f>'4'!BF14</f>
        <v>1</v>
      </c>
      <c r="AD89" s="17">
        <f t="shared" si="99"/>
        <v>102.654445042137</v>
      </c>
      <c r="AE89" s="19">
        <f t="shared" si="100"/>
        <v>-657.646946642137</v>
      </c>
      <c r="AF89" s="2">
        <f t="shared" si="101"/>
        <v>75</v>
      </c>
      <c r="AG89" s="2">
        <f>'4'!BH14</f>
        <v>75</v>
      </c>
    </row>
    <row r="90" spans="1:33">
      <c r="A90" s="10">
        <v>46116</v>
      </c>
      <c r="B90" s="11" t="s">
        <v>3318</v>
      </c>
      <c r="C90" s="11" t="s">
        <v>3289</v>
      </c>
      <c r="D90" s="11" t="s">
        <v>3319</v>
      </c>
      <c r="E90" s="13">
        <f>SUMIFS(卸车数据!$J$6:$J$1048576,卸车数据!$R$6:$R$1048576,"&gt;="&amp;A90+TIME(12,0,0),卸车数据!$R$6:$R$1048576,"&lt;"&amp;A90+TIME(13,0,0))</f>
        <v>8878</v>
      </c>
      <c r="F90" s="13">
        <v>4923</v>
      </c>
      <c r="G90" s="14">
        <v>12</v>
      </c>
      <c r="H90" s="15">
        <f t="shared" si="84"/>
        <v>4</v>
      </c>
      <c r="I90" s="15">
        <f t="shared" si="85"/>
        <v>100.75</v>
      </c>
      <c r="J90" s="15">
        <f>'4'!K15</f>
        <v>19</v>
      </c>
      <c r="K90" s="16">
        <f t="shared" si="86"/>
        <v>467.263157894737</v>
      </c>
      <c r="L90" s="15">
        <f t="shared" si="102"/>
        <v>297.26</v>
      </c>
      <c r="M90" s="17">
        <f t="shared" si="88"/>
        <v>-297.26</v>
      </c>
      <c r="N90" s="15">
        <f>'4'!W15</f>
        <v>4</v>
      </c>
      <c r="O90" s="16">
        <f t="shared" si="89"/>
        <v>3</v>
      </c>
      <c r="P90" s="15">
        <f t="shared" si="90"/>
        <v>0.06859</v>
      </c>
      <c r="Q90" s="17">
        <f t="shared" si="91"/>
        <v>0.7736952</v>
      </c>
      <c r="R90" s="15">
        <f t="shared" si="103"/>
        <v>79.16</v>
      </c>
      <c r="S90" s="17">
        <f t="shared" si="93"/>
        <v>-78.3863048</v>
      </c>
      <c r="T90" s="15">
        <f>'4'!AG15+'4'!AR15</f>
        <v>47</v>
      </c>
      <c r="U90" s="16">
        <f t="shared" si="94"/>
        <v>104.744680851064</v>
      </c>
      <c r="V90" s="15">
        <f t="shared" si="95"/>
        <v>0.276355</v>
      </c>
      <c r="W90" s="17">
        <f t="shared" si="96"/>
        <v>1278.8659251</v>
      </c>
      <c r="X90" s="15">
        <f t="shared" si="97"/>
        <v>773.08</v>
      </c>
      <c r="Y90" s="17">
        <f t="shared" si="98"/>
        <v>505.7859251</v>
      </c>
      <c r="Z90" s="18">
        <f>'4'!BA15</f>
        <v>0</v>
      </c>
      <c r="AA90" s="18">
        <f>'4'!BD15</f>
        <v>2</v>
      </c>
      <c r="AB90" s="18">
        <f>'4'!BE15</f>
        <v>2</v>
      </c>
      <c r="AC90" s="18">
        <f>'4'!BF15</f>
        <v>1</v>
      </c>
      <c r="AD90" s="17">
        <f t="shared" si="99"/>
        <v>102.654445042137</v>
      </c>
      <c r="AE90" s="19">
        <f t="shared" si="100"/>
        <v>-73.2648247421374</v>
      </c>
      <c r="AF90" s="2">
        <f t="shared" si="101"/>
        <v>75</v>
      </c>
      <c r="AG90" s="2">
        <f>'4'!BH15</f>
        <v>75</v>
      </c>
    </row>
    <row r="91" spans="1:33">
      <c r="A91" s="10">
        <v>46116</v>
      </c>
      <c r="B91" s="11" t="s">
        <v>3327</v>
      </c>
      <c r="C91" s="11" t="s">
        <v>3289</v>
      </c>
      <c r="D91" s="11" t="s">
        <v>3319</v>
      </c>
      <c r="E91" s="13">
        <f>SUMIFS(卸车数据!$J$6:$J$1048576,卸车数据!$R$6:$R$1048576,"&gt;="&amp;A91+TIME(13,0,0),卸车数据!$R$6:$R$1048576,"&lt;"&amp;A91+TIME(14,0,0))</f>
        <v>7321</v>
      </c>
      <c r="F91" s="13">
        <v>2440</v>
      </c>
      <c r="G91" s="14">
        <v>2721</v>
      </c>
      <c r="H91" s="15">
        <f t="shared" si="84"/>
        <v>4</v>
      </c>
      <c r="I91" s="15">
        <f t="shared" si="85"/>
        <v>100.75</v>
      </c>
      <c r="J91" s="15">
        <f>'4'!K16</f>
        <v>12</v>
      </c>
      <c r="K91" s="16">
        <f t="shared" si="86"/>
        <v>610.083333333333</v>
      </c>
      <c r="L91" s="15">
        <f t="shared" si="102"/>
        <v>195.48</v>
      </c>
      <c r="M91" s="17">
        <f t="shared" si="88"/>
        <v>-195.48</v>
      </c>
      <c r="N91" s="15">
        <f>'4'!W16</f>
        <v>22</v>
      </c>
      <c r="O91" s="16">
        <f t="shared" si="89"/>
        <v>123.681818181818</v>
      </c>
      <c r="P91" s="15">
        <f t="shared" si="90"/>
        <v>0.06859</v>
      </c>
      <c r="Q91" s="17">
        <f t="shared" si="91"/>
        <v>175.4353866</v>
      </c>
      <c r="R91" s="15">
        <f t="shared" si="103"/>
        <v>340.88</v>
      </c>
      <c r="S91" s="17">
        <f t="shared" si="93"/>
        <v>-165.4446134</v>
      </c>
      <c r="T91" s="15">
        <f>'4'!AG16+'4'!AR16</f>
        <v>36</v>
      </c>
      <c r="U91" s="16">
        <f t="shared" si="94"/>
        <v>67.7777777777778</v>
      </c>
      <c r="V91" s="15">
        <f t="shared" si="95"/>
        <v>0.276355</v>
      </c>
      <c r="W91" s="17">
        <f t="shared" si="96"/>
        <v>633.847828</v>
      </c>
      <c r="X91" s="15">
        <f t="shared" si="97"/>
        <v>612.26</v>
      </c>
      <c r="Y91" s="17">
        <f t="shared" si="98"/>
        <v>21.5878279999998</v>
      </c>
      <c r="Z91" s="18">
        <f>'4'!BA16</f>
        <v>0</v>
      </c>
      <c r="AA91" s="18">
        <f>'4'!BD16</f>
        <v>2</v>
      </c>
      <c r="AB91" s="18">
        <f>'4'!BE16</f>
        <v>2</v>
      </c>
      <c r="AC91" s="18">
        <f>'4'!BF16</f>
        <v>1</v>
      </c>
      <c r="AD91" s="17">
        <f t="shared" si="99"/>
        <v>102.654445042137</v>
      </c>
      <c r="AE91" s="19">
        <f t="shared" si="100"/>
        <v>-542.741230442138</v>
      </c>
      <c r="AF91" s="2">
        <f t="shared" si="101"/>
        <v>75</v>
      </c>
      <c r="AG91" s="2">
        <f>'4'!BH16</f>
        <v>75</v>
      </c>
    </row>
    <row r="92" spans="1:33">
      <c r="A92" s="10">
        <v>46116</v>
      </c>
      <c r="B92" s="11" t="s">
        <v>3331</v>
      </c>
      <c r="C92" s="11" t="s">
        <v>3289</v>
      </c>
      <c r="D92" s="11" t="s">
        <v>3319</v>
      </c>
      <c r="E92" s="13">
        <f>SUMIFS(卸车数据!$J$6:$J$1048576,卸车数据!$R$6:$R$1048576,"&gt;="&amp;A92+TIME(14,0,0),卸车数据!$R$6:$R$1048576,"&lt;"&amp;A92+TIME(15,0,0))</f>
        <v>5762</v>
      </c>
      <c r="F92" s="13">
        <v>1110</v>
      </c>
      <c r="G92" s="14">
        <v>12871</v>
      </c>
      <c r="H92" s="15">
        <f t="shared" si="84"/>
        <v>4</v>
      </c>
      <c r="I92" s="15">
        <f t="shared" si="85"/>
        <v>100.75</v>
      </c>
      <c r="J92" s="15">
        <f>'4'!K17</f>
        <v>12</v>
      </c>
      <c r="K92" s="16">
        <f t="shared" si="86"/>
        <v>480.166666666667</v>
      </c>
      <c r="L92" s="15">
        <f t="shared" si="102"/>
        <v>195.48</v>
      </c>
      <c r="M92" s="17">
        <f t="shared" si="88"/>
        <v>-195.48</v>
      </c>
      <c r="N92" s="15">
        <f>'4'!W17</f>
        <v>22</v>
      </c>
      <c r="O92" s="16">
        <f t="shared" si="89"/>
        <v>585.045454545455</v>
      </c>
      <c r="P92" s="15">
        <f t="shared" si="90"/>
        <v>0.06859</v>
      </c>
      <c r="Q92" s="17">
        <f t="shared" si="91"/>
        <v>829.8525766</v>
      </c>
      <c r="R92" s="15">
        <f t="shared" si="103"/>
        <v>340.88</v>
      </c>
      <c r="S92" s="17">
        <f t="shared" si="93"/>
        <v>488.9725766</v>
      </c>
      <c r="T92" s="15">
        <f>'4'!AG17+'4'!AR17</f>
        <v>36</v>
      </c>
      <c r="U92" s="16">
        <f t="shared" si="94"/>
        <v>30.8333333333333</v>
      </c>
      <c r="V92" s="15">
        <f t="shared" si="95"/>
        <v>0.276355</v>
      </c>
      <c r="W92" s="17">
        <f t="shared" si="96"/>
        <v>288.348807</v>
      </c>
      <c r="X92" s="15">
        <f t="shared" si="97"/>
        <v>612.26</v>
      </c>
      <c r="Y92" s="17">
        <f t="shared" si="98"/>
        <v>-323.911193</v>
      </c>
      <c r="Z92" s="18">
        <f>'4'!BA17</f>
        <v>0</v>
      </c>
      <c r="AA92" s="18">
        <f>'4'!BD17</f>
        <v>2</v>
      </c>
      <c r="AB92" s="18">
        <f>'4'!BE17</f>
        <v>2</v>
      </c>
      <c r="AC92" s="18">
        <f>'4'!BF17</f>
        <v>1</v>
      </c>
      <c r="AD92" s="17">
        <f t="shared" si="99"/>
        <v>102.654445042137</v>
      </c>
      <c r="AE92" s="19">
        <f t="shared" si="100"/>
        <v>-233.823061442138</v>
      </c>
      <c r="AF92" s="2">
        <f t="shared" si="101"/>
        <v>75</v>
      </c>
      <c r="AG92" s="2">
        <f>'4'!BH17</f>
        <v>75</v>
      </c>
    </row>
    <row r="93" spans="1:33">
      <c r="A93" s="10">
        <v>46116</v>
      </c>
      <c r="B93" s="11" t="s">
        <v>3334</v>
      </c>
      <c r="C93" s="11" t="s">
        <v>3289</v>
      </c>
      <c r="D93" s="12" t="s">
        <v>22</v>
      </c>
      <c r="E93" s="13">
        <f>SUMIFS(卸车数据!$J$6:$J$1048576,卸车数据!$R$6:$R$1048576,"&gt;="&amp;A93+TIME(15,0,0),卸车数据!$R$6:$R$1048576,"&lt;"&amp;A93+TIME(16,0,0))</f>
        <v>0</v>
      </c>
      <c r="F93" s="13">
        <v>2650</v>
      </c>
      <c r="G93" s="14">
        <v>5215</v>
      </c>
      <c r="H93" s="15">
        <f t="shared" si="84"/>
        <v>4</v>
      </c>
      <c r="I93" s="15">
        <f t="shared" si="85"/>
        <v>100.75</v>
      </c>
      <c r="J93" s="15">
        <f>'4'!K18</f>
        <v>12</v>
      </c>
      <c r="K93" s="16">
        <f t="shared" si="86"/>
        <v>0</v>
      </c>
      <c r="L93" s="15">
        <f t="shared" si="102"/>
        <v>195.48</v>
      </c>
      <c r="M93" s="17">
        <f t="shared" si="88"/>
        <v>-195.48</v>
      </c>
      <c r="N93" s="15">
        <f>'4'!W18</f>
        <v>22</v>
      </c>
      <c r="O93" s="16">
        <f t="shared" si="89"/>
        <v>237.045454545455</v>
      </c>
      <c r="P93" s="15">
        <f t="shared" si="90"/>
        <v>0.06859</v>
      </c>
      <c r="Q93" s="17">
        <f t="shared" si="91"/>
        <v>336.235039</v>
      </c>
      <c r="R93" s="15">
        <f t="shared" si="103"/>
        <v>340.88</v>
      </c>
      <c r="S93" s="17">
        <f t="shared" si="93"/>
        <v>-4.64496100000002</v>
      </c>
      <c r="T93" s="15">
        <f>'4'!AG18+'4'!AR18</f>
        <v>36</v>
      </c>
      <c r="U93" s="16">
        <f t="shared" si="94"/>
        <v>73.6111111111111</v>
      </c>
      <c r="V93" s="15">
        <f t="shared" si="95"/>
        <v>0.276355</v>
      </c>
      <c r="W93" s="17">
        <f t="shared" si="96"/>
        <v>688.400305</v>
      </c>
      <c r="X93" s="15">
        <f t="shared" si="97"/>
        <v>612.26</v>
      </c>
      <c r="Y93" s="17">
        <f t="shared" si="98"/>
        <v>76.1403049999998</v>
      </c>
      <c r="Z93" s="18">
        <f>'4'!BA18</f>
        <v>0</v>
      </c>
      <c r="AA93" s="18">
        <f>'4'!BD18</f>
        <v>2</v>
      </c>
      <c r="AB93" s="18">
        <f>'4'!BE18</f>
        <v>2</v>
      </c>
      <c r="AC93" s="18">
        <f>'4'!BF18</f>
        <v>1</v>
      </c>
      <c r="AD93" s="17">
        <f t="shared" si="99"/>
        <v>102.654445042137</v>
      </c>
      <c r="AE93" s="19">
        <f t="shared" si="100"/>
        <v>-327.389101042138</v>
      </c>
      <c r="AF93" s="2">
        <f t="shared" si="101"/>
        <v>75</v>
      </c>
      <c r="AG93" s="2">
        <f>'4'!BH18</f>
        <v>75</v>
      </c>
    </row>
    <row r="94" spans="1:33">
      <c r="A94" s="10">
        <v>46116</v>
      </c>
      <c r="B94" s="11" t="s">
        <v>3339</v>
      </c>
      <c r="C94" s="11" t="s">
        <v>3289</v>
      </c>
      <c r="D94" s="12" t="s">
        <v>22</v>
      </c>
      <c r="E94" s="13">
        <f>SUMIFS(卸车数据!$J$6:$J$1048576,卸车数据!$R$6:$R$1048576,"&gt;="&amp;A94+TIME(16,0,0),卸车数据!$R$6:$R$1048576,"&lt;"&amp;A94+TIME(17,0,0))</f>
        <v>0</v>
      </c>
      <c r="F94" s="13">
        <v>3299</v>
      </c>
      <c r="G94" s="14">
        <v>10391</v>
      </c>
      <c r="H94" s="15">
        <f t="shared" si="84"/>
        <v>4</v>
      </c>
      <c r="I94" s="15">
        <f t="shared" si="85"/>
        <v>100.75</v>
      </c>
      <c r="J94" s="15">
        <f>'4'!K19</f>
        <v>12</v>
      </c>
      <c r="K94" s="16">
        <f t="shared" si="86"/>
        <v>0</v>
      </c>
      <c r="L94" s="15">
        <f t="shared" si="102"/>
        <v>195.48</v>
      </c>
      <c r="M94" s="17">
        <f t="shared" si="88"/>
        <v>-195.48</v>
      </c>
      <c r="N94" s="15">
        <f>'4'!W19</f>
        <v>22</v>
      </c>
      <c r="O94" s="16">
        <f t="shared" si="89"/>
        <v>472.318181818182</v>
      </c>
      <c r="P94" s="15">
        <f t="shared" si="90"/>
        <v>0.06859</v>
      </c>
      <c r="Q94" s="17">
        <f t="shared" si="91"/>
        <v>669.9555686</v>
      </c>
      <c r="R94" s="15">
        <f t="shared" si="103"/>
        <v>340.88</v>
      </c>
      <c r="S94" s="17">
        <f t="shared" si="93"/>
        <v>329.0755686</v>
      </c>
      <c r="T94" s="15">
        <f>'4'!AG19+'4'!AR19</f>
        <v>36</v>
      </c>
      <c r="U94" s="16">
        <f t="shared" si="94"/>
        <v>91.6388888888889</v>
      </c>
      <c r="V94" s="15">
        <f t="shared" si="95"/>
        <v>0.276355</v>
      </c>
      <c r="W94" s="17">
        <f t="shared" si="96"/>
        <v>856.9934363</v>
      </c>
      <c r="X94" s="15">
        <f t="shared" si="97"/>
        <v>612.26</v>
      </c>
      <c r="Y94" s="17">
        <f t="shared" si="98"/>
        <v>244.7334363</v>
      </c>
      <c r="Z94" s="18">
        <f>'4'!BA19</f>
        <v>0</v>
      </c>
      <c r="AA94" s="18">
        <f>'4'!BD19</f>
        <v>2</v>
      </c>
      <c r="AB94" s="18">
        <f>'4'!BE19</f>
        <v>2</v>
      </c>
      <c r="AC94" s="18">
        <f>'4'!BF19</f>
        <v>1</v>
      </c>
      <c r="AD94" s="17">
        <f t="shared" si="99"/>
        <v>102.654445042137</v>
      </c>
      <c r="AE94" s="19">
        <f t="shared" si="100"/>
        <v>174.924559857863</v>
      </c>
      <c r="AF94" s="2">
        <f t="shared" si="101"/>
        <v>75</v>
      </c>
      <c r="AG94" s="2">
        <f>'4'!BH19</f>
        <v>75</v>
      </c>
    </row>
    <row r="95" spans="1:33">
      <c r="A95" s="10">
        <v>46116</v>
      </c>
      <c r="B95" s="11" t="s">
        <v>3344</v>
      </c>
      <c r="C95" s="11" t="s">
        <v>3289</v>
      </c>
      <c r="D95" s="11" t="s">
        <v>3319</v>
      </c>
      <c r="E95" s="13">
        <f>SUMIFS(卸车数据!$J$6:$J$1048576,卸车数据!$R$6:$R$1048576,"&gt;="&amp;A95+TIME(17,0,0),卸车数据!$R$6:$R$1048576,"&lt;"&amp;A95+TIME(18,0,0))</f>
        <v>3827</v>
      </c>
      <c r="F95" s="13">
        <v>2580</v>
      </c>
      <c r="G95" s="14">
        <v>4797</v>
      </c>
      <c r="H95" s="15">
        <f t="shared" si="84"/>
        <v>4</v>
      </c>
      <c r="I95" s="15">
        <f t="shared" si="85"/>
        <v>100.75</v>
      </c>
      <c r="J95" s="15">
        <f>'4'!K20</f>
        <v>12</v>
      </c>
      <c r="K95" s="16">
        <f t="shared" si="86"/>
        <v>318.916666666667</v>
      </c>
      <c r="L95" s="15">
        <f t="shared" si="102"/>
        <v>195.48</v>
      </c>
      <c r="M95" s="17">
        <f t="shared" si="88"/>
        <v>-195.48</v>
      </c>
      <c r="N95" s="15">
        <f>'4'!W20</f>
        <v>22</v>
      </c>
      <c r="O95" s="16">
        <f t="shared" si="89"/>
        <v>218.045454545455</v>
      </c>
      <c r="P95" s="15">
        <f t="shared" si="90"/>
        <v>0.06859</v>
      </c>
      <c r="Q95" s="17">
        <f t="shared" si="91"/>
        <v>309.2846562</v>
      </c>
      <c r="R95" s="15">
        <f t="shared" si="103"/>
        <v>340.88</v>
      </c>
      <c r="S95" s="17">
        <f t="shared" si="93"/>
        <v>-31.5953438</v>
      </c>
      <c r="T95" s="15">
        <f>'4'!AG20+'4'!AR20</f>
        <v>36</v>
      </c>
      <c r="U95" s="16">
        <f t="shared" si="94"/>
        <v>71.6666666666667</v>
      </c>
      <c r="V95" s="15">
        <f t="shared" si="95"/>
        <v>0.276355</v>
      </c>
      <c r="W95" s="17">
        <f t="shared" si="96"/>
        <v>670.216146</v>
      </c>
      <c r="X95" s="15">
        <f t="shared" si="97"/>
        <v>612.26</v>
      </c>
      <c r="Y95" s="17">
        <f t="shared" si="98"/>
        <v>57.9561459999999</v>
      </c>
      <c r="Z95" s="18">
        <f>'4'!BA20</f>
        <v>0</v>
      </c>
      <c r="AA95" s="18">
        <f>'4'!BD20</f>
        <v>2</v>
      </c>
      <c r="AB95" s="18">
        <f>'4'!BE20</f>
        <v>2</v>
      </c>
      <c r="AC95" s="18">
        <f>'4'!BF20</f>
        <v>1</v>
      </c>
      <c r="AD95" s="17">
        <f t="shared" si="99"/>
        <v>102.654445042137</v>
      </c>
      <c r="AE95" s="19">
        <f t="shared" si="100"/>
        <v>-372.523642842138</v>
      </c>
      <c r="AF95" s="2">
        <f t="shared" si="101"/>
        <v>75</v>
      </c>
      <c r="AG95" s="2">
        <f>'4'!BH20</f>
        <v>75</v>
      </c>
    </row>
    <row r="96" spans="1:33">
      <c r="A96" s="10">
        <v>46116</v>
      </c>
      <c r="B96" s="11" t="s">
        <v>3347</v>
      </c>
      <c r="C96" s="11" t="s">
        <v>3265</v>
      </c>
      <c r="D96" s="11" t="s">
        <v>3319</v>
      </c>
      <c r="E96" s="13">
        <f>SUMIFS(卸车数据!$J$6:$J$1048576,卸车数据!$R$6:$R$1048576,"&gt;="&amp;A96+TIME(18,0,0),卸车数据!$R$6:$R$1048576,"&lt;"&amp;A96+TIME(19,0,0))</f>
        <v>18493</v>
      </c>
      <c r="F96" s="13">
        <v>3058</v>
      </c>
      <c r="G96" s="14">
        <v>745</v>
      </c>
      <c r="H96" s="15">
        <f t="shared" si="84"/>
        <v>2</v>
      </c>
      <c r="I96" s="15">
        <f t="shared" si="85"/>
        <v>44.0122222222222</v>
      </c>
      <c r="J96" s="15">
        <f>'4'!K21</f>
        <v>28</v>
      </c>
      <c r="K96" s="16">
        <f t="shared" si="86"/>
        <v>660.464285714286</v>
      </c>
      <c r="L96" s="15">
        <f t="shared" ref="L96:L101" si="104">J96*14.62+21</f>
        <v>430.36</v>
      </c>
      <c r="M96" s="17">
        <f t="shared" si="88"/>
        <v>-430.36</v>
      </c>
      <c r="N96" s="15">
        <f>'4'!W21</f>
        <v>21</v>
      </c>
      <c r="O96" s="16">
        <f t="shared" si="89"/>
        <v>35.4761904761905</v>
      </c>
      <c r="P96" s="15">
        <f t="shared" si="90"/>
        <v>0.06859</v>
      </c>
      <c r="Q96" s="17">
        <f t="shared" si="91"/>
        <v>48.033577</v>
      </c>
      <c r="R96" s="15">
        <f t="shared" ref="R96:R101" si="105">(N96-13)*14.62+13*18+21</f>
        <v>371.96</v>
      </c>
      <c r="S96" s="17">
        <f t="shared" si="93"/>
        <v>-323.926423</v>
      </c>
      <c r="T96" s="15">
        <f>'4'!AG21+'4'!AR21</f>
        <v>58</v>
      </c>
      <c r="U96" s="16">
        <f t="shared" si="94"/>
        <v>52.7241379310345</v>
      </c>
      <c r="V96" s="15">
        <f t="shared" si="95"/>
        <v>0.276355</v>
      </c>
      <c r="W96" s="17">
        <f t="shared" si="96"/>
        <v>794.3879746</v>
      </c>
      <c r="X96" s="15">
        <f t="shared" si="97"/>
        <v>933.9</v>
      </c>
      <c r="Y96" s="17">
        <f t="shared" si="98"/>
        <v>-139.5120254</v>
      </c>
      <c r="Z96" s="18">
        <f>'4'!BA21</f>
        <v>4</v>
      </c>
      <c r="AA96" s="18">
        <f>'4'!BD21</f>
        <v>3</v>
      </c>
      <c r="AB96" s="18">
        <f>'4'!BE21</f>
        <v>0</v>
      </c>
      <c r="AC96" s="18">
        <f>'4'!BF21</f>
        <v>1</v>
      </c>
      <c r="AD96" s="17">
        <f t="shared" si="99"/>
        <v>139.777009144701</v>
      </c>
      <c r="AE96" s="19">
        <f t="shared" si="100"/>
        <v>-1077.58767976692</v>
      </c>
      <c r="AF96" s="2">
        <f t="shared" si="101"/>
        <v>115</v>
      </c>
      <c r="AG96" s="2">
        <f>'4'!BH21</f>
        <v>115</v>
      </c>
    </row>
    <row r="97" spans="1:33">
      <c r="A97" s="10">
        <v>46116</v>
      </c>
      <c r="B97" s="11" t="s">
        <v>3351</v>
      </c>
      <c r="C97" s="11" t="s">
        <v>3265</v>
      </c>
      <c r="D97" s="11" t="s">
        <v>3319</v>
      </c>
      <c r="E97" s="13">
        <f>SUMIFS(卸车数据!$J$6:$J$1048576,卸车数据!$R$6:$R$1048576,"&gt;="&amp;A97+TIME(19,0,0),卸车数据!$R$6:$R$1048576,"&lt;"&amp;A97+TIME(20,0,0))</f>
        <v>21324</v>
      </c>
      <c r="F97" s="13">
        <v>6711</v>
      </c>
      <c r="G97" s="14">
        <v>11504</v>
      </c>
      <c r="H97" s="15">
        <f t="shared" si="84"/>
        <v>2</v>
      </c>
      <c r="I97" s="15">
        <f t="shared" si="85"/>
        <v>44.0122222222222</v>
      </c>
      <c r="J97" s="15">
        <f>'4'!K22</f>
        <v>28</v>
      </c>
      <c r="K97" s="16">
        <f t="shared" si="86"/>
        <v>761.571428571429</v>
      </c>
      <c r="L97" s="15">
        <f t="shared" si="104"/>
        <v>430.36</v>
      </c>
      <c r="M97" s="17">
        <f t="shared" si="88"/>
        <v>-430.36</v>
      </c>
      <c r="N97" s="15">
        <f>'4'!W22</f>
        <v>31</v>
      </c>
      <c r="O97" s="16">
        <f t="shared" si="89"/>
        <v>371.096774193548</v>
      </c>
      <c r="P97" s="15">
        <f t="shared" si="90"/>
        <v>0.06859</v>
      </c>
      <c r="Q97" s="17">
        <f t="shared" si="91"/>
        <v>741.7157984</v>
      </c>
      <c r="R97" s="15">
        <f t="shared" si="105"/>
        <v>518.16</v>
      </c>
      <c r="S97" s="17">
        <f t="shared" si="93"/>
        <v>223.5557984</v>
      </c>
      <c r="T97" s="15">
        <f>'4'!AG22+'4'!AR22</f>
        <v>48</v>
      </c>
      <c r="U97" s="16">
        <f t="shared" si="94"/>
        <v>139.8125</v>
      </c>
      <c r="V97" s="15">
        <f t="shared" si="95"/>
        <v>0.276355</v>
      </c>
      <c r="W97" s="17">
        <f t="shared" si="96"/>
        <v>1743.3413007</v>
      </c>
      <c r="X97" s="15">
        <f t="shared" si="97"/>
        <v>787.7</v>
      </c>
      <c r="Y97" s="17">
        <f t="shared" si="98"/>
        <v>955.6413007</v>
      </c>
      <c r="Z97" s="18">
        <f>'4'!BA22</f>
        <v>4</v>
      </c>
      <c r="AA97" s="18">
        <f>'4'!BD22</f>
        <v>3</v>
      </c>
      <c r="AB97" s="18">
        <f>'4'!BE22</f>
        <v>0</v>
      </c>
      <c r="AC97" s="18">
        <f>'4'!BF22</f>
        <v>1</v>
      </c>
      <c r="AD97" s="17">
        <f t="shared" si="99"/>
        <v>139.777009144701</v>
      </c>
      <c r="AE97" s="19">
        <f t="shared" si="100"/>
        <v>565.047867733076</v>
      </c>
      <c r="AF97" s="2">
        <f t="shared" si="101"/>
        <v>115</v>
      </c>
      <c r="AG97" s="2">
        <f>'4'!BH22</f>
        <v>115</v>
      </c>
    </row>
    <row r="98" spans="1:33">
      <c r="A98" s="10">
        <v>46116</v>
      </c>
      <c r="B98" s="11" t="s">
        <v>3352</v>
      </c>
      <c r="C98" s="11" t="s">
        <v>3265</v>
      </c>
      <c r="D98" s="11" t="s">
        <v>3319</v>
      </c>
      <c r="E98" s="13">
        <f>SUMIFS(卸车数据!$J$6:$J$1048576,卸车数据!$R$6:$R$1048576,"&gt;="&amp;A98+TIME(20,0,0),卸车数据!$R$6:$R$1048576,"&lt;"&amp;A98+TIME(21,0,0))</f>
        <v>17178</v>
      </c>
      <c r="F98" s="13">
        <v>5183</v>
      </c>
      <c r="G98" s="14">
        <v>14881</v>
      </c>
      <c r="H98" s="15">
        <f t="shared" si="84"/>
        <v>2</v>
      </c>
      <c r="I98" s="15">
        <f t="shared" si="85"/>
        <v>44.0122222222222</v>
      </c>
      <c r="J98" s="15">
        <f>'4'!K23</f>
        <v>28</v>
      </c>
      <c r="K98" s="16">
        <f t="shared" si="86"/>
        <v>613.5</v>
      </c>
      <c r="L98" s="15">
        <f t="shared" si="104"/>
        <v>430.36</v>
      </c>
      <c r="M98" s="17">
        <f t="shared" si="88"/>
        <v>-430.36</v>
      </c>
      <c r="N98" s="15">
        <f>'4'!W23</f>
        <v>31</v>
      </c>
      <c r="O98" s="16">
        <f t="shared" si="89"/>
        <v>480.032258064516</v>
      </c>
      <c r="P98" s="15">
        <f t="shared" si="90"/>
        <v>0.06859</v>
      </c>
      <c r="Q98" s="17">
        <f t="shared" si="91"/>
        <v>959.4465226</v>
      </c>
      <c r="R98" s="15">
        <f t="shared" si="105"/>
        <v>518.16</v>
      </c>
      <c r="S98" s="17">
        <f t="shared" si="93"/>
        <v>441.2865226</v>
      </c>
      <c r="T98" s="15">
        <f>'4'!AG23+'4'!AR23</f>
        <v>48</v>
      </c>
      <c r="U98" s="16">
        <f t="shared" si="94"/>
        <v>107.979166666667</v>
      </c>
      <c r="V98" s="15">
        <f t="shared" si="95"/>
        <v>0.276355</v>
      </c>
      <c r="W98" s="17">
        <f t="shared" si="96"/>
        <v>1346.4070871</v>
      </c>
      <c r="X98" s="15">
        <f t="shared" si="97"/>
        <v>787.7</v>
      </c>
      <c r="Y98" s="17">
        <f t="shared" si="98"/>
        <v>558.7070871</v>
      </c>
      <c r="Z98" s="18">
        <f>'4'!BA23</f>
        <v>4</v>
      </c>
      <c r="AA98" s="18">
        <f>'4'!BD23</f>
        <v>3</v>
      </c>
      <c r="AB98" s="18">
        <f>'4'!BE23</f>
        <v>0</v>
      </c>
      <c r="AC98" s="18">
        <f>'4'!BF23</f>
        <v>1</v>
      </c>
      <c r="AD98" s="17">
        <f t="shared" si="99"/>
        <v>139.777009144701</v>
      </c>
      <c r="AE98" s="19">
        <f t="shared" si="100"/>
        <v>385.844378333076</v>
      </c>
      <c r="AF98" s="2">
        <f t="shared" si="101"/>
        <v>115</v>
      </c>
      <c r="AG98" s="2">
        <f>'4'!BH23</f>
        <v>115</v>
      </c>
    </row>
    <row r="99" spans="1:33">
      <c r="A99" s="10">
        <v>46116</v>
      </c>
      <c r="B99" s="11" t="s">
        <v>3354</v>
      </c>
      <c r="C99" s="11" t="s">
        <v>3265</v>
      </c>
      <c r="D99" s="11" t="s">
        <v>3319</v>
      </c>
      <c r="E99" s="13">
        <f>SUMIFS(卸车数据!$J$6:$J$1048576,卸车数据!$R$6:$R$1048576,"&gt;="&amp;A99+TIME(21,0,0),卸车数据!$R$6:$R$1048576,"&lt;"&amp;A99+TIME(22,0,0))</f>
        <v>6540</v>
      </c>
      <c r="F99" s="13">
        <v>3849</v>
      </c>
      <c r="G99" s="14">
        <v>13353</v>
      </c>
      <c r="H99" s="15">
        <f t="shared" si="84"/>
        <v>2</v>
      </c>
      <c r="I99" s="15">
        <f t="shared" si="85"/>
        <v>44.0122222222222</v>
      </c>
      <c r="J99" s="15">
        <f>'4'!K24</f>
        <v>28</v>
      </c>
      <c r="K99" s="16">
        <f t="shared" si="86"/>
        <v>233.571428571429</v>
      </c>
      <c r="L99" s="15">
        <f t="shared" si="104"/>
        <v>430.36</v>
      </c>
      <c r="M99" s="17">
        <f t="shared" si="88"/>
        <v>-430.36</v>
      </c>
      <c r="N99" s="15">
        <f>'4'!W24</f>
        <v>31</v>
      </c>
      <c r="O99" s="16">
        <f t="shared" si="89"/>
        <v>430.741935483871</v>
      </c>
      <c r="P99" s="15">
        <f t="shared" si="90"/>
        <v>0.06859</v>
      </c>
      <c r="Q99" s="17">
        <f t="shared" si="91"/>
        <v>860.9293338</v>
      </c>
      <c r="R99" s="15">
        <f t="shared" si="105"/>
        <v>518.16</v>
      </c>
      <c r="S99" s="17">
        <f t="shared" si="93"/>
        <v>342.7693338</v>
      </c>
      <c r="T99" s="15">
        <f>'4'!AG24+'4'!AR24</f>
        <v>48</v>
      </c>
      <c r="U99" s="16">
        <f t="shared" si="94"/>
        <v>80.1875</v>
      </c>
      <c r="V99" s="15">
        <f t="shared" si="95"/>
        <v>0.276355</v>
      </c>
      <c r="W99" s="17">
        <f t="shared" si="96"/>
        <v>999.8689713</v>
      </c>
      <c r="X99" s="15">
        <f t="shared" si="97"/>
        <v>787.7</v>
      </c>
      <c r="Y99" s="17">
        <f t="shared" si="98"/>
        <v>212.1689713</v>
      </c>
      <c r="Z99" s="18">
        <f>'4'!BA24</f>
        <v>4</v>
      </c>
      <c r="AA99" s="18">
        <f>'4'!BD24</f>
        <v>3</v>
      </c>
      <c r="AB99" s="18">
        <f>'4'!BE24</f>
        <v>0</v>
      </c>
      <c r="AC99" s="18">
        <f>'4'!BF24</f>
        <v>1</v>
      </c>
      <c r="AD99" s="17">
        <f t="shared" si="99"/>
        <v>139.777009144701</v>
      </c>
      <c r="AE99" s="19">
        <f t="shared" si="100"/>
        <v>-59.210926266924</v>
      </c>
      <c r="AF99" s="2">
        <f t="shared" si="101"/>
        <v>115</v>
      </c>
      <c r="AG99" s="2">
        <f>'4'!BH24</f>
        <v>115</v>
      </c>
    </row>
    <row r="100" spans="1:33">
      <c r="A100" s="10">
        <v>46116</v>
      </c>
      <c r="B100" s="11" t="s">
        <v>3355</v>
      </c>
      <c r="C100" s="11" t="s">
        <v>3265</v>
      </c>
      <c r="D100" s="11" t="s">
        <v>3319</v>
      </c>
      <c r="E100" s="13">
        <f>SUMIFS(卸车数据!$J$6:$J$1048576,卸车数据!$R$6:$R$1048576,"&gt;="&amp;A100+TIME(22,0,0),卸车数据!$R$6:$R$1048576,"&lt;"&amp;A100+TIME(23,0,0))</f>
        <v>0</v>
      </c>
      <c r="F100" s="13">
        <v>1056</v>
      </c>
      <c r="G100" s="14">
        <v>7040</v>
      </c>
      <c r="H100" s="15">
        <f t="shared" si="84"/>
        <v>2</v>
      </c>
      <c r="I100" s="15">
        <f t="shared" si="85"/>
        <v>44.0122222222222</v>
      </c>
      <c r="J100" s="15">
        <f>'4'!K25</f>
        <v>28</v>
      </c>
      <c r="K100" s="16">
        <f t="shared" si="86"/>
        <v>0</v>
      </c>
      <c r="L100" s="15">
        <f t="shared" si="104"/>
        <v>430.36</v>
      </c>
      <c r="M100" s="17">
        <f t="shared" si="88"/>
        <v>-430.36</v>
      </c>
      <c r="N100" s="15">
        <f>'4'!W25</f>
        <v>31</v>
      </c>
      <c r="O100" s="16">
        <f t="shared" si="89"/>
        <v>227.096774193548</v>
      </c>
      <c r="P100" s="15">
        <f t="shared" si="90"/>
        <v>0.06859</v>
      </c>
      <c r="Q100" s="17">
        <f t="shared" si="91"/>
        <v>453.901184</v>
      </c>
      <c r="R100" s="15">
        <f t="shared" si="105"/>
        <v>518.16</v>
      </c>
      <c r="S100" s="17">
        <f t="shared" si="93"/>
        <v>-64.258816</v>
      </c>
      <c r="T100" s="15">
        <f>'4'!AG25+'4'!AR25</f>
        <v>48</v>
      </c>
      <c r="U100" s="16">
        <f t="shared" si="94"/>
        <v>22</v>
      </c>
      <c r="V100" s="15">
        <f t="shared" si="95"/>
        <v>0.276355</v>
      </c>
      <c r="W100" s="17">
        <f t="shared" si="96"/>
        <v>274.3210272</v>
      </c>
      <c r="X100" s="15">
        <f t="shared" si="97"/>
        <v>787.7</v>
      </c>
      <c r="Y100" s="17">
        <f t="shared" si="98"/>
        <v>-513.3789728</v>
      </c>
      <c r="Z100" s="18">
        <f>'4'!BA25</f>
        <v>4</v>
      </c>
      <c r="AA100" s="18">
        <f>'4'!BD25</f>
        <v>3</v>
      </c>
      <c r="AB100" s="18">
        <f>'4'!BE25</f>
        <v>0</v>
      </c>
      <c r="AC100" s="18">
        <f>'4'!BF25</f>
        <v>1</v>
      </c>
      <c r="AD100" s="17">
        <f t="shared" si="99"/>
        <v>139.777009144701</v>
      </c>
      <c r="AE100" s="19">
        <f t="shared" si="100"/>
        <v>-1191.78702016692</v>
      </c>
      <c r="AF100" s="2">
        <f t="shared" si="101"/>
        <v>115</v>
      </c>
      <c r="AG100" s="2">
        <f>'4'!BH25</f>
        <v>115</v>
      </c>
    </row>
    <row r="101" spans="1:33">
      <c r="A101" s="10">
        <v>46116</v>
      </c>
      <c r="B101" s="11" t="s">
        <v>3357</v>
      </c>
      <c r="C101" s="11" t="s">
        <v>3265</v>
      </c>
      <c r="D101" s="12" t="s">
        <v>3311</v>
      </c>
      <c r="E101" s="13">
        <f>SUMIFS(卸车数据!$J$6:$J$1048576,卸车数据!$R$6:$R$1048576,"&gt;="&amp;A101+TIME(23,0,0),卸车数据!$R$6:$R$1048576,"&lt;"&amp;A101+TIME(0,0,0))</f>
        <v>0</v>
      </c>
      <c r="F101" s="13">
        <v>5213</v>
      </c>
      <c r="G101" s="14">
        <v>9877</v>
      </c>
      <c r="H101" s="15">
        <f t="shared" si="84"/>
        <v>2</v>
      </c>
      <c r="I101" s="15">
        <f t="shared" si="85"/>
        <v>44.0122222222222</v>
      </c>
      <c r="J101" s="15">
        <f>'4'!K26</f>
        <v>27</v>
      </c>
      <c r="K101" s="16">
        <f t="shared" si="86"/>
        <v>0</v>
      </c>
      <c r="L101" s="15">
        <f t="shared" si="104"/>
        <v>415.74</v>
      </c>
      <c r="M101" s="17">
        <f t="shared" si="88"/>
        <v>-415.74</v>
      </c>
      <c r="N101" s="15">
        <f>'4'!W26</f>
        <v>31</v>
      </c>
      <c r="O101" s="16">
        <f t="shared" si="89"/>
        <v>318.612903225806</v>
      </c>
      <c r="P101" s="15">
        <f t="shared" si="90"/>
        <v>0.06859</v>
      </c>
      <c r="Q101" s="17">
        <f t="shared" si="91"/>
        <v>636.8156242</v>
      </c>
      <c r="R101" s="15">
        <f t="shared" si="105"/>
        <v>518.16</v>
      </c>
      <c r="S101" s="17">
        <f t="shared" si="93"/>
        <v>118.6556242</v>
      </c>
      <c r="T101" s="15">
        <f>'4'!AG26+'4'!AR26</f>
        <v>49</v>
      </c>
      <c r="U101" s="16">
        <f t="shared" si="94"/>
        <v>106.387755102041</v>
      </c>
      <c r="V101" s="15">
        <f t="shared" si="95"/>
        <v>0.276355</v>
      </c>
      <c r="W101" s="17">
        <f t="shared" si="96"/>
        <v>1354.2002981</v>
      </c>
      <c r="X101" s="15">
        <f t="shared" si="97"/>
        <v>802.32</v>
      </c>
      <c r="Y101" s="17">
        <f t="shared" si="98"/>
        <v>551.8802981</v>
      </c>
      <c r="Z101" s="18">
        <f>'4'!BA26</f>
        <v>4</v>
      </c>
      <c r="AA101" s="18">
        <f>'4'!BD26</f>
        <v>3</v>
      </c>
      <c r="AB101" s="18">
        <f>'4'!BE26</f>
        <v>0</v>
      </c>
      <c r="AC101" s="18">
        <f>'4'!BF26</f>
        <v>1</v>
      </c>
      <c r="AD101" s="17">
        <f t="shared" si="99"/>
        <v>139.777009144701</v>
      </c>
      <c r="AE101" s="19">
        <f t="shared" si="100"/>
        <v>71.0066909330763</v>
      </c>
      <c r="AF101" s="2">
        <f t="shared" si="101"/>
        <v>115</v>
      </c>
      <c r="AG101" s="2">
        <f>'4'!BH26</f>
        <v>115</v>
      </c>
    </row>
    <row r="102" spans="1:33">
      <c r="AE102" s="19">
        <f>SUM(AE78:AE101)</f>
        <v>-5781.78732863352</v>
      </c>
    </row>
    <row r="103" spans="1:33">
      <c r="A103" s="10">
        <v>46117</v>
      </c>
      <c r="B103" s="11" t="s">
        <v>3264</v>
      </c>
      <c r="C103" s="11" t="s">
        <v>3265</v>
      </c>
      <c r="D103" s="12" t="s">
        <v>22</v>
      </c>
      <c r="E103" s="13">
        <f>SUMIFS(卸车数据!$J$6:$J$1048576,卸车数据!$R$6:$R$1048576,"&gt;="&amp;A103+TIME(0,0,0),卸车数据!$R$6:$R$1048576,"&lt;"&amp;A103+TIME(1,0,0))</f>
        <v>15241</v>
      </c>
      <c r="F103" s="13">
        <v>1723</v>
      </c>
      <c r="G103" s="14">
        <v>6477</v>
      </c>
      <c r="H103" s="15">
        <f t="shared" ref="H103:H126" si="106">IF(C103="夜班",2,4)</f>
        <v>2</v>
      </c>
      <c r="I103" s="15">
        <f t="shared" ref="I103:I126" si="107">IF(H103=2,21.79+16000/30/24,25.75+12000/30/24*2+30000/30/24)</f>
        <v>44.0122222222222</v>
      </c>
      <c r="J103" s="15">
        <f>'5'!K3</f>
        <v>17</v>
      </c>
      <c r="K103" s="16">
        <f t="shared" ref="K103:K126" si="108">E103/J103</f>
        <v>896.529411764706</v>
      </c>
      <c r="L103" s="15">
        <f t="shared" ref="L103:L109" si="109">J103*14.62+21</f>
        <v>269.54</v>
      </c>
      <c r="M103" s="17">
        <f t="shared" ref="M103:M126" si="110">0-L103</f>
        <v>-269.54</v>
      </c>
      <c r="N103" s="15">
        <f>'5'!W3</f>
        <v>25</v>
      </c>
      <c r="O103" s="16">
        <f t="shared" ref="O103:O126" si="111">G103/N103</f>
        <v>259.08</v>
      </c>
      <c r="P103" s="15">
        <f t="shared" ref="P103:P126" si="112">0.0722*0.95</f>
        <v>0.06859</v>
      </c>
      <c r="Q103" s="17">
        <f t="shared" ref="Q103:Q126" si="113">P103*G103*0.94</f>
        <v>417.6019842</v>
      </c>
      <c r="R103" s="15">
        <f t="shared" ref="R103:R109" si="114">(N103-13)*14.62+13*18+21</f>
        <v>430.44</v>
      </c>
      <c r="S103" s="17">
        <f t="shared" ref="S103:S126" si="115">Q103-R103</f>
        <v>-12.8380158</v>
      </c>
      <c r="T103" s="15">
        <f>'5'!AG3+'5'!AR3</f>
        <v>45</v>
      </c>
      <c r="U103" s="16">
        <f t="shared" ref="U103:U126" si="116">F103/T103</f>
        <v>38.2888888888889</v>
      </c>
      <c r="V103" s="15">
        <f t="shared" ref="V103:V126" si="117">0.2909*0.95</f>
        <v>0.276355</v>
      </c>
      <c r="W103" s="17">
        <f t="shared" ref="W103:W126" si="118">V103*F103*0.94</f>
        <v>447.5900851</v>
      </c>
      <c r="X103" s="15">
        <f t="shared" ref="X103:X126" si="119">(T103-13)*14.62+13*18+42</f>
        <v>743.84</v>
      </c>
      <c r="Y103" s="17">
        <f t="shared" ref="Y103:Y126" si="120">W103-X103</f>
        <v>-296.2499149</v>
      </c>
      <c r="Z103" s="18">
        <f>'5'!BA3</f>
        <v>4</v>
      </c>
      <c r="AA103" s="18">
        <f>'5'!BD3</f>
        <v>3</v>
      </c>
      <c r="AB103" s="18">
        <f>'5'!BE3</f>
        <v>0</v>
      </c>
      <c r="AC103" s="18">
        <f>'5'!BF3</f>
        <v>1</v>
      </c>
      <c r="AD103" s="17">
        <f t="shared" ref="AD103:AD126" si="121">(Z103-1)*14.62+(9000/26/13)+(AA103-1)*14.54+7500/26/11+AB103*(4200/26/9)+AC103*(4000/26/11)</f>
        <v>139.777009144701</v>
      </c>
      <c r="AE103" s="19">
        <f t="shared" ref="AE103:AE126" si="122">M103+S103+Y103-I103-AD103</f>
        <v>-762.417162066924</v>
      </c>
      <c r="AF103" s="2">
        <f t="shared" ref="AF103:AF126" si="123">AB103+AA103+Z103+T103+N103+J103+AC103</f>
        <v>95</v>
      </c>
      <c r="AG103" s="2">
        <f>'5'!BH3</f>
        <v>95</v>
      </c>
    </row>
    <row r="104" spans="1:33">
      <c r="A104" s="10">
        <v>46117</v>
      </c>
      <c r="B104" s="11" t="s">
        <v>3268</v>
      </c>
      <c r="C104" s="11" t="s">
        <v>3265</v>
      </c>
      <c r="D104" s="12" t="s">
        <v>22</v>
      </c>
      <c r="E104" s="13">
        <f>SUMIFS(卸车数据!$J$6:$J$1048576,卸车数据!$R$6:$R$1048576,"&gt;="&amp;A104+TIME(1,0,0),卸车数据!$R$6:$R$1048576,"&lt;"&amp;A104+TIME(2,0,0))</f>
        <v>0</v>
      </c>
      <c r="F104" s="13">
        <v>4004</v>
      </c>
      <c r="G104" s="14">
        <v>11576</v>
      </c>
      <c r="H104" s="15">
        <f t="shared" si="106"/>
        <v>2</v>
      </c>
      <c r="I104" s="15">
        <f t="shared" si="107"/>
        <v>44.0122222222222</v>
      </c>
      <c r="J104" s="15">
        <f>'5'!K4</f>
        <v>17</v>
      </c>
      <c r="K104" s="16">
        <f t="shared" si="108"/>
        <v>0</v>
      </c>
      <c r="L104" s="15">
        <f t="shared" si="109"/>
        <v>269.54</v>
      </c>
      <c r="M104" s="17">
        <f t="shared" si="110"/>
        <v>-269.54</v>
      </c>
      <c r="N104" s="15">
        <f>'5'!W4</f>
        <v>25</v>
      </c>
      <c r="O104" s="16">
        <f t="shared" si="111"/>
        <v>463.04</v>
      </c>
      <c r="P104" s="15">
        <f t="shared" si="112"/>
        <v>0.06859</v>
      </c>
      <c r="Q104" s="17">
        <f t="shared" si="113"/>
        <v>746.3579696</v>
      </c>
      <c r="R104" s="15">
        <f t="shared" si="114"/>
        <v>430.44</v>
      </c>
      <c r="S104" s="17">
        <f t="shared" si="115"/>
        <v>315.9179696</v>
      </c>
      <c r="T104" s="15">
        <f>'5'!AG4+'5'!AR4</f>
        <v>45</v>
      </c>
      <c r="U104" s="16">
        <f t="shared" si="116"/>
        <v>88.9777777777778</v>
      </c>
      <c r="V104" s="15">
        <f t="shared" si="117"/>
        <v>0.276355</v>
      </c>
      <c r="W104" s="17">
        <f t="shared" si="118"/>
        <v>1040.1338948</v>
      </c>
      <c r="X104" s="15">
        <f t="shared" si="119"/>
        <v>743.84</v>
      </c>
      <c r="Y104" s="17">
        <f t="shared" si="120"/>
        <v>296.2938948</v>
      </c>
      <c r="Z104" s="18">
        <f>'5'!BA4</f>
        <v>4</v>
      </c>
      <c r="AA104" s="18">
        <f>'5'!BD4</f>
        <v>3</v>
      </c>
      <c r="AB104" s="18">
        <f>'5'!BE4</f>
        <v>0</v>
      </c>
      <c r="AC104" s="18">
        <f>'5'!BF4</f>
        <v>1</v>
      </c>
      <c r="AD104" s="17">
        <f t="shared" si="121"/>
        <v>139.777009144701</v>
      </c>
      <c r="AE104" s="19">
        <f t="shared" si="122"/>
        <v>158.882633033076</v>
      </c>
      <c r="AF104" s="2">
        <f t="shared" si="123"/>
        <v>95</v>
      </c>
      <c r="AG104" s="2">
        <f>'5'!BH4</f>
        <v>95</v>
      </c>
    </row>
    <row r="105" spans="1:33">
      <c r="A105" s="10">
        <v>46117</v>
      </c>
      <c r="B105" s="11" t="s">
        <v>3270</v>
      </c>
      <c r="C105" s="11" t="s">
        <v>3265</v>
      </c>
      <c r="D105" s="12" t="s">
        <v>22</v>
      </c>
      <c r="E105" s="13">
        <f>SUMIFS(卸车数据!$J$6:$J$1048576,卸车数据!$R$6:$R$1048576,"&gt;="&amp;A105+TIME(2,0,0),卸车数据!$R$6:$R$1048576,"&lt;"&amp;A105+TIME(3,0,0))</f>
        <v>0</v>
      </c>
      <c r="F105" s="13">
        <v>1770</v>
      </c>
      <c r="G105" s="14">
        <v>12721</v>
      </c>
      <c r="H105" s="15">
        <f t="shared" si="106"/>
        <v>2</v>
      </c>
      <c r="I105" s="15">
        <f t="shared" si="107"/>
        <v>44.0122222222222</v>
      </c>
      <c r="J105" s="15">
        <f>'5'!K5</f>
        <v>17</v>
      </c>
      <c r="K105" s="16">
        <f t="shared" si="108"/>
        <v>0</v>
      </c>
      <c r="L105" s="15">
        <f t="shared" si="109"/>
        <v>269.54</v>
      </c>
      <c r="M105" s="17">
        <f t="shared" si="110"/>
        <v>-269.54</v>
      </c>
      <c r="N105" s="15">
        <f>'5'!W5</f>
        <v>25</v>
      </c>
      <c r="O105" s="16">
        <f t="shared" si="111"/>
        <v>508.84</v>
      </c>
      <c r="P105" s="15">
        <f t="shared" si="112"/>
        <v>0.06859</v>
      </c>
      <c r="Q105" s="17">
        <f t="shared" si="113"/>
        <v>820.1813866</v>
      </c>
      <c r="R105" s="15">
        <f t="shared" si="114"/>
        <v>430.44</v>
      </c>
      <c r="S105" s="17">
        <f t="shared" si="115"/>
        <v>389.7413866</v>
      </c>
      <c r="T105" s="15">
        <f>'5'!AG5+'5'!AR5</f>
        <v>45</v>
      </c>
      <c r="U105" s="16">
        <f t="shared" si="116"/>
        <v>39.3333333333333</v>
      </c>
      <c r="V105" s="15">
        <f t="shared" si="117"/>
        <v>0.276355</v>
      </c>
      <c r="W105" s="17">
        <f t="shared" si="118"/>
        <v>459.799449</v>
      </c>
      <c r="X105" s="15">
        <f t="shared" si="119"/>
        <v>743.84</v>
      </c>
      <c r="Y105" s="17">
        <f t="shared" si="120"/>
        <v>-284.040551</v>
      </c>
      <c r="Z105" s="18">
        <f>'5'!BA5</f>
        <v>4</v>
      </c>
      <c r="AA105" s="18">
        <f>'5'!BD5</f>
        <v>3</v>
      </c>
      <c r="AB105" s="18">
        <f>'5'!BE5</f>
        <v>0</v>
      </c>
      <c r="AC105" s="18">
        <f>'5'!BF5</f>
        <v>1</v>
      </c>
      <c r="AD105" s="17">
        <f t="shared" si="121"/>
        <v>139.777009144701</v>
      </c>
      <c r="AE105" s="19">
        <f t="shared" si="122"/>
        <v>-347.628395766924</v>
      </c>
      <c r="AF105" s="2">
        <f t="shared" si="123"/>
        <v>95</v>
      </c>
      <c r="AG105" s="2">
        <f>'5'!BH5</f>
        <v>95</v>
      </c>
    </row>
    <row r="106" spans="1:33">
      <c r="A106" s="10">
        <v>46117</v>
      </c>
      <c r="B106" s="11" t="s">
        <v>3273</v>
      </c>
      <c r="C106" s="11" t="s">
        <v>3265</v>
      </c>
      <c r="D106" s="12" t="s">
        <v>22</v>
      </c>
      <c r="E106" s="13">
        <f>SUMIFS(卸车数据!$J$6:$J$1048576,卸车数据!$R$6:$R$1048576,"&gt;="&amp;A106+TIME(3,0,0),卸车数据!$R$6:$R$1048576,"&lt;"&amp;A106+TIME(4,0,0))</f>
        <v>2140</v>
      </c>
      <c r="F106" s="13">
        <v>3000</v>
      </c>
      <c r="G106" s="14">
        <v>14974</v>
      </c>
      <c r="H106" s="15">
        <f t="shared" si="106"/>
        <v>2</v>
      </c>
      <c r="I106" s="15">
        <f t="shared" si="107"/>
        <v>44.0122222222222</v>
      </c>
      <c r="J106" s="15">
        <f>'5'!K6</f>
        <v>17</v>
      </c>
      <c r="K106" s="16">
        <f t="shared" si="108"/>
        <v>125.882352941176</v>
      </c>
      <c r="L106" s="15">
        <f t="shared" si="109"/>
        <v>269.54</v>
      </c>
      <c r="M106" s="17">
        <f t="shared" si="110"/>
        <v>-269.54</v>
      </c>
      <c r="N106" s="15">
        <f>'5'!W6</f>
        <v>18</v>
      </c>
      <c r="O106" s="16">
        <f t="shared" si="111"/>
        <v>831.888888888889</v>
      </c>
      <c r="P106" s="15">
        <f t="shared" si="112"/>
        <v>0.06859</v>
      </c>
      <c r="Q106" s="17">
        <f t="shared" si="113"/>
        <v>965.4426604</v>
      </c>
      <c r="R106" s="15">
        <f t="shared" si="114"/>
        <v>328.1</v>
      </c>
      <c r="S106" s="17">
        <f t="shared" si="115"/>
        <v>637.3426604</v>
      </c>
      <c r="T106" s="15">
        <f>'5'!AG6+'5'!AR6</f>
        <v>52</v>
      </c>
      <c r="U106" s="16">
        <f t="shared" si="116"/>
        <v>57.6923076923077</v>
      </c>
      <c r="V106" s="15">
        <f t="shared" si="117"/>
        <v>0.276355</v>
      </c>
      <c r="W106" s="17">
        <f t="shared" si="118"/>
        <v>779.3211</v>
      </c>
      <c r="X106" s="15">
        <f t="shared" si="119"/>
        <v>846.18</v>
      </c>
      <c r="Y106" s="17">
        <f t="shared" si="120"/>
        <v>-66.8589000000001</v>
      </c>
      <c r="Z106" s="18">
        <f>'5'!BA6</f>
        <v>4</v>
      </c>
      <c r="AA106" s="18">
        <f>'5'!BD6</f>
        <v>3</v>
      </c>
      <c r="AB106" s="18">
        <f>'5'!BE6</f>
        <v>0</v>
      </c>
      <c r="AC106" s="18">
        <f>'5'!BF6</f>
        <v>1</v>
      </c>
      <c r="AD106" s="17">
        <f t="shared" si="121"/>
        <v>139.777009144701</v>
      </c>
      <c r="AE106" s="19">
        <f t="shared" si="122"/>
        <v>117.154529033076</v>
      </c>
      <c r="AF106" s="2">
        <f t="shared" si="123"/>
        <v>95</v>
      </c>
      <c r="AG106" s="2">
        <f>'5'!BH6</f>
        <v>95</v>
      </c>
    </row>
    <row r="107" spans="1:33">
      <c r="A107" s="10">
        <v>46117</v>
      </c>
      <c r="B107" s="11" t="s">
        <v>3280</v>
      </c>
      <c r="C107" s="11" t="s">
        <v>3265</v>
      </c>
      <c r="D107" s="12" t="s">
        <v>22</v>
      </c>
      <c r="E107" s="13">
        <f>SUMIFS(卸车数据!$J$6:$J$1048576,卸车数据!$R$6:$R$1048576,"&gt;="&amp;A107+TIME(4,0,0),卸车数据!$R$6:$R$1048576,"&lt;"&amp;A107+TIME(5,0,0))</f>
        <v>4026</v>
      </c>
      <c r="F107" s="13">
        <v>2691</v>
      </c>
      <c r="G107" s="14">
        <v>142</v>
      </c>
      <c r="H107" s="15">
        <f t="shared" si="106"/>
        <v>2</v>
      </c>
      <c r="I107" s="15">
        <f t="shared" si="107"/>
        <v>44.0122222222222</v>
      </c>
      <c r="J107" s="15">
        <f>'5'!K7</f>
        <v>17</v>
      </c>
      <c r="K107" s="16">
        <f t="shared" si="108"/>
        <v>236.823529411765</v>
      </c>
      <c r="L107" s="15">
        <f t="shared" si="109"/>
        <v>269.54</v>
      </c>
      <c r="M107" s="17">
        <f t="shared" si="110"/>
        <v>-269.54</v>
      </c>
      <c r="N107" s="15">
        <f>'5'!W7</f>
        <v>25</v>
      </c>
      <c r="O107" s="16">
        <f t="shared" si="111"/>
        <v>5.68</v>
      </c>
      <c r="P107" s="15">
        <f t="shared" si="112"/>
        <v>0.06859</v>
      </c>
      <c r="Q107" s="17">
        <f t="shared" si="113"/>
        <v>9.1553932</v>
      </c>
      <c r="R107" s="15">
        <f t="shared" si="114"/>
        <v>430.44</v>
      </c>
      <c r="S107" s="17">
        <f t="shared" si="115"/>
        <v>-421.2846068</v>
      </c>
      <c r="T107" s="15">
        <f>'5'!AG7+'5'!AR7</f>
        <v>45</v>
      </c>
      <c r="U107" s="16">
        <f t="shared" si="116"/>
        <v>59.8</v>
      </c>
      <c r="V107" s="15">
        <f t="shared" si="117"/>
        <v>0.276355</v>
      </c>
      <c r="W107" s="17">
        <f t="shared" si="118"/>
        <v>699.0510267</v>
      </c>
      <c r="X107" s="15">
        <f t="shared" si="119"/>
        <v>743.84</v>
      </c>
      <c r="Y107" s="17">
        <f t="shared" si="120"/>
        <v>-44.7889733000001</v>
      </c>
      <c r="Z107" s="18">
        <f>'5'!BA7</f>
        <v>4</v>
      </c>
      <c r="AA107" s="18">
        <f>'5'!BD7</f>
        <v>3</v>
      </c>
      <c r="AB107" s="18">
        <f>'5'!BE7</f>
        <v>0</v>
      </c>
      <c r="AC107" s="18">
        <f>'5'!BF7</f>
        <v>1</v>
      </c>
      <c r="AD107" s="17">
        <f t="shared" si="121"/>
        <v>139.777009144701</v>
      </c>
      <c r="AE107" s="19">
        <f t="shared" si="122"/>
        <v>-919.402811466924</v>
      </c>
      <c r="AF107" s="2">
        <f t="shared" si="123"/>
        <v>95</v>
      </c>
      <c r="AG107" s="2">
        <f>'5'!BH7</f>
        <v>95</v>
      </c>
    </row>
    <row r="108" spans="1:33">
      <c r="A108" s="10">
        <v>46117</v>
      </c>
      <c r="B108" s="11" t="s">
        <v>3283</v>
      </c>
      <c r="C108" s="11" t="s">
        <v>3265</v>
      </c>
      <c r="D108" s="12" t="s">
        <v>22</v>
      </c>
      <c r="E108" s="13">
        <f>SUMIFS(卸车数据!$J$6:$J$1048576,卸车数据!$R$6:$R$1048576,"&gt;="&amp;A108+TIME(5,0,0),卸车数据!$R$6:$R$1048576,"&lt;"&amp;A108+TIME(6,0,0))</f>
        <v>122</v>
      </c>
      <c r="F108" s="13">
        <v>2996</v>
      </c>
      <c r="G108" s="14">
        <v>4735</v>
      </c>
      <c r="H108" s="15">
        <f t="shared" si="106"/>
        <v>2</v>
      </c>
      <c r="I108" s="15">
        <f t="shared" si="107"/>
        <v>44.0122222222222</v>
      </c>
      <c r="J108" s="15">
        <f>'5'!K8</f>
        <v>17</v>
      </c>
      <c r="K108" s="16">
        <f t="shared" si="108"/>
        <v>7.17647058823529</v>
      </c>
      <c r="L108" s="15">
        <f t="shared" si="109"/>
        <v>269.54</v>
      </c>
      <c r="M108" s="17">
        <f t="shared" si="110"/>
        <v>-269.54</v>
      </c>
      <c r="N108" s="15">
        <f>'5'!W8</f>
        <v>25</v>
      </c>
      <c r="O108" s="16">
        <f t="shared" si="111"/>
        <v>189.4</v>
      </c>
      <c r="P108" s="15">
        <f t="shared" si="112"/>
        <v>0.06859</v>
      </c>
      <c r="Q108" s="17">
        <f t="shared" si="113"/>
        <v>305.287231</v>
      </c>
      <c r="R108" s="15">
        <f t="shared" si="114"/>
        <v>430.44</v>
      </c>
      <c r="S108" s="17">
        <f t="shared" si="115"/>
        <v>-125.152769</v>
      </c>
      <c r="T108" s="15">
        <f>'5'!AG8+'5'!AR8</f>
        <v>45</v>
      </c>
      <c r="U108" s="16">
        <f t="shared" si="116"/>
        <v>66.5777777777778</v>
      </c>
      <c r="V108" s="15">
        <f t="shared" si="117"/>
        <v>0.276355</v>
      </c>
      <c r="W108" s="17">
        <f t="shared" si="118"/>
        <v>778.2820052</v>
      </c>
      <c r="X108" s="15">
        <f t="shared" si="119"/>
        <v>743.84</v>
      </c>
      <c r="Y108" s="17">
        <f t="shared" si="120"/>
        <v>34.4420051999999</v>
      </c>
      <c r="Z108" s="18">
        <f>'5'!BA8</f>
        <v>4</v>
      </c>
      <c r="AA108" s="18">
        <f>'5'!BD8</f>
        <v>3</v>
      </c>
      <c r="AB108" s="18">
        <f>'5'!BE8</f>
        <v>0</v>
      </c>
      <c r="AC108" s="18">
        <f>'5'!BF8</f>
        <v>1</v>
      </c>
      <c r="AD108" s="17">
        <f t="shared" si="121"/>
        <v>139.777009144701</v>
      </c>
      <c r="AE108" s="19">
        <f t="shared" si="122"/>
        <v>-544.039995166924</v>
      </c>
      <c r="AF108" s="2">
        <f t="shared" si="123"/>
        <v>95</v>
      </c>
      <c r="AG108" s="2">
        <f>'5'!BH8</f>
        <v>95</v>
      </c>
    </row>
    <row r="109" spans="1:33">
      <c r="A109" s="10">
        <v>46117</v>
      </c>
      <c r="B109" s="11" t="s">
        <v>3286</v>
      </c>
      <c r="C109" s="11" t="s">
        <v>3265</v>
      </c>
      <c r="D109" s="12" t="s">
        <v>22</v>
      </c>
      <c r="E109" s="13">
        <f>SUMIFS(卸车数据!$J$6:$J$1048576,卸车数据!$R$6:$R$1048576,"&gt;="&amp;A109+TIME(6,0,0),卸车数据!$R$6:$R$1048576,"&lt;"&amp;A109+TIME(7,0,0))</f>
        <v>502</v>
      </c>
      <c r="F109" s="13">
        <v>1665</v>
      </c>
      <c r="G109" s="14">
        <v>5719</v>
      </c>
      <c r="H109" s="15">
        <f t="shared" si="106"/>
        <v>2</v>
      </c>
      <c r="I109" s="15">
        <f t="shared" si="107"/>
        <v>44.0122222222222</v>
      </c>
      <c r="J109" s="15">
        <f>'5'!K9</f>
        <v>17</v>
      </c>
      <c r="K109" s="16">
        <f t="shared" si="108"/>
        <v>29.5294117647059</v>
      </c>
      <c r="L109" s="15">
        <f t="shared" si="109"/>
        <v>269.54</v>
      </c>
      <c r="M109" s="17">
        <f t="shared" si="110"/>
        <v>-269.54</v>
      </c>
      <c r="N109" s="15">
        <f>'5'!W9</f>
        <v>25</v>
      </c>
      <c r="O109" s="16">
        <f t="shared" si="111"/>
        <v>228.76</v>
      </c>
      <c r="P109" s="15">
        <f t="shared" si="112"/>
        <v>0.06859</v>
      </c>
      <c r="Q109" s="17">
        <f t="shared" si="113"/>
        <v>368.7302374</v>
      </c>
      <c r="R109" s="15">
        <f t="shared" si="114"/>
        <v>430.44</v>
      </c>
      <c r="S109" s="17">
        <f t="shared" si="115"/>
        <v>-61.7097626</v>
      </c>
      <c r="T109" s="15">
        <f>'5'!AG9+'5'!AR9</f>
        <v>45</v>
      </c>
      <c r="U109" s="16">
        <f t="shared" si="116"/>
        <v>37</v>
      </c>
      <c r="V109" s="15">
        <f t="shared" si="117"/>
        <v>0.276355</v>
      </c>
      <c r="W109" s="17">
        <f t="shared" si="118"/>
        <v>432.5232105</v>
      </c>
      <c r="X109" s="15">
        <f t="shared" si="119"/>
        <v>743.84</v>
      </c>
      <c r="Y109" s="17">
        <f t="shared" si="120"/>
        <v>-311.3167895</v>
      </c>
      <c r="Z109" s="18">
        <f>'5'!BA9</f>
        <v>4</v>
      </c>
      <c r="AA109" s="18">
        <f>'5'!BD9</f>
        <v>3</v>
      </c>
      <c r="AB109" s="18">
        <f>'5'!BE9</f>
        <v>0</v>
      </c>
      <c r="AC109" s="18">
        <f>'5'!BF9</f>
        <v>1</v>
      </c>
      <c r="AD109" s="17">
        <f t="shared" si="121"/>
        <v>139.777009144701</v>
      </c>
      <c r="AE109" s="19">
        <f t="shared" si="122"/>
        <v>-826.355783466924</v>
      </c>
      <c r="AF109" s="2">
        <f t="shared" si="123"/>
        <v>95</v>
      </c>
      <c r="AG109" s="2">
        <f>'5'!BH9</f>
        <v>95</v>
      </c>
    </row>
    <row r="110" spans="1:33">
      <c r="A110" s="10">
        <v>46117</v>
      </c>
      <c r="B110" s="11" t="s">
        <v>3288</v>
      </c>
      <c r="C110" s="11" t="s">
        <v>3289</v>
      </c>
      <c r="D110" s="12" t="s">
        <v>22</v>
      </c>
      <c r="E110" s="13">
        <f>SUMIFS(卸车数据!$J$6:$J$1048576,卸车数据!$R$6:$R$1048576,"&gt;="&amp;A110+TIME(7,0,0),卸车数据!$R$6:$R$1048576,"&lt;"&amp;A110+TIME(8,0,0))</f>
        <v>2738</v>
      </c>
      <c r="F110" s="13">
        <v>2669</v>
      </c>
      <c r="G110" s="14">
        <v>366</v>
      </c>
      <c r="H110" s="15">
        <f t="shared" si="106"/>
        <v>4</v>
      </c>
      <c r="I110" s="15">
        <f t="shared" si="107"/>
        <v>100.75</v>
      </c>
      <c r="J110" s="15">
        <f>'5'!K10</f>
        <v>9</v>
      </c>
      <c r="K110" s="16">
        <f t="shared" si="108"/>
        <v>304.222222222222</v>
      </c>
      <c r="L110" s="15">
        <f t="shared" ref="L110:L120" si="124">J110*14.54+21</f>
        <v>151.86</v>
      </c>
      <c r="M110" s="17">
        <f t="shared" si="110"/>
        <v>-151.86</v>
      </c>
      <c r="N110" s="15">
        <f>'5'!W10</f>
        <v>13</v>
      </c>
      <c r="O110" s="16">
        <f t="shared" si="111"/>
        <v>28.1538461538462</v>
      </c>
      <c r="P110" s="15">
        <f t="shared" si="112"/>
        <v>0.06859</v>
      </c>
      <c r="Q110" s="17">
        <f t="shared" si="113"/>
        <v>23.5977036</v>
      </c>
      <c r="R110" s="15">
        <f t="shared" ref="R110:R120" si="125">N110*14.54+21</f>
        <v>210.02</v>
      </c>
      <c r="S110" s="17">
        <f t="shared" si="115"/>
        <v>-186.4222964</v>
      </c>
      <c r="T110" s="15">
        <f>'5'!AG10+'5'!AR10</f>
        <v>32</v>
      </c>
      <c r="U110" s="16">
        <f t="shared" si="116"/>
        <v>83.40625</v>
      </c>
      <c r="V110" s="15">
        <f t="shared" si="117"/>
        <v>0.276355</v>
      </c>
      <c r="W110" s="17">
        <f t="shared" si="118"/>
        <v>693.3360053</v>
      </c>
      <c r="X110" s="15">
        <f t="shared" si="119"/>
        <v>553.78</v>
      </c>
      <c r="Y110" s="17">
        <f t="shared" si="120"/>
        <v>139.5560053</v>
      </c>
      <c r="Z110" s="18">
        <f>'5'!BA10</f>
        <v>0</v>
      </c>
      <c r="AA110" s="18">
        <f>'5'!BD10</f>
        <v>2</v>
      </c>
      <c r="AB110" s="18">
        <f>'5'!BE10</f>
        <v>2</v>
      </c>
      <c r="AC110" s="18">
        <f>'5'!BF10</f>
        <v>1</v>
      </c>
      <c r="AD110" s="17">
        <f t="shared" si="121"/>
        <v>102.654445042137</v>
      </c>
      <c r="AE110" s="19">
        <f t="shared" si="122"/>
        <v>-402.130736142137</v>
      </c>
      <c r="AF110" s="2">
        <f t="shared" si="123"/>
        <v>59</v>
      </c>
      <c r="AG110" s="2">
        <f>'5'!BH10</f>
        <v>59</v>
      </c>
    </row>
    <row r="111" spans="1:33">
      <c r="A111" s="10">
        <v>46117</v>
      </c>
      <c r="B111" s="11" t="s">
        <v>3297</v>
      </c>
      <c r="C111" s="11" t="s">
        <v>3289</v>
      </c>
      <c r="D111" s="12" t="s">
        <v>22</v>
      </c>
      <c r="E111" s="13">
        <f>SUMIFS(卸车数据!$J$6:$J$1048576,卸车数据!$R$6:$R$1048576,"&gt;="&amp;A111+TIME(8,0,0),卸车数据!$R$6:$R$1048576,"&lt;"&amp;A111+TIME(9,0,0))</f>
        <v>339</v>
      </c>
      <c r="F111" s="13">
        <v>343</v>
      </c>
      <c r="G111" s="14">
        <v>3622</v>
      </c>
      <c r="H111" s="15">
        <f t="shared" si="106"/>
        <v>4</v>
      </c>
      <c r="I111" s="15">
        <f t="shared" si="107"/>
        <v>100.75</v>
      </c>
      <c r="J111" s="15">
        <f>'5'!K11</f>
        <v>9</v>
      </c>
      <c r="K111" s="16">
        <f t="shared" si="108"/>
        <v>37.6666666666667</v>
      </c>
      <c r="L111" s="15">
        <f t="shared" si="124"/>
        <v>151.86</v>
      </c>
      <c r="M111" s="17">
        <f t="shared" si="110"/>
        <v>-151.86</v>
      </c>
      <c r="N111" s="15">
        <f>'5'!W11</f>
        <v>13</v>
      </c>
      <c r="O111" s="16">
        <f t="shared" si="111"/>
        <v>278.615384615385</v>
      </c>
      <c r="P111" s="15">
        <f t="shared" si="112"/>
        <v>0.06859</v>
      </c>
      <c r="Q111" s="17">
        <f t="shared" si="113"/>
        <v>233.5270012</v>
      </c>
      <c r="R111" s="15">
        <f t="shared" si="125"/>
        <v>210.02</v>
      </c>
      <c r="S111" s="17">
        <f t="shared" si="115"/>
        <v>23.5070012</v>
      </c>
      <c r="T111" s="15">
        <f>'5'!AG11+'5'!AR11</f>
        <v>32</v>
      </c>
      <c r="U111" s="16">
        <f t="shared" si="116"/>
        <v>10.71875</v>
      </c>
      <c r="V111" s="15">
        <f t="shared" si="117"/>
        <v>0.276355</v>
      </c>
      <c r="W111" s="17">
        <f t="shared" si="118"/>
        <v>89.1023791</v>
      </c>
      <c r="X111" s="15">
        <f t="shared" si="119"/>
        <v>553.78</v>
      </c>
      <c r="Y111" s="17">
        <f t="shared" si="120"/>
        <v>-464.6776209</v>
      </c>
      <c r="Z111" s="18">
        <f>'5'!BA11</f>
        <v>0</v>
      </c>
      <c r="AA111" s="18">
        <f>'5'!BD11</f>
        <v>2</v>
      </c>
      <c r="AB111" s="18">
        <f>'5'!BE11</f>
        <v>2</v>
      </c>
      <c r="AC111" s="18">
        <f>'5'!BF11</f>
        <v>1</v>
      </c>
      <c r="AD111" s="17">
        <f t="shared" si="121"/>
        <v>102.654445042137</v>
      </c>
      <c r="AE111" s="19">
        <f t="shared" si="122"/>
        <v>-796.435064742137</v>
      </c>
      <c r="AF111" s="2">
        <f t="shared" si="123"/>
        <v>59</v>
      </c>
      <c r="AG111" s="2">
        <f>'5'!BH11</f>
        <v>59</v>
      </c>
    </row>
    <row r="112" spans="1:33">
      <c r="A112" s="10">
        <v>46117</v>
      </c>
      <c r="B112" s="11" t="s">
        <v>3302</v>
      </c>
      <c r="C112" s="11" t="s">
        <v>3289</v>
      </c>
      <c r="D112" s="12" t="s">
        <v>22</v>
      </c>
      <c r="E112" s="13">
        <f>SUMIFS(卸车数据!$J$6:$J$1048576,卸车数据!$R$6:$R$1048576,"&gt;="&amp;A112+TIME(9,0,0),卸车数据!$R$6:$R$1048576,"&lt;"&amp;A112+TIME(10,0,0))</f>
        <v>3977</v>
      </c>
      <c r="F112" s="13">
        <v>631</v>
      </c>
      <c r="G112" s="14">
        <v>25</v>
      </c>
      <c r="H112" s="15">
        <f t="shared" si="106"/>
        <v>4</v>
      </c>
      <c r="I112" s="15">
        <f t="shared" si="107"/>
        <v>100.75</v>
      </c>
      <c r="J112" s="15">
        <f>'5'!K12</f>
        <v>12</v>
      </c>
      <c r="K112" s="16">
        <f t="shared" si="108"/>
        <v>331.416666666667</v>
      </c>
      <c r="L112" s="15">
        <f t="shared" si="124"/>
        <v>195.48</v>
      </c>
      <c r="M112" s="17">
        <f t="shared" si="110"/>
        <v>-195.48</v>
      </c>
      <c r="N112" s="15">
        <f>'5'!W12</f>
        <v>15</v>
      </c>
      <c r="O112" s="16">
        <f t="shared" si="111"/>
        <v>1.66666666666667</v>
      </c>
      <c r="P112" s="15">
        <f t="shared" si="112"/>
        <v>0.06859</v>
      </c>
      <c r="Q112" s="17">
        <f t="shared" si="113"/>
        <v>1.611865</v>
      </c>
      <c r="R112" s="15">
        <f t="shared" si="125"/>
        <v>239.1</v>
      </c>
      <c r="S112" s="17">
        <f t="shared" si="115"/>
        <v>-237.488135</v>
      </c>
      <c r="T112" s="15">
        <f>'5'!AG12+'5'!AR12</f>
        <v>27</v>
      </c>
      <c r="U112" s="16">
        <f t="shared" si="116"/>
        <v>23.3703703703704</v>
      </c>
      <c r="V112" s="15">
        <f t="shared" si="117"/>
        <v>0.276355</v>
      </c>
      <c r="W112" s="17">
        <f t="shared" si="118"/>
        <v>163.9172047</v>
      </c>
      <c r="X112" s="15">
        <f t="shared" si="119"/>
        <v>480.68</v>
      </c>
      <c r="Y112" s="17">
        <f t="shared" si="120"/>
        <v>-316.7627953</v>
      </c>
      <c r="Z112" s="18">
        <f>'5'!BA12</f>
        <v>0</v>
      </c>
      <c r="AA112" s="18">
        <f>'5'!BD12</f>
        <v>2</v>
      </c>
      <c r="AB112" s="18">
        <f>'5'!BE12</f>
        <v>2</v>
      </c>
      <c r="AC112" s="18">
        <f>'5'!BF12</f>
        <v>1</v>
      </c>
      <c r="AD112" s="17">
        <f t="shared" si="121"/>
        <v>102.654445042137</v>
      </c>
      <c r="AE112" s="19">
        <f t="shared" si="122"/>
        <v>-953.135375342137</v>
      </c>
      <c r="AF112" s="2">
        <f t="shared" si="123"/>
        <v>59</v>
      </c>
      <c r="AG112" s="2">
        <f>'5'!BH12</f>
        <v>59</v>
      </c>
    </row>
    <row r="113" spans="1:33">
      <c r="A113" s="10">
        <v>46117</v>
      </c>
      <c r="B113" s="11" t="s">
        <v>3306</v>
      </c>
      <c r="C113" s="11" t="s">
        <v>3289</v>
      </c>
      <c r="D113" s="12" t="s">
        <v>22</v>
      </c>
      <c r="E113" s="13">
        <f>SUMIFS(卸车数据!$J$6:$J$1048576,卸车数据!$R$6:$R$1048576,"&gt;="&amp;A113+TIME(10,0,0),卸车数据!$R$6:$R$1048576,"&lt;"&amp;A113+TIME(11,0,0))</f>
        <v>146</v>
      </c>
      <c r="F113" s="13">
        <v>2915</v>
      </c>
      <c r="G113" s="14">
        <v>7006</v>
      </c>
      <c r="H113" s="15">
        <f t="shared" si="106"/>
        <v>4</v>
      </c>
      <c r="I113" s="15">
        <f t="shared" si="107"/>
        <v>100.75</v>
      </c>
      <c r="J113" s="15">
        <f>'5'!K13</f>
        <v>12</v>
      </c>
      <c r="K113" s="16">
        <f t="shared" si="108"/>
        <v>12.1666666666667</v>
      </c>
      <c r="L113" s="15">
        <f t="shared" si="124"/>
        <v>195.48</v>
      </c>
      <c r="M113" s="17">
        <f t="shared" si="110"/>
        <v>-195.48</v>
      </c>
      <c r="N113" s="15">
        <f>'5'!W13</f>
        <v>15</v>
      </c>
      <c r="O113" s="16">
        <f t="shared" si="111"/>
        <v>467.066666666667</v>
      </c>
      <c r="P113" s="15">
        <f t="shared" si="112"/>
        <v>0.06859</v>
      </c>
      <c r="Q113" s="17">
        <f t="shared" si="113"/>
        <v>451.7090476</v>
      </c>
      <c r="R113" s="15">
        <f t="shared" si="125"/>
        <v>239.1</v>
      </c>
      <c r="S113" s="17">
        <f t="shared" si="115"/>
        <v>212.6090476</v>
      </c>
      <c r="T113" s="15">
        <f>'5'!AG13+'5'!AR13</f>
        <v>27</v>
      </c>
      <c r="U113" s="16">
        <f t="shared" si="116"/>
        <v>107.962962962963</v>
      </c>
      <c r="V113" s="15">
        <f t="shared" si="117"/>
        <v>0.276355</v>
      </c>
      <c r="W113" s="17">
        <f t="shared" si="118"/>
        <v>757.2403355</v>
      </c>
      <c r="X113" s="15">
        <f t="shared" si="119"/>
        <v>480.68</v>
      </c>
      <c r="Y113" s="17">
        <f t="shared" si="120"/>
        <v>276.5603355</v>
      </c>
      <c r="Z113" s="18">
        <f>'5'!BA13</f>
        <v>0</v>
      </c>
      <c r="AA113" s="18">
        <f>'5'!BD13</f>
        <v>2</v>
      </c>
      <c r="AB113" s="18">
        <f>'5'!BE13</f>
        <v>2</v>
      </c>
      <c r="AC113" s="18">
        <f>'5'!BF13</f>
        <v>1</v>
      </c>
      <c r="AD113" s="17">
        <f t="shared" si="121"/>
        <v>102.654445042137</v>
      </c>
      <c r="AE113" s="19">
        <f t="shared" si="122"/>
        <v>90.2849380578626</v>
      </c>
      <c r="AF113" s="2">
        <f t="shared" si="123"/>
        <v>59</v>
      </c>
      <c r="AG113" s="2">
        <f>'5'!BH13</f>
        <v>59</v>
      </c>
    </row>
    <row r="114" spans="1:33">
      <c r="A114" s="10">
        <v>46117</v>
      </c>
      <c r="B114" s="11" t="s">
        <v>3310</v>
      </c>
      <c r="C114" s="11" t="s">
        <v>3289</v>
      </c>
      <c r="D114" s="11" t="s">
        <v>3311</v>
      </c>
      <c r="E114" s="13">
        <f>SUMIFS(卸车数据!$J$6:$J$1048576,卸车数据!$R$6:$R$1048576,"&gt;="&amp;A114+TIME(11,0,0),卸车数据!$R$6:$R$1048576,"&lt;"&amp;A114+TIME(12,0,0))</f>
        <v>7173</v>
      </c>
      <c r="F114" s="13">
        <v>1774</v>
      </c>
      <c r="G114" s="14">
        <v>5508</v>
      </c>
      <c r="H114" s="15">
        <f t="shared" si="106"/>
        <v>4</v>
      </c>
      <c r="I114" s="15">
        <f t="shared" si="107"/>
        <v>100.75</v>
      </c>
      <c r="J114" s="15">
        <f>'5'!K14</f>
        <v>13</v>
      </c>
      <c r="K114" s="16">
        <f t="shared" si="108"/>
        <v>551.769230769231</v>
      </c>
      <c r="L114" s="15">
        <f t="shared" si="124"/>
        <v>210.02</v>
      </c>
      <c r="M114" s="17">
        <f t="shared" si="110"/>
        <v>-210.02</v>
      </c>
      <c r="N114" s="15">
        <f>'5'!W14</f>
        <v>17</v>
      </c>
      <c r="O114" s="16">
        <f t="shared" si="111"/>
        <v>324</v>
      </c>
      <c r="P114" s="15">
        <f t="shared" si="112"/>
        <v>0.06859</v>
      </c>
      <c r="Q114" s="17">
        <f t="shared" si="113"/>
        <v>355.1260968</v>
      </c>
      <c r="R114" s="15">
        <f t="shared" si="125"/>
        <v>268.18</v>
      </c>
      <c r="S114" s="17">
        <f t="shared" si="115"/>
        <v>86.9460968</v>
      </c>
      <c r="T114" s="15">
        <f>'5'!AG14+'5'!AR14</f>
        <v>30</v>
      </c>
      <c r="U114" s="16">
        <f t="shared" si="116"/>
        <v>59.1333333333333</v>
      </c>
      <c r="V114" s="15">
        <f t="shared" si="117"/>
        <v>0.276355</v>
      </c>
      <c r="W114" s="17">
        <f t="shared" si="118"/>
        <v>460.8385438</v>
      </c>
      <c r="X114" s="15">
        <f t="shared" si="119"/>
        <v>524.54</v>
      </c>
      <c r="Y114" s="17">
        <f t="shared" si="120"/>
        <v>-63.7014562000001</v>
      </c>
      <c r="Z114" s="18">
        <f>'5'!BA14</f>
        <v>0</v>
      </c>
      <c r="AA114" s="18">
        <f>'5'!BD14</f>
        <v>2</v>
      </c>
      <c r="AB114" s="18">
        <f>'5'!BE14</f>
        <v>2</v>
      </c>
      <c r="AC114" s="18">
        <f>'5'!BF14</f>
        <v>1</v>
      </c>
      <c r="AD114" s="17">
        <f t="shared" si="121"/>
        <v>102.654445042137</v>
      </c>
      <c r="AE114" s="19">
        <f t="shared" si="122"/>
        <v>-390.179804442137</v>
      </c>
      <c r="AF114" s="2">
        <f t="shared" si="123"/>
        <v>65</v>
      </c>
      <c r="AG114" s="2">
        <f>'5'!BH14</f>
        <v>65</v>
      </c>
    </row>
    <row r="115" spans="1:33">
      <c r="A115" s="10">
        <v>46117</v>
      </c>
      <c r="B115" s="11" t="s">
        <v>3318</v>
      </c>
      <c r="C115" s="11" t="s">
        <v>3289</v>
      </c>
      <c r="D115" s="11" t="s">
        <v>3319</v>
      </c>
      <c r="E115" s="13">
        <f>SUMIFS(卸车数据!$J$6:$J$1048576,卸车数据!$R$6:$R$1048576,"&gt;="&amp;A115+TIME(12,0,0),卸车数据!$R$6:$R$1048576,"&lt;"&amp;A115+TIME(13,0,0))</f>
        <v>11607</v>
      </c>
      <c r="F115" s="13">
        <v>6756</v>
      </c>
      <c r="G115" s="14">
        <v>14</v>
      </c>
      <c r="H115" s="15">
        <f t="shared" si="106"/>
        <v>4</v>
      </c>
      <c r="I115" s="15">
        <f t="shared" si="107"/>
        <v>100.75</v>
      </c>
      <c r="J115" s="15">
        <f>'5'!K15</f>
        <v>18</v>
      </c>
      <c r="K115" s="16">
        <f t="shared" si="108"/>
        <v>644.833333333333</v>
      </c>
      <c r="L115" s="15">
        <f t="shared" si="124"/>
        <v>282.72</v>
      </c>
      <c r="M115" s="17">
        <f t="shared" si="110"/>
        <v>-282.72</v>
      </c>
      <c r="N115" s="15">
        <f>'5'!W15</f>
        <v>4</v>
      </c>
      <c r="O115" s="16">
        <f t="shared" si="111"/>
        <v>3.5</v>
      </c>
      <c r="P115" s="15">
        <f t="shared" si="112"/>
        <v>0.06859</v>
      </c>
      <c r="Q115" s="17">
        <f t="shared" si="113"/>
        <v>0.9026444</v>
      </c>
      <c r="R115" s="15">
        <f t="shared" si="125"/>
        <v>79.16</v>
      </c>
      <c r="S115" s="17">
        <f t="shared" si="115"/>
        <v>-78.2573556</v>
      </c>
      <c r="T115" s="15">
        <f>'5'!AG15+'5'!AR15</f>
        <v>38</v>
      </c>
      <c r="U115" s="16">
        <f t="shared" si="116"/>
        <v>177.789473684211</v>
      </c>
      <c r="V115" s="15">
        <f t="shared" si="117"/>
        <v>0.276355</v>
      </c>
      <c r="W115" s="17">
        <f t="shared" si="118"/>
        <v>1755.0311172</v>
      </c>
      <c r="X115" s="15">
        <f t="shared" si="119"/>
        <v>641.5</v>
      </c>
      <c r="Y115" s="17">
        <f t="shared" si="120"/>
        <v>1113.5311172</v>
      </c>
      <c r="Z115" s="18">
        <f>'5'!BA15</f>
        <v>0</v>
      </c>
      <c r="AA115" s="18">
        <f>'5'!BD15</f>
        <v>2</v>
      </c>
      <c r="AB115" s="18">
        <f>'5'!BE15</f>
        <v>2</v>
      </c>
      <c r="AC115" s="18">
        <f>'5'!BF15</f>
        <v>1</v>
      </c>
      <c r="AD115" s="17">
        <f t="shared" si="121"/>
        <v>102.654445042137</v>
      </c>
      <c r="AE115" s="19">
        <f t="shared" si="122"/>
        <v>549.149316557862</v>
      </c>
      <c r="AF115" s="2">
        <f t="shared" si="123"/>
        <v>65</v>
      </c>
      <c r="AG115" s="2">
        <f>'5'!BH15</f>
        <v>65</v>
      </c>
    </row>
    <row r="116" spans="1:33">
      <c r="A116" s="10">
        <v>46117</v>
      </c>
      <c r="B116" s="11" t="s">
        <v>3327</v>
      </c>
      <c r="C116" s="11" t="s">
        <v>3289</v>
      </c>
      <c r="D116" s="11" t="s">
        <v>3319</v>
      </c>
      <c r="E116" s="13">
        <f>SUMIFS(卸车数据!$J$6:$J$1048576,卸车数据!$R$6:$R$1048576,"&gt;="&amp;A116+TIME(13,0,0),卸车数据!$R$6:$R$1048576,"&lt;"&amp;A116+TIME(14,0,0))</f>
        <v>7223</v>
      </c>
      <c r="F116" s="13">
        <v>3640</v>
      </c>
      <c r="G116" s="14">
        <v>7900</v>
      </c>
      <c r="H116" s="15">
        <f t="shared" si="106"/>
        <v>4</v>
      </c>
      <c r="I116" s="15">
        <f t="shared" si="107"/>
        <v>100.75</v>
      </c>
      <c r="J116" s="15">
        <f>'5'!K16</f>
        <v>12</v>
      </c>
      <c r="K116" s="16">
        <f t="shared" si="108"/>
        <v>601.916666666667</v>
      </c>
      <c r="L116" s="15">
        <f t="shared" si="124"/>
        <v>195.48</v>
      </c>
      <c r="M116" s="17">
        <f t="shared" si="110"/>
        <v>-195.48</v>
      </c>
      <c r="N116" s="15">
        <f>'5'!W16</f>
        <v>17</v>
      </c>
      <c r="O116" s="16">
        <f t="shared" si="111"/>
        <v>464.705882352941</v>
      </c>
      <c r="P116" s="15">
        <f t="shared" si="112"/>
        <v>0.06859</v>
      </c>
      <c r="Q116" s="17">
        <f t="shared" si="113"/>
        <v>509.34934</v>
      </c>
      <c r="R116" s="15">
        <f t="shared" si="125"/>
        <v>268.18</v>
      </c>
      <c r="S116" s="17">
        <f t="shared" si="115"/>
        <v>241.16934</v>
      </c>
      <c r="T116" s="15">
        <f>'5'!AG16+'5'!AR16</f>
        <v>31</v>
      </c>
      <c r="U116" s="16">
        <f t="shared" si="116"/>
        <v>117.41935483871</v>
      </c>
      <c r="V116" s="15">
        <f t="shared" si="117"/>
        <v>0.276355</v>
      </c>
      <c r="W116" s="17">
        <f t="shared" si="118"/>
        <v>945.576268</v>
      </c>
      <c r="X116" s="15">
        <f t="shared" si="119"/>
        <v>539.16</v>
      </c>
      <c r="Y116" s="17">
        <f t="shared" si="120"/>
        <v>406.416268</v>
      </c>
      <c r="Z116" s="18">
        <f>'5'!BA16</f>
        <v>0</v>
      </c>
      <c r="AA116" s="18">
        <f>'5'!BD16</f>
        <v>2</v>
      </c>
      <c r="AB116" s="18">
        <f>'5'!BE16</f>
        <v>2</v>
      </c>
      <c r="AC116" s="18">
        <f>'5'!BF16</f>
        <v>1</v>
      </c>
      <c r="AD116" s="17">
        <f t="shared" si="121"/>
        <v>102.654445042137</v>
      </c>
      <c r="AE116" s="19">
        <f t="shared" si="122"/>
        <v>248.701162957862</v>
      </c>
      <c r="AF116" s="2">
        <f t="shared" si="123"/>
        <v>65</v>
      </c>
      <c r="AG116" s="2">
        <f>'5'!BH16</f>
        <v>65</v>
      </c>
    </row>
    <row r="117" spans="1:33">
      <c r="A117" s="10">
        <v>46117</v>
      </c>
      <c r="B117" s="11" t="s">
        <v>3331</v>
      </c>
      <c r="C117" s="11" t="s">
        <v>3289</v>
      </c>
      <c r="D117" s="11" t="s">
        <v>3319</v>
      </c>
      <c r="E117" s="13">
        <f>SUMIFS(卸车数据!$J$6:$J$1048576,卸车数据!$R$6:$R$1048576,"&gt;="&amp;A117+TIME(14,0,0),卸车数据!$R$6:$R$1048576,"&lt;"&amp;A117+TIME(15,0,0))</f>
        <v>5444</v>
      </c>
      <c r="F117" s="13">
        <v>1787</v>
      </c>
      <c r="G117" s="14">
        <v>6390</v>
      </c>
      <c r="H117" s="15">
        <f t="shared" si="106"/>
        <v>4</v>
      </c>
      <c r="I117" s="15">
        <f t="shared" si="107"/>
        <v>100.75</v>
      </c>
      <c r="J117" s="15">
        <f>'5'!K17</f>
        <v>12</v>
      </c>
      <c r="K117" s="16">
        <f t="shared" si="108"/>
        <v>453.666666666667</v>
      </c>
      <c r="L117" s="15">
        <f t="shared" si="124"/>
        <v>195.48</v>
      </c>
      <c r="M117" s="17">
        <f t="shared" si="110"/>
        <v>-195.48</v>
      </c>
      <c r="N117" s="15">
        <f>'5'!W17</f>
        <v>17</v>
      </c>
      <c r="O117" s="16">
        <f t="shared" si="111"/>
        <v>375.882352941176</v>
      </c>
      <c r="P117" s="15">
        <f t="shared" si="112"/>
        <v>0.06859</v>
      </c>
      <c r="Q117" s="17">
        <f t="shared" si="113"/>
        <v>411.992694</v>
      </c>
      <c r="R117" s="15">
        <f t="shared" si="125"/>
        <v>268.18</v>
      </c>
      <c r="S117" s="17">
        <f t="shared" si="115"/>
        <v>143.812694</v>
      </c>
      <c r="T117" s="15">
        <f>'5'!AG17+'5'!AR17</f>
        <v>31</v>
      </c>
      <c r="U117" s="16">
        <f t="shared" si="116"/>
        <v>57.6451612903226</v>
      </c>
      <c r="V117" s="15">
        <f t="shared" si="117"/>
        <v>0.276355</v>
      </c>
      <c r="W117" s="17">
        <f t="shared" si="118"/>
        <v>464.2156019</v>
      </c>
      <c r="X117" s="15">
        <f t="shared" si="119"/>
        <v>539.16</v>
      </c>
      <c r="Y117" s="17">
        <f t="shared" si="120"/>
        <v>-74.9443981000001</v>
      </c>
      <c r="Z117" s="18">
        <f>'5'!BA17</f>
        <v>0</v>
      </c>
      <c r="AA117" s="18">
        <f>'5'!BD17</f>
        <v>2</v>
      </c>
      <c r="AB117" s="18">
        <f>'5'!BE17</f>
        <v>2</v>
      </c>
      <c r="AC117" s="18">
        <f>'5'!BF17</f>
        <v>1</v>
      </c>
      <c r="AD117" s="17">
        <f t="shared" si="121"/>
        <v>102.654445042137</v>
      </c>
      <c r="AE117" s="19">
        <f t="shared" si="122"/>
        <v>-330.016149142137</v>
      </c>
      <c r="AF117" s="2">
        <f t="shared" si="123"/>
        <v>65</v>
      </c>
      <c r="AG117" s="2">
        <f>'5'!BH17</f>
        <v>65</v>
      </c>
    </row>
    <row r="118" spans="1:33">
      <c r="A118" s="10">
        <v>46117</v>
      </c>
      <c r="B118" s="11" t="s">
        <v>3334</v>
      </c>
      <c r="C118" s="11" t="s">
        <v>3289</v>
      </c>
      <c r="D118" s="12" t="s">
        <v>22</v>
      </c>
      <c r="E118" s="13">
        <f>SUMIFS(卸车数据!$J$6:$J$1048576,卸车数据!$R$6:$R$1048576,"&gt;="&amp;A118+TIME(15,0,0),卸车数据!$R$6:$R$1048576,"&lt;"&amp;A118+TIME(16,0,0))</f>
        <v>0</v>
      </c>
      <c r="F118" s="13">
        <v>4106</v>
      </c>
      <c r="G118" s="14">
        <v>10213</v>
      </c>
      <c r="H118" s="15">
        <f t="shared" si="106"/>
        <v>4</v>
      </c>
      <c r="I118" s="15">
        <f t="shared" si="107"/>
        <v>100.75</v>
      </c>
      <c r="J118" s="15">
        <f>'5'!K18</f>
        <v>12</v>
      </c>
      <c r="K118" s="16">
        <f t="shared" si="108"/>
        <v>0</v>
      </c>
      <c r="L118" s="15">
        <f t="shared" si="124"/>
        <v>195.48</v>
      </c>
      <c r="M118" s="17">
        <f t="shared" si="110"/>
        <v>-195.48</v>
      </c>
      <c r="N118" s="15">
        <f>'5'!W18</f>
        <v>17</v>
      </c>
      <c r="O118" s="16">
        <f t="shared" si="111"/>
        <v>600.764705882353</v>
      </c>
      <c r="P118" s="15">
        <f t="shared" si="112"/>
        <v>0.06859</v>
      </c>
      <c r="Q118" s="17">
        <f t="shared" si="113"/>
        <v>658.4790898</v>
      </c>
      <c r="R118" s="15">
        <f t="shared" si="125"/>
        <v>268.18</v>
      </c>
      <c r="S118" s="17">
        <f t="shared" si="115"/>
        <v>390.2990898</v>
      </c>
      <c r="T118" s="15">
        <f>'5'!AG18+'5'!AR18</f>
        <v>31</v>
      </c>
      <c r="U118" s="16">
        <f t="shared" si="116"/>
        <v>132.451612903226</v>
      </c>
      <c r="V118" s="15">
        <f t="shared" si="117"/>
        <v>0.276355</v>
      </c>
      <c r="W118" s="17">
        <f t="shared" si="118"/>
        <v>1066.6308122</v>
      </c>
      <c r="X118" s="15">
        <f t="shared" si="119"/>
        <v>539.16</v>
      </c>
      <c r="Y118" s="17">
        <f t="shared" si="120"/>
        <v>527.4708122</v>
      </c>
      <c r="Z118" s="18">
        <f>'5'!BA18</f>
        <v>0</v>
      </c>
      <c r="AA118" s="18">
        <f>'5'!BD18</f>
        <v>2</v>
      </c>
      <c r="AB118" s="18">
        <f>'5'!BE18</f>
        <v>2</v>
      </c>
      <c r="AC118" s="18">
        <f>'5'!BF18</f>
        <v>1</v>
      </c>
      <c r="AD118" s="17">
        <f t="shared" si="121"/>
        <v>102.654445042137</v>
      </c>
      <c r="AE118" s="19">
        <f t="shared" si="122"/>
        <v>518.885456957862</v>
      </c>
      <c r="AF118" s="2">
        <f t="shared" si="123"/>
        <v>65</v>
      </c>
      <c r="AG118" s="2">
        <f>'5'!BH18</f>
        <v>65</v>
      </c>
    </row>
    <row r="119" spans="1:33">
      <c r="A119" s="10">
        <v>46117</v>
      </c>
      <c r="B119" s="11" t="s">
        <v>3339</v>
      </c>
      <c r="C119" s="11" t="s">
        <v>3289</v>
      </c>
      <c r="D119" s="12" t="s">
        <v>22</v>
      </c>
      <c r="E119" s="13">
        <f>SUMIFS(卸车数据!$J$6:$J$1048576,卸车数据!$R$6:$R$1048576,"&gt;="&amp;A119+TIME(16,0,0),卸车数据!$R$6:$R$1048576,"&lt;"&amp;A119+TIME(17,0,0))</f>
        <v>0</v>
      </c>
      <c r="F119" s="13">
        <v>910</v>
      </c>
      <c r="G119" s="14">
        <v>9804</v>
      </c>
      <c r="H119" s="15">
        <f t="shared" si="106"/>
        <v>4</v>
      </c>
      <c r="I119" s="15">
        <f t="shared" si="107"/>
        <v>100.75</v>
      </c>
      <c r="J119" s="15">
        <f>'5'!K19</f>
        <v>12</v>
      </c>
      <c r="K119" s="16">
        <f t="shared" si="108"/>
        <v>0</v>
      </c>
      <c r="L119" s="15">
        <f t="shared" si="124"/>
        <v>195.48</v>
      </c>
      <c r="M119" s="17">
        <f t="shared" si="110"/>
        <v>-195.48</v>
      </c>
      <c r="N119" s="15">
        <f>'5'!W19</f>
        <v>17</v>
      </c>
      <c r="O119" s="16">
        <f t="shared" si="111"/>
        <v>576.705882352941</v>
      </c>
      <c r="P119" s="15">
        <f t="shared" si="112"/>
        <v>0.06859</v>
      </c>
      <c r="Q119" s="17">
        <f t="shared" si="113"/>
        <v>632.1089784</v>
      </c>
      <c r="R119" s="15">
        <f t="shared" si="125"/>
        <v>268.18</v>
      </c>
      <c r="S119" s="17">
        <f t="shared" si="115"/>
        <v>363.9289784</v>
      </c>
      <c r="T119" s="15">
        <f>'5'!AG19+'5'!AR19</f>
        <v>31</v>
      </c>
      <c r="U119" s="16">
        <f t="shared" si="116"/>
        <v>29.3548387096774</v>
      </c>
      <c r="V119" s="15">
        <f t="shared" si="117"/>
        <v>0.276355</v>
      </c>
      <c r="W119" s="17">
        <f t="shared" si="118"/>
        <v>236.394067</v>
      </c>
      <c r="X119" s="15">
        <f t="shared" si="119"/>
        <v>539.16</v>
      </c>
      <c r="Y119" s="17">
        <f t="shared" si="120"/>
        <v>-302.765933</v>
      </c>
      <c r="Z119" s="18">
        <f>'5'!BA19</f>
        <v>0</v>
      </c>
      <c r="AA119" s="18">
        <f>'5'!BD19</f>
        <v>2</v>
      </c>
      <c r="AB119" s="18">
        <f>'5'!BE19</f>
        <v>2</v>
      </c>
      <c r="AC119" s="18">
        <f>'5'!BF19</f>
        <v>1</v>
      </c>
      <c r="AD119" s="17">
        <f t="shared" si="121"/>
        <v>102.654445042137</v>
      </c>
      <c r="AE119" s="19">
        <f t="shared" si="122"/>
        <v>-337.721399642137</v>
      </c>
      <c r="AF119" s="2">
        <f t="shared" si="123"/>
        <v>65</v>
      </c>
      <c r="AG119" s="2">
        <f>'5'!BH19</f>
        <v>65</v>
      </c>
    </row>
    <row r="120" spans="1:33">
      <c r="A120" s="10">
        <v>46117</v>
      </c>
      <c r="B120" s="11" t="s">
        <v>3344</v>
      </c>
      <c r="C120" s="11" t="s">
        <v>3289</v>
      </c>
      <c r="D120" s="11" t="s">
        <v>3319</v>
      </c>
      <c r="E120" s="13">
        <f>SUMIFS(卸车数据!$J$6:$J$1048576,卸车数据!$R$6:$R$1048576,"&gt;="&amp;A120+TIME(17,0,0),卸车数据!$R$6:$R$1048576,"&lt;"&amp;A120+TIME(18,0,0))</f>
        <v>2536</v>
      </c>
      <c r="F120" s="13">
        <v>2528</v>
      </c>
      <c r="G120" s="14">
        <v>6</v>
      </c>
      <c r="H120" s="15">
        <f t="shared" si="106"/>
        <v>4</v>
      </c>
      <c r="I120" s="15">
        <f t="shared" si="107"/>
        <v>100.75</v>
      </c>
      <c r="J120" s="15">
        <f>'5'!K20</f>
        <v>12</v>
      </c>
      <c r="K120" s="16">
        <f t="shared" si="108"/>
        <v>211.333333333333</v>
      </c>
      <c r="L120" s="15">
        <f t="shared" si="124"/>
        <v>195.48</v>
      </c>
      <c r="M120" s="17">
        <f t="shared" si="110"/>
        <v>-195.48</v>
      </c>
      <c r="N120" s="15">
        <f>'5'!W20</f>
        <v>17</v>
      </c>
      <c r="O120" s="16">
        <f t="shared" si="111"/>
        <v>0.352941176470588</v>
      </c>
      <c r="P120" s="15">
        <f t="shared" si="112"/>
        <v>0.06859</v>
      </c>
      <c r="Q120" s="17">
        <f t="shared" si="113"/>
        <v>0.3868476</v>
      </c>
      <c r="R120" s="15">
        <f t="shared" si="125"/>
        <v>268.18</v>
      </c>
      <c r="S120" s="17">
        <f t="shared" si="115"/>
        <v>-267.7931524</v>
      </c>
      <c r="T120" s="15">
        <f>'5'!AG20+'5'!AR20</f>
        <v>31</v>
      </c>
      <c r="U120" s="16">
        <f t="shared" si="116"/>
        <v>81.5483870967742</v>
      </c>
      <c r="V120" s="15">
        <f t="shared" si="117"/>
        <v>0.276355</v>
      </c>
      <c r="W120" s="17">
        <f t="shared" si="118"/>
        <v>656.7079136</v>
      </c>
      <c r="X120" s="15">
        <f t="shared" si="119"/>
        <v>539.16</v>
      </c>
      <c r="Y120" s="17">
        <f t="shared" si="120"/>
        <v>117.5479136</v>
      </c>
      <c r="Z120" s="18">
        <f>'5'!BA20</f>
        <v>0</v>
      </c>
      <c r="AA120" s="18">
        <f>'5'!BD20</f>
        <v>2</v>
      </c>
      <c r="AB120" s="18">
        <f>'5'!BE20</f>
        <v>2</v>
      </c>
      <c r="AC120" s="18">
        <f>'5'!BF20</f>
        <v>1</v>
      </c>
      <c r="AD120" s="17">
        <f t="shared" si="121"/>
        <v>102.654445042137</v>
      </c>
      <c r="AE120" s="19">
        <f t="shared" si="122"/>
        <v>-549.129683842137</v>
      </c>
      <c r="AF120" s="2">
        <f t="shared" si="123"/>
        <v>65</v>
      </c>
      <c r="AG120" s="2">
        <f>'5'!BH20</f>
        <v>65</v>
      </c>
    </row>
    <row r="121" spans="1:33">
      <c r="A121" s="10">
        <v>46117</v>
      </c>
      <c r="B121" s="11" t="s">
        <v>3347</v>
      </c>
      <c r="C121" s="11" t="s">
        <v>3265</v>
      </c>
      <c r="D121" s="11" t="s">
        <v>3319</v>
      </c>
      <c r="E121" s="13">
        <f>SUMIFS(卸车数据!$J$6:$J$1048576,卸车数据!$R$6:$R$1048576,"&gt;="&amp;A121+TIME(18,0,0),卸车数据!$R$6:$R$1048576,"&lt;"&amp;A121+TIME(19,0,0))</f>
        <v>20760</v>
      </c>
      <c r="F121" s="13">
        <v>2365</v>
      </c>
      <c r="G121" s="14">
        <v>1047</v>
      </c>
      <c r="H121" s="15">
        <f t="shared" si="106"/>
        <v>2</v>
      </c>
      <c r="I121" s="15">
        <f t="shared" si="107"/>
        <v>44.0122222222222</v>
      </c>
      <c r="J121" s="15">
        <f>'5'!K21</f>
        <v>25</v>
      </c>
      <c r="K121" s="16">
        <f t="shared" si="108"/>
        <v>830.4</v>
      </c>
      <c r="L121" s="15">
        <f t="shared" ref="L121:L126" si="126">J121*14.62+21</f>
        <v>386.5</v>
      </c>
      <c r="M121" s="17">
        <f t="shared" si="110"/>
        <v>-386.5</v>
      </c>
      <c r="N121" s="15">
        <f>'5'!W21</f>
        <v>21</v>
      </c>
      <c r="O121" s="16">
        <f t="shared" si="111"/>
        <v>49.8571428571429</v>
      </c>
      <c r="P121" s="15">
        <f t="shared" si="112"/>
        <v>0.06859</v>
      </c>
      <c r="Q121" s="17">
        <f t="shared" si="113"/>
        <v>67.5049062</v>
      </c>
      <c r="R121" s="15">
        <f t="shared" ref="R121:R126" si="127">(N121-13)*14.62+13*18+21</f>
        <v>371.96</v>
      </c>
      <c r="S121" s="17">
        <f t="shared" si="115"/>
        <v>-304.4550938</v>
      </c>
      <c r="T121" s="15">
        <f>'5'!AG21+'5'!AR21</f>
        <v>58</v>
      </c>
      <c r="U121" s="16">
        <f t="shared" si="116"/>
        <v>40.7758620689655</v>
      </c>
      <c r="V121" s="15">
        <f t="shared" si="117"/>
        <v>0.276355</v>
      </c>
      <c r="W121" s="17">
        <f t="shared" si="118"/>
        <v>614.3648005</v>
      </c>
      <c r="X121" s="15">
        <f t="shared" si="119"/>
        <v>933.9</v>
      </c>
      <c r="Y121" s="17">
        <f t="shared" si="120"/>
        <v>-319.5351995</v>
      </c>
      <c r="Z121" s="18">
        <f>'5'!BA21</f>
        <v>4</v>
      </c>
      <c r="AA121" s="18">
        <f>'5'!BD21</f>
        <v>3</v>
      </c>
      <c r="AB121" s="18">
        <f>'5'!BE21</f>
        <v>0</v>
      </c>
      <c r="AC121" s="18">
        <f>'5'!BF21</f>
        <v>1</v>
      </c>
      <c r="AD121" s="17">
        <f t="shared" si="121"/>
        <v>139.777009144701</v>
      </c>
      <c r="AE121" s="19">
        <f t="shared" si="122"/>
        <v>-1194.27952466692</v>
      </c>
      <c r="AF121" s="2">
        <f t="shared" si="123"/>
        <v>112</v>
      </c>
      <c r="AG121" s="2">
        <f>'5'!BH21</f>
        <v>112</v>
      </c>
    </row>
    <row r="122" spans="1:33">
      <c r="A122" s="10">
        <v>46117</v>
      </c>
      <c r="B122" s="11" t="s">
        <v>3351</v>
      </c>
      <c r="C122" s="11" t="s">
        <v>3265</v>
      </c>
      <c r="D122" s="11" t="s">
        <v>3319</v>
      </c>
      <c r="E122" s="13">
        <f>SUMIFS(卸车数据!$J$6:$J$1048576,卸车数据!$R$6:$R$1048576,"&gt;="&amp;A122+TIME(19,0,0),卸车数据!$R$6:$R$1048576,"&lt;"&amp;A122+TIME(20,0,0))</f>
        <v>21980</v>
      </c>
      <c r="F122" s="13">
        <v>6480</v>
      </c>
      <c r="G122" s="14">
        <v>10891</v>
      </c>
      <c r="H122" s="15">
        <f t="shared" si="106"/>
        <v>2</v>
      </c>
      <c r="I122" s="15">
        <f t="shared" si="107"/>
        <v>44.0122222222222</v>
      </c>
      <c r="J122" s="15">
        <f>'5'!K22</f>
        <v>25</v>
      </c>
      <c r="K122" s="16">
        <f t="shared" si="108"/>
        <v>879.2</v>
      </c>
      <c r="L122" s="15">
        <f t="shared" si="126"/>
        <v>386.5</v>
      </c>
      <c r="M122" s="17">
        <f t="shared" si="110"/>
        <v>-386.5</v>
      </c>
      <c r="N122" s="15">
        <f>'5'!W22</f>
        <v>31</v>
      </c>
      <c r="O122" s="16">
        <f t="shared" si="111"/>
        <v>351.322580645161</v>
      </c>
      <c r="P122" s="15">
        <f t="shared" si="112"/>
        <v>0.06859</v>
      </c>
      <c r="Q122" s="17">
        <f t="shared" si="113"/>
        <v>702.1928686</v>
      </c>
      <c r="R122" s="15">
        <f t="shared" si="127"/>
        <v>518.16</v>
      </c>
      <c r="S122" s="17">
        <f t="shared" si="115"/>
        <v>184.0328686</v>
      </c>
      <c r="T122" s="15">
        <f>'5'!AG22+'5'!AR22</f>
        <v>48</v>
      </c>
      <c r="U122" s="16">
        <f t="shared" si="116"/>
        <v>135</v>
      </c>
      <c r="V122" s="15">
        <f t="shared" si="117"/>
        <v>0.276355</v>
      </c>
      <c r="W122" s="17">
        <f t="shared" si="118"/>
        <v>1683.333576</v>
      </c>
      <c r="X122" s="15">
        <f t="shared" si="119"/>
        <v>787.7</v>
      </c>
      <c r="Y122" s="17">
        <f t="shared" si="120"/>
        <v>895.633575999999</v>
      </c>
      <c r="Z122" s="18">
        <f>'5'!BA22</f>
        <v>4</v>
      </c>
      <c r="AA122" s="18">
        <f>'5'!BD22</f>
        <v>3</v>
      </c>
      <c r="AB122" s="18">
        <f>'5'!BE22</f>
        <v>0</v>
      </c>
      <c r="AC122" s="18">
        <f>'5'!BF22</f>
        <v>1</v>
      </c>
      <c r="AD122" s="17">
        <f t="shared" si="121"/>
        <v>139.777009144701</v>
      </c>
      <c r="AE122" s="19">
        <f t="shared" si="122"/>
        <v>509.377213233076</v>
      </c>
      <c r="AF122" s="2">
        <f t="shared" si="123"/>
        <v>112</v>
      </c>
      <c r="AG122" s="2">
        <f>'5'!BH22</f>
        <v>112</v>
      </c>
    </row>
    <row r="123" spans="1:33">
      <c r="A123" s="10">
        <v>46117</v>
      </c>
      <c r="B123" s="11" t="s">
        <v>3352</v>
      </c>
      <c r="C123" s="11" t="s">
        <v>3265</v>
      </c>
      <c r="D123" s="11" t="s">
        <v>3319</v>
      </c>
      <c r="E123" s="13">
        <f>SUMIFS(卸车数据!$J$6:$J$1048576,卸车数据!$R$6:$R$1048576,"&gt;="&amp;A123+TIME(20,0,0),卸车数据!$R$6:$R$1048576,"&lt;"&amp;A123+TIME(21,0,0))</f>
        <v>13524</v>
      </c>
      <c r="F123" s="13">
        <v>4785</v>
      </c>
      <c r="G123" s="14">
        <v>11450</v>
      </c>
      <c r="H123" s="15">
        <f t="shared" si="106"/>
        <v>2</v>
      </c>
      <c r="I123" s="15">
        <f t="shared" si="107"/>
        <v>44.0122222222222</v>
      </c>
      <c r="J123" s="15">
        <f>'5'!K23</f>
        <v>25</v>
      </c>
      <c r="K123" s="16">
        <f t="shared" si="108"/>
        <v>540.96</v>
      </c>
      <c r="L123" s="15">
        <f t="shared" si="126"/>
        <v>386.5</v>
      </c>
      <c r="M123" s="17">
        <f t="shared" si="110"/>
        <v>-386.5</v>
      </c>
      <c r="N123" s="15">
        <f>'5'!W23</f>
        <v>31</v>
      </c>
      <c r="O123" s="16">
        <f t="shared" si="111"/>
        <v>369.354838709677</v>
      </c>
      <c r="P123" s="15">
        <f t="shared" si="112"/>
        <v>0.06859</v>
      </c>
      <c r="Q123" s="17">
        <f t="shared" si="113"/>
        <v>738.23417</v>
      </c>
      <c r="R123" s="15">
        <f t="shared" si="127"/>
        <v>518.16</v>
      </c>
      <c r="S123" s="17">
        <f t="shared" si="115"/>
        <v>220.07417</v>
      </c>
      <c r="T123" s="15">
        <f>'5'!AG23+'5'!AR23</f>
        <v>48</v>
      </c>
      <c r="U123" s="16">
        <f t="shared" si="116"/>
        <v>99.6875</v>
      </c>
      <c r="V123" s="15">
        <f t="shared" si="117"/>
        <v>0.276355</v>
      </c>
      <c r="W123" s="17">
        <f t="shared" si="118"/>
        <v>1243.0171545</v>
      </c>
      <c r="X123" s="15">
        <f t="shared" si="119"/>
        <v>787.7</v>
      </c>
      <c r="Y123" s="17">
        <f t="shared" si="120"/>
        <v>455.3171545</v>
      </c>
      <c r="Z123" s="18">
        <f>'5'!BA23</f>
        <v>4</v>
      </c>
      <c r="AA123" s="18">
        <f>'5'!BD23</f>
        <v>3</v>
      </c>
      <c r="AB123" s="18">
        <f>'5'!BE23</f>
        <v>0</v>
      </c>
      <c r="AC123" s="18">
        <f>'5'!BF23</f>
        <v>1</v>
      </c>
      <c r="AD123" s="17">
        <f t="shared" si="121"/>
        <v>139.777009144701</v>
      </c>
      <c r="AE123" s="19">
        <f t="shared" si="122"/>
        <v>105.102093133076</v>
      </c>
      <c r="AF123" s="2">
        <f t="shared" si="123"/>
        <v>112</v>
      </c>
      <c r="AG123" s="2">
        <f>'5'!BH23</f>
        <v>112</v>
      </c>
    </row>
    <row r="124" spans="1:33">
      <c r="A124" s="10">
        <v>46117</v>
      </c>
      <c r="B124" s="11" t="s">
        <v>3354</v>
      </c>
      <c r="C124" s="11" t="s">
        <v>3265</v>
      </c>
      <c r="D124" s="11" t="s">
        <v>3319</v>
      </c>
      <c r="E124" s="13">
        <f>SUMIFS(卸车数据!$J$6:$J$1048576,卸车数据!$R$6:$R$1048576,"&gt;="&amp;A124+TIME(21,0,0),卸车数据!$R$6:$R$1048576,"&lt;"&amp;A124+TIME(22,0,0))</f>
        <v>2</v>
      </c>
      <c r="F124" s="13">
        <v>2302</v>
      </c>
      <c r="G124" s="14">
        <v>12584</v>
      </c>
      <c r="H124" s="15">
        <f t="shared" si="106"/>
        <v>2</v>
      </c>
      <c r="I124" s="15">
        <f t="shared" si="107"/>
        <v>44.0122222222222</v>
      </c>
      <c r="J124" s="15">
        <f>'5'!K24</f>
        <v>25</v>
      </c>
      <c r="K124" s="16">
        <f t="shared" si="108"/>
        <v>0.08</v>
      </c>
      <c r="L124" s="15">
        <f t="shared" si="126"/>
        <v>386.5</v>
      </c>
      <c r="M124" s="17">
        <f t="shared" si="110"/>
        <v>-386.5</v>
      </c>
      <c r="N124" s="15">
        <f>'5'!W24</f>
        <v>31</v>
      </c>
      <c r="O124" s="16">
        <f t="shared" si="111"/>
        <v>405.935483870968</v>
      </c>
      <c r="P124" s="15">
        <f t="shared" si="112"/>
        <v>0.06859</v>
      </c>
      <c r="Q124" s="17">
        <f t="shared" si="113"/>
        <v>811.3483664</v>
      </c>
      <c r="R124" s="15">
        <f t="shared" si="127"/>
        <v>518.16</v>
      </c>
      <c r="S124" s="17">
        <f t="shared" si="115"/>
        <v>293.1883664</v>
      </c>
      <c r="T124" s="15">
        <f>'5'!AG24+'5'!AR24</f>
        <v>48</v>
      </c>
      <c r="U124" s="16">
        <f t="shared" si="116"/>
        <v>47.9583333333333</v>
      </c>
      <c r="V124" s="15">
        <f t="shared" si="117"/>
        <v>0.276355</v>
      </c>
      <c r="W124" s="17">
        <f t="shared" si="118"/>
        <v>597.9990574</v>
      </c>
      <c r="X124" s="15">
        <f t="shared" si="119"/>
        <v>787.7</v>
      </c>
      <c r="Y124" s="17">
        <f t="shared" si="120"/>
        <v>-189.7009426</v>
      </c>
      <c r="Z124" s="18">
        <f>'5'!BA24</f>
        <v>4</v>
      </c>
      <c r="AA124" s="18">
        <f>'5'!BD24</f>
        <v>3</v>
      </c>
      <c r="AB124" s="18">
        <f>'5'!BE24</f>
        <v>0</v>
      </c>
      <c r="AC124" s="18">
        <f>'5'!BF24</f>
        <v>1</v>
      </c>
      <c r="AD124" s="17">
        <f t="shared" si="121"/>
        <v>139.777009144701</v>
      </c>
      <c r="AE124" s="19">
        <f t="shared" si="122"/>
        <v>-466.801807566924</v>
      </c>
      <c r="AF124" s="2">
        <f t="shared" si="123"/>
        <v>112</v>
      </c>
      <c r="AG124" s="2">
        <f>'5'!BH24</f>
        <v>112</v>
      </c>
    </row>
    <row r="125" spans="1:33">
      <c r="A125" s="10">
        <v>46117</v>
      </c>
      <c r="B125" s="11" t="s">
        <v>3355</v>
      </c>
      <c r="C125" s="11" t="s">
        <v>3265</v>
      </c>
      <c r="D125" s="11" t="s">
        <v>3319</v>
      </c>
      <c r="E125" s="13">
        <f>SUMIFS(卸车数据!$J$6:$J$1048576,卸车数据!$R$6:$R$1048576,"&gt;="&amp;A125+TIME(22,0,0),卸车数据!$R$6:$R$1048576,"&lt;"&amp;A125+TIME(23,0,0))</f>
        <v>5372</v>
      </c>
      <c r="F125" s="13">
        <v>634</v>
      </c>
      <c r="G125" s="14">
        <v>9738</v>
      </c>
      <c r="H125" s="15">
        <f t="shared" si="106"/>
        <v>2</v>
      </c>
      <c r="I125" s="15">
        <f t="shared" si="107"/>
        <v>44.0122222222222</v>
      </c>
      <c r="J125" s="15">
        <f>'5'!K25</f>
        <v>25</v>
      </c>
      <c r="K125" s="16">
        <f t="shared" si="108"/>
        <v>214.88</v>
      </c>
      <c r="L125" s="15">
        <f t="shared" si="126"/>
        <v>386.5</v>
      </c>
      <c r="M125" s="17">
        <f t="shared" si="110"/>
        <v>-386.5</v>
      </c>
      <c r="N125" s="15">
        <f>'5'!W25</f>
        <v>31</v>
      </c>
      <c r="O125" s="16">
        <f t="shared" si="111"/>
        <v>314.129032258065</v>
      </c>
      <c r="P125" s="15">
        <f t="shared" si="112"/>
        <v>0.06859</v>
      </c>
      <c r="Q125" s="17">
        <f t="shared" si="113"/>
        <v>627.8536548</v>
      </c>
      <c r="R125" s="15">
        <f t="shared" si="127"/>
        <v>518.16</v>
      </c>
      <c r="S125" s="17">
        <f t="shared" si="115"/>
        <v>109.6936548</v>
      </c>
      <c r="T125" s="15">
        <f>'5'!AG25+'5'!AR25</f>
        <v>48</v>
      </c>
      <c r="U125" s="16">
        <f t="shared" si="116"/>
        <v>13.2083333333333</v>
      </c>
      <c r="V125" s="15">
        <f t="shared" si="117"/>
        <v>0.276355</v>
      </c>
      <c r="W125" s="17">
        <f t="shared" si="118"/>
        <v>164.6965258</v>
      </c>
      <c r="X125" s="15">
        <f t="shared" si="119"/>
        <v>787.7</v>
      </c>
      <c r="Y125" s="17">
        <f t="shared" si="120"/>
        <v>-623.0034742</v>
      </c>
      <c r="Z125" s="18">
        <f>'5'!BA25</f>
        <v>4</v>
      </c>
      <c r="AA125" s="18">
        <f>'5'!BD25</f>
        <v>3</v>
      </c>
      <c r="AB125" s="18">
        <f>'5'!BE25</f>
        <v>0</v>
      </c>
      <c r="AC125" s="18">
        <f>'5'!BF25</f>
        <v>1</v>
      </c>
      <c r="AD125" s="17">
        <f t="shared" si="121"/>
        <v>139.777009144701</v>
      </c>
      <c r="AE125" s="19">
        <f t="shared" si="122"/>
        <v>-1083.59905076692</v>
      </c>
      <c r="AF125" s="2">
        <f t="shared" si="123"/>
        <v>112</v>
      </c>
      <c r="AG125" s="2">
        <f>'5'!BH25</f>
        <v>112</v>
      </c>
    </row>
    <row r="126" spans="1:33">
      <c r="A126" s="10">
        <v>46117</v>
      </c>
      <c r="B126" s="11" t="s">
        <v>3357</v>
      </c>
      <c r="C126" s="11" t="s">
        <v>3265</v>
      </c>
      <c r="D126" s="12" t="s">
        <v>3311</v>
      </c>
      <c r="E126" s="13">
        <f>SUMIFS(卸车数据!$J$6:$J$1048576,卸车数据!$R$6:$R$1048576,"&gt;="&amp;A126+TIME(23,0,0),卸车数据!$R$6:$R$1048576,"&lt;"&amp;A126+TIME(0,0,0))</f>
        <v>0</v>
      </c>
      <c r="F126" s="13">
        <v>4309</v>
      </c>
      <c r="G126" s="14">
        <v>7744</v>
      </c>
      <c r="H126" s="15">
        <f t="shared" si="106"/>
        <v>2</v>
      </c>
      <c r="I126" s="15">
        <f t="shared" si="107"/>
        <v>44.0122222222222</v>
      </c>
      <c r="J126" s="15">
        <f>'5'!K26</f>
        <v>27</v>
      </c>
      <c r="K126" s="16">
        <f t="shared" si="108"/>
        <v>0</v>
      </c>
      <c r="L126" s="15">
        <f t="shared" si="126"/>
        <v>415.74</v>
      </c>
      <c r="M126" s="17">
        <f t="shared" si="110"/>
        <v>-415.74</v>
      </c>
      <c r="N126" s="15">
        <f>'5'!W26</f>
        <v>28</v>
      </c>
      <c r="O126" s="16">
        <f t="shared" si="111"/>
        <v>276.571428571429</v>
      </c>
      <c r="P126" s="15">
        <f t="shared" si="112"/>
        <v>0.06859</v>
      </c>
      <c r="Q126" s="17">
        <f t="shared" si="113"/>
        <v>499.2913024</v>
      </c>
      <c r="R126" s="15">
        <f t="shared" si="127"/>
        <v>474.3</v>
      </c>
      <c r="S126" s="17">
        <f t="shared" si="115"/>
        <v>24.9913023999999</v>
      </c>
      <c r="T126" s="15">
        <f>'5'!AG26+'5'!AR26</f>
        <v>49</v>
      </c>
      <c r="U126" s="16">
        <f t="shared" si="116"/>
        <v>87.9387755102041</v>
      </c>
      <c r="V126" s="15">
        <f t="shared" si="117"/>
        <v>0.276355</v>
      </c>
      <c r="W126" s="17">
        <f t="shared" si="118"/>
        <v>1119.3648733</v>
      </c>
      <c r="X126" s="15">
        <f t="shared" si="119"/>
        <v>802.32</v>
      </c>
      <c r="Y126" s="17">
        <f t="shared" si="120"/>
        <v>317.0448733</v>
      </c>
      <c r="Z126" s="18">
        <f>'5'!BA26</f>
        <v>4</v>
      </c>
      <c r="AA126" s="18">
        <f>'5'!BD26</f>
        <v>3</v>
      </c>
      <c r="AB126" s="18">
        <f>'5'!BE26</f>
        <v>0</v>
      </c>
      <c r="AC126" s="18">
        <f>'5'!BF26</f>
        <v>1</v>
      </c>
      <c r="AD126" s="17">
        <f t="shared" si="121"/>
        <v>139.777009144701</v>
      </c>
      <c r="AE126" s="19">
        <f t="shared" si="122"/>
        <v>-257.493055666924</v>
      </c>
      <c r="AF126" s="2">
        <f t="shared" si="123"/>
        <v>112</v>
      </c>
      <c r="AG126" s="2">
        <f>'5'!BH26</f>
        <v>112</v>
      </c>
    </row>
    <row r="127" spans="1:33">
      <c r="AE127" s="19">
        <f>SUM(AE103:AE126)</f>
        <v>-7863.22845693352</v>
      </c>
    </row>
    <row r="128" spans="1:33">
      <c r="A128" s="10">
        <v>46118</v>
      </c>
      <c r="B128" s="11" t="s">
        <v>3264</v>
      </c>
      <c r="C128" s="11" t="s">
        <v>3265</v>
      </c>
      <c r="D128" s="12" t="s">
        <v>22</v>
      </c>
      <c r="E128" s="13">
        <f>SUMIFS(卸车数据!$J$6:$J$1048576,卸车数据!$R$6:$R$1048576,"&gt;="&amp;A128+TIME(0,0,0),卸车数据!$R$6:$R$1048576,"&lt;"&amp;A128+TIME(1,0,0))</f>
        <v>14593</v>
      </c>
      <c r="F128" s="13">
        <v>2061</v>
      </c>
      <c r="G128" s="14">
        <v>4806</v>
      </c>
      <c r="H128" s="15">
        <f t="shared" ref="H128:H151" si="128">IF(C128="夜班",2,4)</f>
        <v>2</v>
      </c>
      <c r="I128" s="15">
        <f t="shared" ref="I128:I151" si="129">IF(H128=2,21.79+16000/30/24,25.75+12000/30/24*2+30000/30/24)</f>
        <v>44.0122222222222</v>
      </c>
      <c r="J128" s="15">
        <f>'6'!K3</f>
        <v>15</v>
      </c>
      <c r="K128" s="16">
        <f t="shared" ref="K128:K151" si="130">E128/J128</f>
        <v>972.866666666667</v>
      </c>
      <c r="L128" s="15">
        <f t="shared" ref="L128:L134" si="131">J128*14.62+21</f>
        <v>240.3</v>
      </c>
      <c r="M128" s="17">
        <f t="shared" ref="M128:M151" si="132">0-L128</f>
        <v>-240.3</v>
      </c>
      <c r="N128" s="15">
        <f>'6'!W3</f>
        <v>25</v>
      </c>
      <c r="O128" s="16">
        <f t="shared" ref="O128:O151" si="133">G128/N128</f>
        <v>192.24</v>
      </c>
      <c r="P128" s="15">
        <f t="shared" ref="P128:P151" si="134">0.0722*0.95</f>
        <v>0.06859</v>
      </c>
      <c r="Q128" s="17">
        <f t="shared" ref="Q128:Q151" si="135">P128*G128*0.94</f>
        <v>309.8649276</v>
      </c>
      <c r="R128" s="15">
        <f t="shared" ref="R128:R134" si="136">(N128-13)*14.62+13*18+21</f>
        <v>430.44</v>
      </c>
      <c r="S128" s="17">
        <f t="shared" ref="S128:S151" si="137">Q128-R128</f>
        <v>-120.5750724</v>
      </c>
      <c r="T128" s="15">
        <f>'6'!AG3+'6'!AR3</f>
        <v>45</v>
      </c>
      <c r="U128" s="16">
        <f t="shared" ref="U128:U151" si="138">F128/T128</f>
        <v>45.8</v>
      </c>
      <c r="V128" s="15">
        <f t="shared" ref="V128:V151" si="139">0.2909*0.95</f>
        <v>0.276355</v>
      </c>
      <c r="W128" s="17">
        <f t="shared" ref="W128:W151" si="140">V128*F128*0.94</f>
        <v>535.3935957</v>
      </c>
      <c r="X128" s="15">
        <f t="shared" ref="X128:X151" si="141">(T128-13)*14.62+13*18+42</f>
        <v>743.84</v>
      </c>
      <c r="Y128" s="17">
        <f t="shared" ref="Y128:Y151" si="142">W128-X128</f>
        <v>-208.4464043</v>
      </c>
      <c r="Z128" s="18">
        <f>'6'!BA3</f>
        <v>4</v>
      </c>
      <c r="AA128" s="18">
        <f>'6'!BD3</f>
        <v>3</v>
      </c>
      <c r="AB128" s="18">
        <f>'6'!BE3</f>
        <v>0</v>
      </c>
      <c r="AC128" s="18">
        <f>'6'!BF3</f>
        <v>1</v>
      </c>
      <c r="AD128" s="17">
        <f>(Z128-1)*14.62+(9000/26/13)+(AA128-1)*14.54+7500/26/11+AB128*(4200/26/9)+AC128*(4000/26/11)+1000/24</f>
        <v>181.443675811368</v>
      </c>
      <c r="AE128" s="19">
        <f t="shared" ref="AE128:AE151" si="143">M128+S128+Y128-I128-AD128</f>
        <v>-794.77737473359</v>
      </c>
      <c r="AF128" s="2">
        <f t="shared" ref="AF128:AF151" si="144">AB128+AA128+Z128+T128+N128+J128+AC128</f>
        <v>93</v>
      </c>
      <c r="AG128" s="2">
        <f>'6'!BH3</f>
        <v>93</v>
      </c>
    </row>
    <row r="129" spans="1:33">
      <c r="A129" s="10">
        <v>46118</v>
      </c>
      <c r="B129" s="11" t="s">
        <v>3268</v>
      </c>
      <c r="C129" s="11" t="s">
        <v>3265</v>
      </c>
      <c r="D129" s="12" t="s">
        <v>22</v>
      </c>
      <c r="E129" s="13">
        <f>SUMIFS(卸车数据!$J$6:$J$1048576,卸车数据!$R$6:$R$1048576,"&gt;="&amp;A129+TIME(1,0,0),卸车数据!$R$6:$R$1048576,"&lt;"&amp;A129+TIME(2,0,0))</f>
        <v>0</v>
      </c>
      <c r="F129" s="13">
        <v>3609</v>
      </c>
      <c r="G129" s="14">
        <v>13761</v>
      </c>
      <c r="H129" s="15">
        <f t="shared" si="128"/>
        <v>2</v>
      </c>
      <c r="I129" s="15">
        <f t="shared" si="129"/>
        <v>44.0122222222222</v>
      </c>
      <c r="J129" s="15">
        <f>'6'!K4</f>
        <v>15</v>
      </c>
      <c r="K129" s="16">
        <f t="shared" si="130"/>
        <v>0</v>
      </c>
      <c r="L129" s="15">
        <f t="shared" si="131"/>
        <v>240.3</v>
      </c>
      <c r="M129" s="17">
        <f t="shared" si="132"/>
        <v>-240.3</v>
      </c>
      <c r="N129" s="15">
        <f>'6'!W4</f>
        <v>25</v>
      </c>
      <c r="O129" s="16">
        <f t="shared" si="133"/>
        <v>550.44</v>
      </c>
      <c r="P129" s="15">
        <f t="shared" si="134"/>
        <v>0.06859</v>
      </c>
      <c r="Q129" s="17">
        <f t="shared" si="135"/>
        <v>887.2349706</v>
      </c>
      <c r="R129" s="15">
        <f t="shared" si="136"/>
        <v>430.44</v>
      </c>
      <c r="S129" s="17">
        <f t="shared" si="137"/>
        <v>456.7949706</v>
      </c>
      <c r="T129" s="15">
        <f>'6'!AG4+'6'!AR4</f>
        <v>45</v>
      </c>
      <c r="U129" s="16">
        <f t="shared" si="138"/>
        <v>80.2</v>
      </c>
      <c r="V129" s="15">
        <f t="shared" si="139"/>
        <v>0.276355</v>
      </c>
      <c r="W129" s="17">
        <f t="shared" si="140"/>
        <v>937.5232833</v>
      </c>
      <c r="X129" s="15">
        <f t="shared" si="141"/>
        <v>743.84</v>
      </c>
      <c r="Y129" s="17">
        <f t="shared" si="142"/>
        <v>193.6832833</v>
      </c>
      <c r="Z129" s="18">
        <f>'6'!BA4</f>
        <v>4</v>
      </c>
      <c r="AA129" s="18">
        <f>'6'!BD4</f>
        <v>3</v>
      </c>
      <c r="AB129" s="18">
        <f>'6'!BE4</f>
        <v>0</v>
      </c>
      <c r="AC129" s="18">
        <f>'6'!BF4</f>
        <v>1</v>
      </c>
      <c r="AD129" s="17">
        <f t="shared" ref="AD129:AD151" si="145">(Z129-1)*14.62+(9000/26/13)+(AA129-1)*14.54+7500/26/11+AB129*(4200/26/9)+AC129*(4000/26/11)+1000/24</f>
        <v>181.443675811368</v>
      </c>
      <c r="AE129" s="19">
        <f t="shared" si="143"/>
        <v>184.722355866409</v>
      </c>
      <c r="AF129" s="2">
        <f t="shared" si="144"/>
        <v>93</v>
      </c>
      <c r="AG129" s="2">
        <f>'6'!BH4</f>
        <v>93</v>
      </c>
    </row>
    <row r="130" spans="1:33">
      <c r="A130" s="10">
        <v>46118</v>
      </c>
      <c r="B130" s="11" t="s">
        <v>3270</v>
      </c>
      <c r="C130" s="11" t="s">
        <v>3265</v>
      </c>
      <c r="D130" s="12" t="s">
        <v>22</v>
      </c>
      <c r="E130" s="13">
        <f>SUMIFS(卸车数据!$J$6:$J$1048576,卸车数据!$R$6:$R$1048576,"&gt;="&amp;A130+TIME(2,0,0),卸车数据!$R$6:$R$1048576,"&lt;"&amp;A130+TIME(3,0,0))</f>
        <v>0</v>
      </c>
      <c r="F130" s="13">
        <v>1236</v>
      </c>
      <c r="G130" s="14">
        <v>12311</v>
      </c>
      <c r="H130" s="15">
        <f t="shared" si="128"/>
        <v>2</v>
      </c>
      <c r="I130" s="15">
        <f t="shared" si="129"/>
        <v>44.0122222222222</v>
      </c>
      <c r="J130" s="15">
        <f>'6'!K5</f>
        <v>15</v>
      </c>
      <c r="K130" s="16">
        <f t="shared" si="130"/>
        <v>0</v>
      </c>
      <c r="L130" s="15">
        <f t="shared" si="131"/>
        <v>240.3</v>
      </c>
      <c r="M130" s="17">
        <f t="shared" si="132"/>
        <v>-240.3</v>
      </c>
      <c r="N130" s="15">
        <f>'6'!W5</f>
        <v>25</v>
      </c>
      <c r="O130" s="16">
        <f t="shared" si="133"/>
        <v>492.44</v>
      </c>
      <c r="P130" s="15">
        <f t="shared" si="134"/>
        <v>0.06859</v>
      </c>
      <c r="Q130" s="17">
        <f t="shared" si="135"/>
        <v>793.7468006</v>
      </c>
      <c r="R130" s="15">
        <f t="shared" si="136"/>
        <v>430.44</v>
      </c>
      <c r="S130" s="17">
        <f t="shared" si="137"/>
        <v>363.3068006</v>
      </c>
      <c r="T130" s="15">
        <f>'6'!AG5+'6'!AR5</f>
        <v>45</v>
      </c>
      <c r="U130" s="16">
        <f t="shared" si="138"/>
        <v>27.4666666666667</v>
      </c>
      <c r="V130" s="15">
        <f t="shared" si="139"/>
        <v>0.276355</v>
      </c>
      <c r="W130" s="17">
        <f t="shared" si="140"/>
        <v>321.0802932</v>
      </c>
      <c r="X130" s="15">
        <f t="shared" si="141"/>
        <v>743.84</v>
      </c>
      <c r="Y130" s="17">
        <f t="shared" si="142"/>
        <v>-422.7597068</v>
      </c>
      <c r="Z130" s="18">
        <f>'6'!BA5</f>
        <v>4</v>
      </c>
      <c r="AA130" s="18">
        <f>'6'!BD5</f>
        <v>3</v>
      </c>
      <c r="AB130" s="18">
        <f>'6'!BE5</f>
        <v>0</v>
      </c>
      <c r="AC130" s="18">
        <f>'6'!BF5</f>
        <v>1</v>
      </c>
      <c r="AD130" s="17">
        <f t="shared" si="145"/>
        <v>181.443675811368</v>
      </c>
      <c r="AE130" s="19">
        <f t="shared" si="143"/>
        <v>-525.20880423359</v>
      </c>
      <c r="AF130" s="2">
        <f t="shared" si="144"/>
        <v>93</v>
      </c>
      <c r="AG130" s="2">
        <f>'6'!BH5</f>
        <v>93</v>
      </c>
    </row>
    <row r="131" spans="1:33">
      <c r="A131" s="10">
        <v>46118</v>
      </c>
      <c r="B131" s="11" t="s">
        <v>3273</v>
      </c>
      <c r="C131" s="11" t="s">
        <v>3265</v>
      </c>
      <c r="D131" s="12" t="s">
        <v>22</v>
      </c>
      <c r="E131" s="13">
        <f>SUMIFS(卸车数据!$J$6:$J$1048576,卸车数据!$R$6:$R$1048576,"&gt;="&amp;A131+TIME(3,0,0),卸车数据!$R$6:$R$1048576,"&lt;"&amp;A131+TIME(4,0,0))</f>
        <v>1822</v>
      </c>
      <c r="F131" s="13">
        <v>2544</v>
      </c>
      <c r="G131" s="14">
        <v>10964</v>
      </c>
      <c r="H131" s="15">
        <f t="shared" si="128"/>
        <v>2</v>
      </c>
      <c r="I131" s="15">
        <f t="shared" si="129"/>
        <v>44.0122222222222</v>
      </c>
      <c r="J131" s="15">
        <f>'6'!K6</f>
        <v>15</v>
      </c>
      <c r="K131" s="16">
        <f t="shared" si="130"/>
        <v>121.466666666667</v>
      </c>
      <c r="L131" s="15">
        <f t="shared" si="131"/>
        <v>240.3</v>
      </c>
      <c r="M131" s="17">
        <f t="shared" si="132"/>
        <v>-240.3</v>
      </c>
      <c r="N131" s="15">
        <f>'6'!W6</f>
        <v>18</v>
      </c>
      <c r="O131" s="16">
        <f t="shared" si="133"/>
        <v>609.111111111111</v>
      </c>
      <c r="P131" s="15">
        <f t="shared" si="134"/>
        <v>0.06859</v>
      </c>
      <c r="Q131" s="17">
        <f t="shared" si="135"/>
        <v>706.8995144</v>
      </c>
      <c r="R131" s="15">
        <f t="shared" si="136"/>
        <v>328.1</v>
      </c>
      <c r="S131" s="17">
        <f t="shared" si="137"/>
        <v>378.7995144</v>
      </c>
      <c r="T131" s="15">
        <f>'6'!AG6+'6'!AR6</f>
        <v>52</v>
      </c>
      <c r="U131" s="16">
        <f t="shared" si="138"/>
        <v>48.9230769230769</v>
      </c>
      <c r="V131" s="15">
        <f t="shared" si="139"/>
        <v>0.276355</v>
      </c>
      <c r="W131" s="17">
        <f t="shared" si="140"/>
        <v>660.8642928</v>
      </c>
      <c r="X131" s="15">
        <f t="shared" si="141"/>
        <v>846.18</v>
      </c>
      <c r="Y131" s="17">
        <f t="shared" si="142"/>
        <v>-185.3157072</v>
      </c>
      <c r="Z131" s="18">
        <f>'6'!BA6</f>
        <v>4</v>
      </c>
      <c r="AA131" s="18">
        <f>'6'!BD6</f>
        <v>3</v>
      </c>
      <c r="AB131" s="18">
        <f>'6'!BE6</f>
        <v>0</v>
      </c>
      <c r="AC131" s="18">
        <f>'6'!BF6</f>
        <v>1</v>
      </c>
      <c r="AD131" s="17">
        <f t="shared" si="145"/>
        <v>181.443675811368</v>
      </c>
      <c r="AE131" s="19">
        <f t="shared" si="143"/>
        <v>-272.27209083359</v>
      </c>
      <c r="AF131" s="2">
        <f t="shared" si="144"/>
        <v>93</v>
      </c>
      <c r="AG131" s="2">
        <f>'6'!BH6</f>
        <v>93</v>
      </c>
    </row>
    <row r="132" spans="1:33">
      <c r="A132" s="10">
        <v>46118</v>
      </c>
      <c r="B132" s="11" t="s">
        <v>3280</v>
      </c>
      <c r="C132" s="11" t="s">
        <v>3265</v>
      </c>
      <c r="D132" s="12" t="s">
        <v>22</v>
      </c>
      <c r="E132" s="13">
        <f>SUMIFS(卸车数据!$J$6:$J$1048576,卸车数据!$R$6:$R$1048576,"&gt;="&amp;A132+TIME(4,0,0),卸车数据!$R$6:$R$1048576,"&lt;"&amp;A132+TIME(5,0,0))</f>
        <v>0</v>
      </c>
      <c r="F132" s="13">
        <v>2088</v>
      </c>
      <c r="G132" s="14">
        <v>131</v>
      </c>
      <c r="H132" s="15">
        <f t="shared" si="128"/>
        <v>2</v>
      </c>
      <c r="I132" s="15">
        <f t="shared" si="129"/>
        <v>44.0122222222222</v>
      </c>
      <c r="J132" s="15">
        <f>'6'!K7</f>
        <v>15</v>
      </c>
      <c r="K132" s="16">
        <f t="shared" si="130"/>
        <v>0</v>
      </c>
      <c r="L132" s="15">
        <f t="shared" si="131"/>
        <v>240.3</v>
      </c>
      <c r="M132" s="17">
        <f t="shared" si="132"/>
        <v>-240.3</v>
      </c>
      <c r="N132" s="15">
        <f>'6'!W7</f>
        <v>25</v>
      </c>
      <c r="O132" s="16">
        <f t="shared" si="133"/>
        <v>5.24</v>
      </c>
      <c r="P132" s="15">
        <f t="shared" si="134"/>
        <v>0.06859</v>
      </c>
      <c r="Q132" s="17">
        <f t="shared" si="135"/>
        <v>8.4461726</v>
      </c>
      <c r="R132" s="15">
        <f t="shared" si="136"/>
        <v>430.44</v>
      </c>
      <c r="S132" s="17">
        <f t="shared" si="137"/>
        <v>-421.9938274</v>
      </c>
      <c r="T132" s="15">
        <f>'6'!AG7+'6'!AR7</f>
        <v>45</v>
      </c>
      <c r="U132" s="16">
        <f t="shared" si="138"/>
        <v>46.4</v>
      </c>
      <c r="V132" s="15">
        <f t="shared" si="139"/>
        <v>0.276355</v>
      </c>
      <c r="W132" s="17">
        <f t="shared" si="140"/>
        <v>542.4074856</v>
      </c>
      <c r="X132" s="15">
        <f t="shared" si="141"/>
        <v>743.84</v>
      </c>
      <c r="Y132" s="17">
        <f t="shared" si="142"/>
        <v>-201.4325144</v>
      </c>
      <c r="Z132" s="18">
        <f>'6'!BA7</f>
        <v>4</v>
      </c>
      <c r="AA132" s="18">
        <f>'6'!BD7</f>
        <v>3</v>
      </c>
      <c r="AB132" s="18">
        <f>'6'!BE7</f>
        <v>0</v>
      </c>
      <c r="AC132" s="18">
        <f>'6'!BF7</f>
        <v>1</v>
      </c>
      <c r="AD132" s="17">
        <f t="shared" si="145"/>
        <v>181.443675811368</v>
      </c>
      <c r="AE132" s="19">
        <f t="shared" si="143"/>
        <v>-1089.18223983359</v>
      </c>
      <c r="AF132" s="2">
        <f t="shared" si="144"/>
        <v>93</v>
      </c>
      <c r="AG132" s="2">
        <f>'6'!BH7</f>
        <v>93</v>
      </c>
    </row>
    <row r="133" spans="1:33">
      <c r="A133" s="10">
        <v>46118</v>
      </c>
      <c r="B133" s="11" t="s">
        <v>3283</v>
      </c>
      <c r="C133" s="11" t="s">
        <v>3265</v>
      </c>
      <c r="D133" s="12" t="s">
        <v>22</v>
      </c>
      <c r="E133" s="13">
        <f>SUMIFS(卸车数据!$J$6:$J$1048576,卸车数据!$R$6:$R$1048576,"&gt;="&amp;A133+TIME(5,0,0),卸车数据!$R$6:$R$1048576,"&lt;"&amp;A133+TIME(6,0,0))</f>
        <v>4269</v>
      </c>
      <c r="F133" s="13">
        <v>985</v>
      </c>
      <c r="G133" s="14">
        <v>147</v>
      </c>
      <c r="H133" s="15">
        <f t="shared" si="128"/>
        <v>2</v>
      </c>
      <c r="I133" s="15">
        <f t="shared" si="129"/>
        <v>44.0122222222222</v>
      </c>
      <c r="J133" s="15">
        <f>'6'!K8</f>
        <v>15</v>
      </c>
      <c r="K133" s="16">
        <f t="shared" si="130"/>
        <v>284.6</v>
      </c>
      <c r="L133" s="15">
        <f t="shared" si="131"/>
        <v>240.3</v>
      </c>
      <c r="M133" s="17">
        <f t="shared" si="132"/>
        <v>-240.3</v>
      </c>
      <c r="N133" s="15">
        <f>'6'!W8</f>
        <v>25</v>
      </c>
      <c r="O133" s="16">
        <f t="shared" si="133"/>
        <v>5.88</v>
      </c>
      <c r="P133" s="15">
        <f t="shared" si="134"/>
        <v>0.06859</v>
      </c>
      <c r="Q133" s="17">
        <f t="shared" si="135"/>
        <v>9.4777662</v>
      </c>
      <c r="R133" s="15">
        <f t="shared" si="136"/>
        <v>430.44</v>
      </c>
      <c r="S133" s="17">
        <f t="shared" si="137"/>
        <v>-420.9622338</v>
      </c>
      <c r="T133" s="15">
        <f>'6'!AG8+'6'!AR8</f>
        <v>45</v>
      </c>
      <c r="U133" s="16">
        <f t="shared" si="138"/>
        <v>21.8888888888889</v>
      </c>
      <c r="V133" s="15">
        <f t="shared" si="139"/>
        <v>0.276355</v>
      </c>
      <c r="W133" s="17">
        <f t="shared" si="140"/>
        <v>255.8770945</v>
      </c>
      <c r="X133" s="15">
        <f t="shared" si="141"/>
        <v>743.84</v>
      </c>
      <c r="Y133" s="17">
        <f t="shared" si="142"/>
        <v>-487.9629055</v>
      </c>
      <c r="Z133" s="18">
        <f>'6'!BA8</f>
        <v>4</v>
      </c>
      <c r="AA133" s="18">
        <f>'6'!BD8</f>
        <v>3</v>
      </c>
      <c r="AB133" s="18">
        <f>'6'!BE8</f>
        <v>0</v>
      </c>
      <c r="AC133" s="18">
        <f>'6'!BF8</f>
        <v>1</v>
      </c>
      <c r="AD133" s="17">
        <f t="shared" si="145"/>
        <v>181.443675811368</v>
      </c>
      <c r="AE133" s="19">
        <f t="shared" si="143"/>
        <v>-1374.68103733359</v>
      </c>
      <c r="AF133" s="2">
        <f t="shared" si="144"/>
        <v>93</v>
      </c>
      <c r="AG133" s="2">
        <f>'6'!BH8</f>
        <v>93</v>
      </c>
    </row>
    <row r="134" spans="1:33">
      <c r="A134" s="10">
        <v>46118</v>
      </c>
      <c r="B134" s="11" t="s">
        <v>3286</v>
      </c>
      <c r="C134" s="11" t="s">
        <v>3265</v>
      </c>
      <c r="D134" s="12" t="s">
        <v>22</v>
      </c>
      <c r="E134" s="13">
        <f>SUMIFS(卸车数据!$J$6:$J$1048576,卸车数据!$R$6:$R$1048576,"&gt;="&amp;A134+TIME(6,0,0),卸车数据!$R$6:$R$1048576,"&lt;"&amp;A134+TIME(7,0,0))</f>
        <v>498</v>
      </c>
      <c r="F134" s="13">
        <v>2651</v>
      </c>
      <c r="G134" s="14">
        <v>6035</v>
      </c>
      <c r="H134" s="15">
        <f t="shared" si="128"/>
        <v>2</v>
      </c>
      <c r="I134" s="15">
        <f t="shared" si="129"/>
        <v>44.0122222222222</v>
      </c>
      <c r="J134" s="15">
        <f>'6'!K9</f>
        <v>15</v>
      </c>
      <c r="K134" s="16">
        <f t="shared" si="130"/>
        <v>33.2</v>
      </c>
      <c r="L134" s="15">
        <f t="shared" si="131"/>
        <v>240.3</v>
      </c>
      <c r="M134" s="17">
        <f t="shared" si="132"/>
        <v>-240.3</v>
      </c>
      <c r="N134" s="15">
        <f>'6'!W9</f>
        <v>25</v>
      </c>
      <c r="O134" s="16">
        <f t="shared" si="133"/>
        <v>241.4</v>
      </c>
      <c r="P134" s="15">
        <f t="shared" si="134"/>
        <v>0.06859</v>
      </c>
      <c r="Q134" s="17">
        <f t="shared" si="135"/>
        <v>389.104211</v>
      </c>
      <c r="R134" s="15">
        <f t="shared" si="136"/>
        <v>430.44</v>
      </c>
      <c r="S134" s="17">
        <f t="shared" si="137"/>
        <v>-41.335789</v>
      </c>
      <c r="T134" s="15">
        <f>'6'!AG9+'6'!AR9</f>
        <v>45</v>
      </c>
      <c r="U134" s="16">
        <f t="shared" si="138"/>
        <v>58.9111111111111</v>
      </c>
      <c r="V134" s="15">
        <f t="shared" si="139"/>
        <v>0.276355</v>
      </c>
      <c r="W134" s="17">
        <f t="shared" si="140"/>
        <v>688.6600787</v>
      </c>
      <c r="X134" s="15">
        <f t="shared" si="141"/>
        <v>743.84</v>
      </c>
      <c r="Y134" s="17">
        <f t="shared" si="142"/>
        <v>-55.1799213</v>
      </c>
      <c r="Z134" s="18">
        <f>'6'!BA9</f>
        <v>4</v>
      </c>
      <c r="AA134" s="18">
        <f>'6'!BD9</f>
        <v>3</v>
      </c>
      <c r="AB134" s="18">
        <f>'6'!BE9</f>
        <v>0</v>
      </c>
      <c r="AC134" s="18">
        <f>'6'!BF9</f>
        <v>1</v>
      </c>
      <c r="AD134" s="17">
        <f t="shared" si="145"/>
        <v>181.443675811368</v>
      </c>
      <c r="AE134" s="19">
        <f t="shared" si="143"/>
        <v>-562.27160833359</v>
      </c>
      <c r="AF134" s="2">
        <f t="shared" si="144"/>
        <v>93</v>
      </c>
      <c r="AG134" s="2">
        <f>'6'!BH9</f>
        <v>93</v>
      </c>
    </row>
    <row r="135" spans="1:33">
      <c r="A135" s="10">
        <v>46118</v>
      </c>
      <c r="B135" s="11" t="s">
        <v>3288</v>
      </c>
      <c r="C135" s="11" t="s">
        <v>3289</v>
      </c>
      <c r="D135" s="12" t="s">
        <v>22</v>
      </c>
      <c r="E135" s="13">
        <f>SUMIFS(卸车数据!$J$6:$J$1048576,卸车数据!$R$6:$R$1048576,"&gt;="&amp;A135+TIME(7,0,0),卸车数据!$R$6:$R$1048576,"&lt;"&amp;A135+TIME(8,0,0))</f>
        <v>2205</v>
      </c>
      <c r="F135" s="13">
        <v>2386</v>
      </c>
      <c r="G135" s="14">
        <v>4536</v>
      </c>
      <c r="H135" s="15">
        <f t="shared" si="128"/>
        <v>4</v>
      </c>
      <c r="I135" s="15">
        <f t="shared" si="129"/>
        <v>100.75</v>
      </c>
      <c r="J135" s="15">
        <f>'6'!K10</f>
        <v>9</v>
      </c>
      <c r="K135" s="16">
        <f t="shared" si="130"/>
        <v>245</v>
      </c>
      <c r="L135" s="15">
        <f t="shared" ref="L135:L145" si="146">J135*14.54+21</f>
        <v>151.86</v>
      </c>
      <c r="M135" s="17">
        <f t="shared" si="132"/>
        <v>-151.86</v>
      </c>
      <c r="N135" s="15">
        <f>'6'!W10</f>
        <v>12</v>
      </c>
      <c r="O135" s="16">
        <f t="shared" si="133"/>
        <v>378</v>
      </c>
      <c r="P135" s="15">
        <f t="shared" si="134"/>
        <v>0.06859</v>
      </c>
      <c r="Q135" s="17">
        <f t="shared" si="135"/>
        <v>292.4567856</v>
      </c>
      <c r="R135" s="15">
        <f t="shared" ref="R135:R145" si="147">N135*14.54+21</f>
        <v>195.48</v>
      </c>
      <c r="S135" s="17">
        <f t="shared" si="137"/>
        <v>96.9767856</v>
      </c>
      <c r="T135" s="15">
        <f>'6'!AG10+'6'!AR10</f>
        <v>32</v>
      </c>
      <c r="U135" s="16">
        <f t="shared" si="138"/>
        <v>74.5625</v>
      </c>
      <c r="V135" s="15">
        <f t="shared" si="139"/>
        <v>0.276355</v>
      </c>
      <c r="W135" s="17">
        <f t="shared" si="140"/>
        <v>619.8200482</v>
      </c>
      <c r="X135" s="15">
        <f t="shared" si="141"/>
        <v>553.78</v>
      </c>
      <c r="Y135" s="17">
        <f t="shared" si="142"/>
        <v>66.0400482</v>
      </c>
      <c r="Z135" s="18">
        <f>'6'!BA10</f>
        <v>0</v>
      </c>
      <c r="AA135" s="18">
        <f>'6'!BD10</f>
        <v>2</v>
      </c>
      <c r="AB135" s="18">
        <f>'6'!BE10</f>
        <v>2</v>
      </c>
      <c r="AC135" s="18">
        <f>'6'!BF10</f>
        <v>1</v>
      </c>
      <c r="AD135" s="17">
        <f t="shared" si="145"/>
        <v>144.321111708804</v>
      </c>
      <c r="AE135" s="19">
        <f t="shared" si="143"/>
        <v>-233.914277908804</v>
      </c>
      <c r="AF135" s="2">
        <f t="shared" si="144"/>
        <v>58</v>
      </c>
      <c r="AG135" s="2">
        <f>'6'!BH10</f>
        <v>58</v>
      </c>
    </row>
    <row r="136" spans="1:33">
      <c r="A136" s="10">
        <v>46118</v>
      </c>
      <c r="B136" s="11" t="s">
        <v>3297</v>
      </c>
      <c r="C136" s="11" t="s">
        <v>3289</v>
      </c>
      <c r="D136" s="12" t="s">
        <v>22</v>
      </c>
      <c r="E136" s="13">
        <f>SUMIFS(卸车数据!$J$6:$J$1048576,卸车数据!$R$6:$R$1048576,"&gt;="&amp;A136+TIME(8,0,0),卸车数据!$R$6:$R$1048576,"&lt;"&amp;A136+TIME(9,0,0))</f>
        <v>2692</v>
      </c>
      <c r="F136" s="13">
        <v>406</v>
      </c>
      <c r="G136" s="14">
        <v>2838</v>
      </c>
      <c r="H136" s="15">
        <f t="shared" si="128"/>
        <v>4</v>
      </c>
      <c r="I136" s="15">
        <f t="shared" si="129"/>
        <v>100.75</v>
      </c>
      <c r="J136" s="15">
        <f>'6'!K11</f>
        <v>9</v>
      </c>
      <c r="K136" s="16">
        <f t="shared" si="130"/>
        <v>299.111111111111</v>
      </c>
      <c r="L136" s="15">
        <f t="shared" si="146"/>
        <v>151.86</v>
      </c>
      <c r="M136" s="17">
        <f t="shared" si="132"/>
        <v>-151.86</v>
      </c>
      <c r="N136" s="15">
        <f>'6'!W11</f>
        <v>12</v>
      </c>
      <c r="O136" s="16">
        <f t="shared" si="133"/>
        <v>236.5</v>
      </c>
      <c r="P136" s="15">
        <f t="shared" si="134"/>
        <v>0.06859</v>
      </c>
      <c r="Q136" s="17">
        <f t="shared" si="135"/>
        <v>182.9789148</v>
      </c>
      <c r="R136" s="15">
        <f t="shared" si="147"/>
        <v>195.48</v>
      </c>
      <c r="S136" s="17">
        <f t="shared" si="137"/>
        <v>-12.5010852</v>
      </c>
      <c r="T136" s="15">
        <f>'6'!AG11+'6'!AR11</f>
        <v>32</v>
      </c>
      <c r="U136" s="16">
        <f t="shared" si="138"/>
        <v>12.6875</v>
      </c>
      <c r="V136" s="15">
        <f t="shared" si="139"/>
        <v>0.276355</v>
      </c>
      <c r="W136" s="17">
        <f t="shared" si="140"/>
        <v>105.4681222</v>
      </c>
      <c r="X136" s="15">
        <f t="shared" si="141"/>
        <v>553.78</v>
      </c>
      <c r="Y136" s="17">
        <f t="shared" si="142"/>
        <v>-448.3118778</v>
      </c>
      <c r="Z136" s="18">
        <f>'6'!BA11</f>
        <v>0</v>
      </c>
      <c r="AA136" s="18">
        <f>'6'!BD11</f>
        <v>2</v>
      </c>
      <c r="AB136" s="18">
        <f>'6'!BE11</f>
        <v>2</v>
      </c>
      <c r="AC136" s="18">
        <f>'6'!BF11</f>
        <v>1</v>
      </c>
      <c r="AD136" s="17">
        <f t="shared" si="145"/>
        <v>144.321111708804</v>
      </c>
      <c r="AE136" s="19">
        <f t="shared" si="143"/>
        <v>-857.744074708804</v>
      </c>
      <c r="AF136" s="2">
        <f t="shared" si="144"/>
        <v>58</v>
      </c>
      <c r="AG136" s="2">
        <f>'6'!BH11</f>
        <v>58</v>
      </c>
    </row>
    <row r="137" spans="1:33">
      <c r="A137" s="10">
        <v>46118</v>
      </c>
      <c r="B137" s="11" t="s">
        <v>3302</v>
      </c>
      <c r="C137" s="11" t="s">
        <v>3289</v>
      </c>
      <c r="D137" s="12" t="s">
        <v>22</v>
      </c>
      <c r="E137" s="13">
        <f>SUMIFS(卸车数据!$J$6:$J$1048576,卸车数据!$R$6:$R$1048576,"&gt;="&amp;A137+TIME(9,0,0),卸车数据!$R$6:$R$1048576,"&lt;"&amp;A137+TIME(10,0,0))</f>
        <v>199</v>
      </c>
      <c r="F137" s="13">
        <v>2756</v>
      </c>
      <c r="G137" s="14">
        <v>9419</v>
      </c>
      <c r="H137" s="15">
        <f t="shared" si="128"/>
        <v>4</v>
      </c>
      <c r="I137" s="15">
        <f t="shared" si="129"/>
        <v>100.75</v>
      </c>
      <c r="J137" s="15">
        <f>'6'!K12</f>
        <v>12</v>
      </c>
      <c r="K137" s="16">
        <f t="shared" si="130"/>
        <v>16.5833333333333</v>
      </c>
      <c r="L137" s="15">
        <f t="shared" si="146"/>
        <v>195.48</v>
      </c>
      <c r="M137" s="17">
        <f t="shared" si="132"/>
        <v>-195.48</v>
      </c>
      <c r="N137" s="15">
        <f>'6'!W12</f>
        <v>14</v>
      </c>
      <c r="O137" s="16">
        <f t="shared" si="133"/>
        <v>672.785714285714</v>
      </c>
      <c r="P137" s="15">
        <f t="shared" si="134"/>
        <v>0.06859</v>
      </c>
      <c r="Q137" s="17">
        <f t="shared" si="135"/>
        <v>607.2862574</v>
      </c>
      <c r="R137" s="15">
        <f t="shared" si="147"/>
        <v>224.56</v>
      </c>
      <c r="S137" s="17">
        <f t="shared" si="137"/>
        <v>382.7262574</v>
      </c>
      <c r="T137" s="15">
        <f>'6'!AG12+'6'!AR12</f>
        <v>27</v>
      </c>
      <c r="U137" s="16">
        <f t="shared" si="138"/>
        <v>102.074074074074</v>
      </c>
      <c r="V137" s="15">
        <f t="shared" si="139"/>
        <v>0.276355</v>
      </c>
      <c r="W137" s="17">
        <f t="shared" si="140"/>
        <v>715.9363172</v>
      </c>
      <c r="X137" s="15">
        <f t="shared" si="141"/>
        <v>480.68</v>
      </c>
      <c r="Y137" s="17">
        <f t="shared" si="142"/>
        <v>235.2563172</v>
      </c>
      <c r="Z137" s="18">
        <f>'6'!BA12</f>
        <v>0</v>
      </c>
      <c r="AA137" s="18">
        <f>'6'!BD12</f>
        <v>2</v>
      </c>
      <c r="AB137" s="18">
        <f>'6'!BE12</f>
        <v>2</v>
      </c>
      <c r="AC137" s="18">
        <f>'6'!BF12</f>
        <v>1</v>
      </c>
      <c r="AD137" s="17">
        <f t="shared" si="145"/>
        <v>144.321111708804</v>
      </c>
      <c r="AE137" s="19">
        <f t="shared" si="143"/>
        <v>177.431462891196</v>
      </c>
      <c r="AF137" s="2">
        <f t="shared" si="144"/>
        <v>58</v>
      </c>
      <c r="AG137" s="2">
        <f>'6'!BH12</f>
        <v>58</v>
      </c>
    </row>
    <row r="138" spans="1:33">
      <c r="A138" s="10">
        <v>46118</v>
      </c>
      <c r="B138" s="11" t="s">
        <v>3306</v>
      </c>
      <c r="C138" s="11" t="s">
        <v>3289</v>
      </c>
      <c r="D138" s="12" t="s">
        <v>22</v>
      </c>
      <c r="E138" s="13">
        <f>SUMIFS(卸车数据!$J$6:$J$1048576,卸车数据!$R$6:$R$1048576,"&gt;="&amp;A138+TIME(10,0,0),卸车数据!$R$6:$R$1048576,"&lt;"&amp;A138+TIME(11,0,0))</f>
        <v>99</v>
      </c>
      <c r="F138" s="13">
        <v>162</v>
      </c>
      <c r="G138" s="14">
        <v>198</v>
      </c>
      <c r="H138" s="15">
        <f t="shared" si="128"/>
        <v>4</v>
      </c>
      <c r="I138" s="15">
        <f t="shared" si="129"/>
        <v>100.75</v>
      </c>
      <c r="J138" s="15">
        <f>'6'!K13</f>
        <v>12</v>
      </c>
      <c r="K138" s="16">
        <f t="shared" si="130"/>
        <v>8.25</v>
      </c>
      <c r="L138" s="15">
        <f t="shared" si="146"/>
        <v>195.48</v>
      </c>
      <c r="M138" s="17">
        <f t="shared" si="132"/>
        <v>-195.48</v>
      </c>
      <c r="N138" s="15">
        <f>'6'!W13</f>
        <v>14</v>
      </c>
      <c r="O138" s="16">
        <f t="shared" si="133"/>
        <v>14.1428571428571</v>
      </c>
      <c r="P138" s="15">
        <f t="shared" si="134"/>
        <v>0.06859</v>
      </c>
      <c r="Q138" s="17">
        <f t="shared" si="135"/>
        <v>12.7659708</v>
      </c>
      <c r="R138" s="15">
        <f t="shared" si="147"/>
        <v>224.56</v>
      </c>
      <c r="S138" s="17">
        <f t="shared" si="137"/>
        <v>-211.7940292</v>
      </c>
      <c r="T138" s="15">
        <f>'6'!AG13+'6'!AR13</f>
        <v>27</v>
      </c>
      <c r="U138" s="16">
        <f t="shared" si="138"/>
        <v>6</v>
      </c>
      <c r="V138" s="15">
        <f t="shared" si="139"/>
        <v>0.276355</v>
      </c>
      <c r="W138" s="17">
        <f t="shared" si="140"/>
        <v>42.0833394</v>
      </c>
      <c r="X138" s="15">
        <f t="shared" si="141"/>
        <v>480.68</v>
      </c>
      <c r="Y138" s="17">
        <f t="shared" si="142"/>
        <v>-438.5966606</v>
      </c>
      <c r="Z138" s="18">
        <f>'6'!BA13</f>
        <v>0</v>
      </c>
      <c r="AA138" s="18">
        <f>'6'!BD13</f>
        <v>2</v>
      </c>
      <c r="AB138" s="18">
        <f>'6'!BE13</f>
        <v>2</v>
      </c>
      <c r="AC138" s="18">
        <f>'6'!BF13</f>
        <v>1</v>
      </c>
      <c r="AD138" s="17">
        <f t="shared" si="145"/>
        <v>144.321111708804</v>
      </c>
      <c r="AE138" s="19">
        <f t="shared" si="143"/>
        <v>-1090.9418015088</v>
      </c>
      <c r="AF138" s="2">
        <f t="shared" si="144"/>
        <v>58</v>
      </c>
      <c r="AG138" s="2">
        <f>'6'!BH13</f>
        <v>58</v>
      </c>
    </row>
    <row r="139" spans="1:33">
      <c r="A139" s="10">
        <v>46118</v>
      </c>
      <c r="B139" s="11" t="s">
        <v>3310</v>
      </c>
      <c r="C139" s="11" t="s">
        <v>3289</v>
      </c>
      <c r="D139" s="11" t="s">
        <v>3311</v>
      </c>
      <c r="E139" s="13">
        <f>SUMIFS(卸车数据!$J$6:$J$1048576,卸车数据!$R$6:$R$1048576,"&gt;="&amp;A139+TIME(11,0,0),卸车数据!$R$6:$R$1048576,"&lt;"&amp;A139+TIME(12,0,0))</f>
        <v>3861</v>
      </c>
      <c r="F139" s="13">
        <v>2079</v>
      </c>
      <c r="G139" s="14">
        <v>108</v>
      </c>
      <c r="H139" s="15">
        <f t="shared" si="128"/>
        <v>4</v>
      </c>
      <c r="I139" s="15">
        <f t="shared" si="129"/>
        <v>100.75</v>
      </c>
      <c r="J139" s="15">
        <f>'6'!K14</f>
        <v>13</v>
      </c>
      <c r="K139" s="16">
        <f t="shared" si="130"/>
        <v>297</v>
      </c>
      <c r="L139" s="15">
        <f t="shared" si="146"/>
        <v>210.02</v>
      </c>
      <c r="M139" s="17">
        <f t="shared" si="132"/>
        <v>-210.02</v>
      </c>
      <c r="N139" s="15">
        <f>'6'!W14</f>
        <v>16</v>
      </c>
      <c r="O139" s="16">
        <f t="shared" si="133"/>
        <v>6.75</v>
      </c>
      <c r="P139" s="15">
        <f t="shared" si="134"/>
        <v>0.06859</v>
      </c>
      <c r="Q139" s="17">
        <f t="shared" si="135"/>
        <v>6.9632568</v>
      </c>
      <c r="R139" s="15">
        <f t="shared" si="147"/>
        <v>253.64</v>
      </c>
      <c r="S139" s="17">
        <f t="shared" si="137"/>
        <v>-246.6767432</v>
      </c>
      <c r="T139" s="15">
        <f>'6'!AG14+'6'!AR14</f>
        <v>30</v>
      </c>
      <c r="U139" s="16">
        <f t="shared" si="138"/>
        <v>69.3</v>
      </c>
      <c r="V139" s="15">
        <f t="shared" si="139"/>
        <v>0.276355</v>
      </c>
      <c r="W139" s="17">
        <f t="shared" si="140"/>
        <v>540.0695223</v>
      </c>
      <c r="X139" s="15">
        <f t="shared" si="141"/>
        <v>524.54</v>
      </c>
      <c r="Y139" s="17">
        <f t="shared" si="142"/>
        <v>15.5295222999999</v>
      </c>
      <c r="Z139" s="18">
        <f>'6'!BA14</f>
        <v>0</v>
      </c>
      <c r="AA139" s="18">
        <f>'6'!BD14</f>
        <v>2</v>
      </c>
      <c r="AB139" s="18">
        <f>'6'!BE14</f>
        <v>2</v>
      </c>
      <c r="AC139" s="18">
        <f>'6'!BF14</f>
        <v>1</v>
      </c>
      <c r="AD139" s="17">
        <f t="shared" si="145"/>
        <v>144.321111708804</v>
      </c>
      <c r="AE139" s="19">
        <f t="shared" si="143"/>
        <v>-686.238332608804</v>
      </c>
      <c r="AF139" s="2">
        <f t="shared" si="144"/>
        <v>64</v>
      </c>
      <c r="AG139" s="2">
        <f>'6'!BH14</f>
        <v>64</v>
      </c>
    </row>
    <row r="140" spans="1:33">
      <c r="A140" s="10">
        <v>46118</v>
      </c>
      <c r="B140" s="11" t="s">
        <v>3318</v>
      </c>
      <c r="C140" s="11" t="s">
        <v>3289</v>
      </c>
      <c r="D140" s="11" t="s">
        <v>3319</v>
      </c>
      <c r="E140" s="13">
        <f>SUMIFS(卸车数据!$J$6:$J$1048576,卸车数据!$R$6:$R$1048576,"&gt;="&amp;A140+TIME(12,0,0),卸车数据!$R$6:$R$1048576,"&lt;"&amp;A140+TIME(13,0,0))</f>
        <v>12351</v>
      </c>
      <c r="F140" s="13">
        <v>6447</v>
      </c>
      <c r="G140" s="14">
        <v>15</v>
      </c>
      <c r="H140" s="15">
        <f t="shared" si="128"/>
        <v>4</v>
      </c>
      <c r="I140" s="15">
        <f t="shared" si="129"/>
        <v>100.75</v>
      </c>
      <c r="J140" s="15">
        <f>'6'!K15</f>
        <v>18</v>
      </c>
      <c r="K140" s="16">
        <f t="shared" si="130"/>
        <v>686.166666666667</v>
      </c>
      <c r="L140" s="15">
        <f t="shared" si="146"/>
        <v>282.72</v>
      </c>
      <c r="M140" s="17">
        <f t="shared" si="132"/>
        <v>-282.72</v>
      </c>
      <c r="N140" s="15">
        <f>'6'!W15</f>
        <v>4</v>
      </c>
      <c r="O140" s="16">
        <f t="shared" si="133"/>
        <v>3.75</v>
      </c>
      <c r="P140" s="15">
        <f t="shared" si="134"/>
        <v>0.06859</v>
      </c>
      <c r="Q140" s="17">
        <f t="shared" si="135"/>
        <v>0.967119</v>
      </c>
      <c r="R140" s="15">
        <f t="shared" si="147"/>
        <v>79.16</v>
      </c>
      <c r="S140" s="17">
        <f t="shared" si="137"/>
        <v>-78.192881</v>
      </c>
      <c r="T140" s="15">
        <f>'6'!AG15+'6'!AR15</f>
        <v>37</v>
      </c>
      <c r="U140" s="16">
        <f t="shared" si="138"/>
        <v>174.243243243243</v>
      </c>
      <c r="V140" s="15">
        <f t="shared" si="139"/>
        <v>0.276355</v>
      </c>
      <c r="W140" s="17">
        <f t="shared" si="140"/>
        <v>1674.7610439</v>
      </c>
      <c r="X140" s="15">
        <f t="shared" si="141"/>
        <v>626.88</v>
      </c>
      <c r="Y140" s="17">
        <f t="shared" si="142"/>
        <v>1047.8810439</v>
      </c>
      <c r="Z140" s="18">
        <f>'6'!BA15</f>
        <v>0</v>
      </c>
      <c r="AA140" s="18">
        <f>'6'!BD15</f>
        <v>2</v>
      </c>
      <c r="AB140" s="18">
        <f>'6'!BE15</f>
        <v>2</v>
      </c>
      <c r="AC140" s="18">
        <f>'6'!BF15</f>
        <v>1</v>
      </c>
      <c r="AD140" s="17">
        <f t="shared" si="145"/>
        <v>144.321111708804</v>
      </c>
      <c r="AE140" s="19">
        <f t="shared" si="143"/>
        <v>441.897051191196</v>
      </c>
      <c r="AF140" s="2">
        <f t="shared" si="144"/>
        <v>64</v>
      </c>
      <c r="AG140" s="2">
        <f>'6'!BH15</f>
        <v>64</v>
      </c>
    </row>
    <row r="141" spans="1:33">
      <c r="A141" s="10">
        <v>46118</v>
      </c>
      <c r="B141" s="11" t="s">
        <v>3327</v>
      </c>
      <c r="C141" s="11" t="s">
        <v>3289</v>
      </c>
      <c r="D141" s="11" t="s">
        <v>3319</v>
      </c>
      <c r="E141" s="13">
        <f>SUMIFS(卸车数据!$J$6:$J$1048576,卸车数据!$R$6:$R$1048576,"&gt;="&amp;A141+TIME(13,0,0),卸车数据!$R$6:$R$1048576,"&lt;"&amp;A141+TIME(14,0,0))</f>
        <v>7914</v>
      </c>
      <c r="F141" s="13">
        <v>2601</v>
      </c>
      <c r="G141" s="14">
        <v>5148</v>
      </c>
      <c r="H141" s="15">
        <f t="shared" si="128"/>
        <v>4</v>
      </c>
      <c r="I141" s="15">
        <f t="shared" si="129"/>
        <v>100.75</v>
      </c>
      <c r="J141" s="15">
        <f>'6'!K16</f>
        <v>12</v>
      </c>
      <c r="K141" s="16">
        <f t="shared" si="130"/>
        <v>659.5</v>
      </c>
      <c r="L141" s="15">
        <f t="shared" si="146"/>
        <v>195.48</v>
      </c>
      <c r="M141" s="17">
        <f t="shared" si="132"/>
        <v>-195.48</v>
      </c>
      <c r="N141" s="15">
        <f>'6'!W16</f>
        <v>16</v>
      </c>
      <c r="O141" s="16">
        <f t="shared" si="133"/>
        <v>321.75</v>
      </c>
      <c r="P141" s="15">
        <f t="shared" si="134"/>
        <v>0.06859</v>
      </c>
      <c r="Q141" s="17">
        <f t="shared" si="135"/>
        <v>331.9152408</v>
      </c>
      <c r="R141" s="15">
        <f t="shared" si="147"/>
        <v>253.64</v>
      </c>
      <c r="S141" s="17">
        <f t="shared" si="137"/>
        <v>78.2752408</v>
      </c>
      <c r="T141" s="15">
        <f>'6'!AG16+'6'!AR16</f>
        <v>31</v>
      </c>
      <c r="U141" s="16">
        <f t="shared" si="138"/>
        <v>83.9032258064516</v>
      </c>
      <c r="V141" s="15">
        <f t="shared" si="139"/>
        <v>0.276355</v>
      </c>
      <c r="W141" s="17">
        <f t="shared" si="140"/>
        <v>675.6713937</v>
      </c>
      <c r="X141" s="15">
        <f t="shared" si="141"/>
        <v>539.16</v>
      </c>
      <c r="Y141" s="17">
        <f t="shared" si="142"/>
        <v>136.5113937</v>
      </c>
      <c r="Z141" s="18">
        <f>'6'!BA16</f>
        <v>0</v>
      </c>
      <c r="AA141" s="18">
        <f>'6'!BD16</f>
        <v>2</v>
      </c>
      <c r="AB141" s="18">
        <f>'6'!BE16</f>
        <v>2</v>
      </c>
      <c r="AC141" s="18">
        <f>'6'!BF16</f>
        <v>1</v>
      </c>
      <c r="AD141" s="17">
        <f t="shared" si="145"/>
        <v>144.321111708804</v>
      </c>
      <c r="AE141" s="19">
        <f t="shared" si="143"/>
        <v>-225.764477208804</v>
      </c>
      <c r="AF141" s="2">
        <f t="shared" si="144"/>
        <v>64</v>
      </c>
      <c r="AG141" s="2">
        <f>'6'!BH16</f>
        <v>64</v>
      </c>
    </row>
    <row r="142" spans="1:33">
      <c r="A142" s="10">
        <v>46118</v>
      </c>
      <c r="B142" s="11" t="s">
        <v>3331</v>
      </c>
      <c r="C142" s="11" t="s">
        <v>3289</v>
      </c>
      <c r="D142" s="11" t="s">
        <v>3319</v>
      </c>
      <c r="E142" s="13">
        <f>SUMIFS(卸车数据!$J$6:$J$1048576,卸车数据!$R$6:$R$1048576,"&gt;="&amp;A142+TIME(14,0,0),卸车数据!$R$6:$R$1048576,"&lt;"&amp;A142+TIME(15,0,0))</f>
        <v>5822</v>
      </c>
      <c r="F142" s="13">
        <v>1373</v>
      </c>
      <c r="G142" s="14">
        <v>7939</v>
      </c>
      <c r="H142" s="15">
        <f t="shared" si="128"/>
        <v>4</v>
      </c>
      <c r="I142" s="15">
        <f t="shared" si="129"/>
        <v>100.75</v>
      </c>
      <c r="J142" s="15">
        <f>'6'!K17</f>
        <v>12</v>
      </c>
      <c r="K142" s="16">
        <f t="shared" si="130"/>
        <v>485.166666666667</v>
      </c>
      <c r="L142" s="15">
        <f t="shared" si="146"/>
        <v>195.48</v>
      </c>
      <c r="M142" s="17">
        <f t="shared" si="132"/>
        <v>-195.48</v>
      </c>
      <c r="N142" s="15">
        <f>'6'!W17</f>
        <v>16</v>
      </c>
      <c r="O142" s="16">
        <f t="shared" si="133"/>
        <v>496.1875</v>
      </c>
      <c r="P142" s="15">
        <f t="shared" si="134"/>
        <v>0.06859</v>
      </c>
      <c r="Q142" s="17">
        <f t="shared" si="135"/>
        <v>511.8638494</v>
      </c>
      <c r="R142" s="15">
        <f t="shared" si="147"/>
        <v>253.64</v>
      </c>
      <c r="S142" s="17">
        <f t="shared" si="137"/>
        <v>258.2238494</v>
      </c>
      <c r="T142" s="15">
        <f>'6'!AG17+'6'!AR17</f>
        <v>31</v>
      </c>
      <c r="U142" s="16">
        <f t="shared" si="138"/>
        <v>44.2903225806452</v>
      </c>
      <c r="V142" s="15">
        <f t="shared" si="139"/>
        <v>0.276355</v>
      </c>
      <c r="W142" s="17">
        <f t="shared" si="140"/>
        <v>356.6692901</v>
      </c>
      <c r="X142" s="15">
        <f t="shared" si="141"/>
        <v>539.16</v>
      </c>
      <c r="Y142" s="17">
        <f t="shared" si="142"/>
        <v>-182.4907099</v>
      </c>
      <c r="Z142" s="18">
        <f>'6'!BA17</f>
        <v>0</v>
      </c>
      <c r="AA142" s="18">
        <f>'6'!BD17</f>
        <v>2</v>
      </c>
      <c r="AB142" s="18">
        <f>'6'!BE17</f>
        <v>2</v>
      </c>
      <c r="AC142" s="18">
        <f>'6'!BF17</f>
        <v>1</v>
      </c>
      <c r="AD142" s="17">
        <f t="shared" si="145"/>
        <v>144.321111708804</v>
      </c>
      <c r="AE142" s="19">
        <f t="shared" si="143"/>
        <v>-364.817972208804</v>
      </c>
      <c r="AF142" s="2">
        <f t="shared" si="144"/>
        <v>64</v>
      </c>
      <c r="AG142" s="2">
        <f>'6'!BH17</f>
        <v>64</v>
      </c>
    </row>
    <row r="143" spans="1:33">
      <c r="A143" s="10">
        <v>46118</v>
      </c>
      <c r="B143" s="11" t="s">
        <v>3334</v>
      </c>
      <c r="C143" s="11" t="s">
        <v>3289</v>
      </c>
      <c r="D143" s="12" t="s">
        <v>22</v>
      </c>
      <c r="E143" s="13">
        <f>SUMIFS(卸车数据!$J$6:$J$1048576,卸车数据!$R$6:$R$1048576,"&gt;="&amp;A143+TIME(15,0,0),卸车数据!$R$6:$R$1048576,"&lt;"&amp;A143+TIME(16,0,0))</f>
        <v>0</v>
      </c>
      <c r="F143" s="13">
        <v>3773</v>
      </c>
      <c r="G143" s="14">
        <v>7371</v>
      </c>
      <c r="H143" s="15">
        <f t="shared" si="128"/>
        <v>4</v>
      </c>
      <c r="I143" s="15">
        <f t="shared" si="129"/>
        <v>100.75</v>
      </c>
      <c r="J143" s="15">
        <f>'6'!K18</f>
        <v>12</v>
      </c>
      <c r="K143" s="16">
        <f t="shared" si="130"/>
        <v>0</v>
      </c>
      <c r="L143" s="15">
        <f t="shared" si="146"/>
        <v>195.48</v>
      </c>
      <c r="M143" s="17">
        <f t="shared" si="132"/>
        <v>-195.48</v>
      </c>
      <c r="N143" s="15">
        <f>'6'!W18</f>
        <v>16</v>
      </c>
      <c r="O143" s="16">
        <f t="shared" si="133"/>
        <v>460.6875</v>
      </c>
      <c r="P143" s="15">
        <f t="shared" si="134"/>
        <v>0.06859</v>
      </c>
      <c r="Q143" s="17">
        <f t="shared" si="135"/>
        <v>475.2422766</v>
      </c>
      <c r="R143" s="15">
        <f t="shared" si="147"/>
        <v>253.64</v>
      </c>
      <c r="S143" s="17">
        <f t="shared" si="137"/>
        <v>221.6022766</v>
      </c>
      <c r="T143" s="15">
        <f>'6'!AG18+'6'!AR18</f>
        <v>31</v>
      </c>
      <c r="U143" s="16">
        <f t="shared" si="138"/>
        <v>121.709677419355</v>
      </c>
      <c r="V143" s="15">
        <f t="shared" si="139"/>
        <v>0.276355</v>
      </c>
      <c r="W143" s="17">
        <f t="shared" si="140"/>
        <v>980.1261701</v>
      </c>
      <c r="X143" s="15">
        <f t="shared" si="141"/>
        <v>539.16</v>
      </c>
      <c r="Y143" s="17">
        <f t="shared" si="142"/>
        <v>440.9661701</v>
      </c>
      <c r="Z143" s="18">
        <f>'6'!BA18</f>
        <v>0</v>
      </c>
      <c r="AA143" s="18">
        <f>'6'!BD18</f>
        <v>2</v>
      </c>
      <c r="AB143" s="18">
        <f>'6'!BE18</f>
        <v>2</v>
      </c>
      <c r="AC143" s="18">
        <f>'6'!BF18</f>
        <v>1</v>
      </c>
      <c r="AD143" s="17">
        <f t="shared" si="145"/>
        <v>144.321111708804</v>
      </c>
      <c r="AE143" s="19">
        <f t="shared" si="143"/>
        <v>222.017334991196</v>
      </c>
      <c r="AF143" s="2">
        <f t="shared" si="144"/>
        <v>64</v>
      </c>
      <c r="AG143" s="2">
        <f>'6'!BH18</f>
        <v>64</v>
      </c>
    </row>
    <row r="144" spans="1:33">
      <c r="A144" s="10">
        <v>46118</v>
      </c>
      <c r="B144" s="11" t="s">
        <v>3339</v>
      </c>
      <c r="C144" s="11" t="s">
        <v>3289</v>
      </c>
      <c r="D144" s="12" t="s">
        <v>22</v>
      </c>
      <c r="E144" s="13">
        <f>SUMIFS(卸车数据!$J$6:$J$1048576,卸车数据!$R$6:$R$1048576,"&gt;="&amp;A144+TIME(16,0,0),卸车数据!$R$6:$R$1048576,"&lt;"&amp;A144+TIME(17,0,0))</f>
        <v>6967</v>
      </c>
      <c r="F144" s="13">
        <v>2631</v>
      </c>
      <c r="G144" s="14">
        <v>14176</v>
      </c>
      <c r="H144" s="15">
        <f t="shared" si="128"/>
        <v>4</v>
      </c>
      <c r="I144" s="15">
        <f t="shared" si="129"/>
        <v>100.75</v>
      </c>
      <c r="J144" s="15">
        <f>'6'!K19</f>
        <v>12</v>
      </c>
      <c r="K144" s="16">
        <f t="shared" si="130"/>
        <v>580.583333333333</v>
      </c>
      <c r="L144" s="15">
        <f t="shared" si="146"/>
        <v>195.48</v>
      </c>
      <c r="M144" s="17">
        <f t="shared" si="132"/>
        <v>-195.48</v>
      </c>
      <c r="N144" s="15">
        <f>'6'!W19</f>
        <v>16</v>
      </c>
      <c r="O144" s="16">
        <f t="shared" si="133"/>
        <v>886</v>
      </c>
      <c r="P144" s="15">
        <f t="shared" si="134"/>
        <v>0.06859</v>
      </c>
      <c r="Q144" s="17">
        <f t="shared" si="135"/>
        <v>913.9919296</v>
      </c>
      <c r="R144" s="15">
        <f t="shared" si="147"/>
        <v>253.64</v>
      </c>
      <c r="S144" s="17">
        <f t="shared" si="137"/>
        <v>660.3519296</v>
      </c>
      <c r="T144" s="15">
        <f>'6'!AG19+'6'!AR19</f>
        <v>31</v>
      </c>
      <c r="U144" s="16">
        <f t="shared" si="138"/>
        <v>84.8709677419355</v>
      </c>
      <c r="V144" s="15">
        <f t="shared" si="139"/>
        <v>0.276355</v>
      </c>
      <c r="W144" s="17">
        <f t="shared" si="140"/>
        <v>683.4646047</v>
      </c>
      <c r="X144" s="15">
        <f t="shared" si="141"/>
        <v>539.16</v>
      </c>
      <c r="Y144" s="17">
        <f t="shared" si="142"/>
        <v>144.3046047</v>
      </c>
      <c r="Z144" s="18">
        <f>'6'!BA19</f>
        <v>0</v>
      </c>
      <c r="AA144" s="18">
        <f>'6'!BD19</f>
        <v>2</v>
      </c>
      <c r="AB144" s="18">
        <f>'6'!BE19</f>
        <v>2</v>
      </c>
      <c r="AC144" s="18">
        <f>'6'!BF19</f>
        <v>1</v>
      </c>
      <c r="AD144" s="17">
        <f t="shared" si="145"/>
        <v>144.321111708804</v>
      </c>
      <c r="AE144" s="19">
        <f t="shared" si="143"/>
        <v>364.105422591196</v>
      </c>
      <c r="AF144" s="2">
        <f t="shared" si="144"/>
        <v>64</v>
      </c>
      <c r="AG144" s="2">
        <f>'6'!BH19</f>
        <v>64</v>
      </c>
    </row>
    <row r="145" spans="1:33">
      <c r="A145" s="10">
        <v>46118</v>
      </c>
      <c r="B145" s="11" t="s">
        <v>3344</v>
      </c>
      <c r="C145" s="11" t="s">
        <v>3289</v>
      </c>
      <c r="D145" s="11" t="s">
        <v>3319</v>
      </c>
      <c r="E145" s="13">
        <f>SUMIFS(卸车数据!$J$6:$J$1048576,卸车数据!$R$6:$R$1048576,"&gt;="&amp;A145+TIME(17,0,0),卸车数据!$R$6:$R$1048576,"&lt;"&amp;A145+TIME(18,0,0))</f>
        <v>12361</v>
      </c>
      <c r="F145" s="13">
        <v>3387</v>
      </c>
      <c r="G145" s="14">
        <v>25</v>
      </c>
      <c r="H145" s="15">
        <f t="shared" si="128"/>
        <v>4</v>
      </c>
      <c r="I145" s="15">
        <f t="shared" si="129"/>
        <v>100.75</v>
      </c>
      <c r="J145" s="15">
        <f>'6'!K20</f>
        <v>12</v>
      </c>
      <c r="K145" s="16">
        <f t="shared" si="130"/>
        <v>1030.08333333333</v>
      </c>
      <c r="L145" s="15">
        <f t="shared" si="146"/>
        <v>195.48</v>
      </c>
      <c r="M145" s="17">
        <f t="shared" si="132"/>
        <v>-195.48</v>
      </c>
      <c r="N145" s="15">
        <f>'6'!W20</f>
        <v>16</v>
      </c>
      <c r="O145" s="16">
        <f t="shared" si="133"/>
        <v>1.5625</v>
      </c>
      <c r="P145" s="15">
        <f t="shared" si="134"/>
        <v>0.06859</v>
      </c>
      <c r="Q145" s="17">
        <f t="shared" si="135"/>
        <v>1.611865</v>
      </c>
      <c r="R145" s="15">
        <f t="shared" si="147"/>
        <v>253.64</v>
      </c>
      <c r="S145" s="17">
        <f t="shared" si="137"/>
        <v>-252.028135</v>
      </c>
      <c r="T145" s="15">
        <f>'6'!AG20+'6'!AR20</f>
        <v>31</v>
      </c>
      <c r="U145" s="16">
        <f t="shared" si="138"/>
        <v>109.258064516129</v>
      </c>
      <c r="V145" s="15">
        <f t="shared" si="139"/>
        <v>0.276355</v>
      </c>
      <c r="W145" s="17">
        <f t="shared" si="140"/>
        <v>879.8535219</v>
      </c>
      <c r="X145" s="15">
        <f t="shared" si="141"/>
        <v>539.16</v>
      </c>
      <c r="Y145" s="17">
        <f t="shared" si="142"/>
        <v>340.6935219</v>
      </c>
      <c r="Z145" s="18">
        <f>'6'!BA20</f>
        <v>0</v>
      </c>
      <c r="AA145" s="18">
        <f>'6'!BD20</f>
        <v>2</v>
      </c>
      <c r="AB145" s="18">
        <f>'6'!BE20</f>
        <v>2</v>
      </c>
      <c r="AC145" s="18">
        <f>'6'!BF20</f>
        <v>1</v>
      </c>
      <c r="AD145" s="17">
        <f t="shared" si="145"/>
        <v>144.321111708804</v>
      </c>
      <c r="AE145" s="19">
        <f t="shared" si="143"/>
        <v>-351.885724808804</v>
      </c>
      <c r="AF145" s="2">
        <f t="shared" si="144"/>
        <v>64</v>
      </c>
      <c r="AG145" s="2">
        <f>'6'!BH20</f>
        <v>64</v>
      </c>
    </row>
    <row r="146" spans="1:33">
      <c r="A146" s="10">
        <v>46118</v>
      </c>
      <c r="B146" s="11" t="s">
        <v>3347</v>
      </c>
      <c r="C146" s="11" t="s">
        <v>3265</v>
      </c>
      <c r="D146" s="11" t="s">
        <v>3319</v>
      </c>
      <c r="E146" s="13">
        <f>SUMIFS(卸车数据!$J$6:$J$1048576,卸车数据!$R$6:$R$1048576,"&gt;="&amp;A146+TIME(18,0,0),卸车数据!$R$6:$R$1048576,"&lt;"&amp;A146+TIME(19,0,0))</f>
        <v>8438</v>
      </c>
      <c r="F146" s="13">
        <v>2478</v>
      </c>
      <c r="G146" s="14">
        <v>1502</v>
      </c>
      <c r="H146" s="15">
        <f t="shared" si="128"/>
        <v>2</v>
      </c>
      <c r="I146" s="15">
        <f t="shared" si="129"/>
        <v>44.0122222222222</v>
      </c>
      <c r="J146" s="15">
        <f>'6'!K21</f>
        <v>25</v>
      </c>
      <c r="K146" s="16">
        <f t="shared" si="130"/>
        <v>337.52</v>
      </c>
      <c r="L146" s="15">
        <f t="shared" ref="L146:L151" si="148">J146*14.62+21</f>
        <v>386.5</v>
      </c>
      <c r="M146" s="17">
        <f t="shared" si="132"/>
        <v>-386.5</v>
      </c>
      <c r="N146" s="15">
        <f>'6'!W21</f>
        <v>18</v>
      </c>
      <c r="O146" s="16">
        <f t="shared" si="133"/>
        <v>83.4444444444444</v>
      </c>
      <c r="P146" s="15">
        <f t="shared" si="134"/>
        <v>0.06859</v>
      </c>
      <c r="Q146" s="17">
        <f t="shared" si="135"/>
        <v>96.8408492</v>
      </c>
      <c r="R146" s="15">
        <f t="shared" ref="R146:R151" si="149">(N146-13)*14.62+13*18+21</f>
        <v>328.1</v>
      </c>
      <c r="S146" s="17">
        <f t="shared" si="137"/>
        <v>-231.2591508</v>
      </c>
      <c r="T146" s="15">
        <f>'6'!AG21+'6'!AR21</f>
        <v>48</v>
      </c>
      <c r="U146" s="16">
        <f t="shared" si="138"/>
        <v>51.625</v>
      </c>
      <c r="V146" s="15">
        <f t="shared" si="139"/>
        <v>0.276355</v>
      </c>
      <c r="W146" s="17">
        <f t="shared" si="140"/>
        <v>643.7192286</v>
      </c>
      <c r="X146" s="15">
        <f t="shared" si="141"/>
        <v>787.7</v>
      </c>
      <c r="Y146" s="17">
        <f t="shared" si="142"/>
        <v>-143.9807714</v>
      </c>
      <c r="Z146" s="18">
        <f>'6'!BA21</f>
        <v>4</v>
      </c>
      <c r="AA146" s="18">
        <f>'6'!BD21</f>
        <v>3</v>
      </c>
      <c r="AB146" s="18">
        <f>'6'!BE21</f>
        <v>0</v>
      </c>
      <c r="AC146" s="18">
        <f>'6'!BF21</f>
        <v>1</v>
      </c>
      <c r="AD146" s="17">
        <f t="shared" si="145"/>
        <v>181.443675811368</v>
      </c>
      <c r="AE146" s="19">
        <f t="shared" si="143"/>
        <v>-987.195820233591</v>
      </c>
      <c r="AF146" s="2">
        <f t="shared" si="144"/>
        <v>99</v>
      </c>
      <c r="AG146" s="2">
        <f>'6'!BH21</f>
        <v>99</v>
      </c>
    </row>
    <row r="147" spans="1:33">
      <c r="A147" s="10">
        <v>46118</v>
      </c>
      <c r="B147" s="11" t="s">
        <v>3351</v>
      </c>
      <c r="C147" s="11" t="s">
        <v>3265</v>
      </c>
      <c r="D147" s="11" t="s">
        <v>3319</v>
      </c>
      <c r="E147" s="13">
        <f>SUMIFS(卸车数据!$J$6:$J$1048576,卸车数据!$R$6:$R$1048576,"&gt;="&amp;A147+TIME(19,0,0),卸车数据!$R$6:$R$1048576,"&lt;"&amp;A147+TIME(20,0,0))</f>
        <v>28209</v>
      </c>
      <c r="F147" s="13">
        <v>4544</v>
      </c>
      <c r="G147" s="14">
        <v>13682</v>
      </c>
      <c r="H147" s="15">
        <f t="shared" si="128"/>
        <v>2</v>
      </c>
      <c r="I147" s="15">
        <f t="shared" si="129"/>
        <v>44.0122222222222</v>
      </c>
      <c r="J147" s="15">
        <f>'6'!K22</f>
        <v>24</v>
      </c>
      <c r="K147" s="16">
        <f t="shared" si="130"/>
        <v>1175.375</v>
      </c>
      <c r="L147" s="15">
        <f t="shared" si="148"/>
        <v>371.88</v>
      </c>
      <c r="M147" s="17">
        <f t="shared" si="132"/>
        <v>-371.88</v>
      </c>
      <c r="N147" s="15">
        <f>'6'!W22</f>
        <v>25</v>
      </c>
      <c r="O147" s="16">
        <f t="shared" si="133"/>
        <v>547.28</v>
      </c>
      <c r="P147" s="15">
        <f t="shared" si="134"/>
        <v>0.06859</v>
      </c>
      <c r="Q147" s="17">
        <f t="shared" si="135"/>
        <v>882.1414772</v>
      </c>
      <c r="R147" s="15">
        <f t="shared" si="149"/>
        <v>430.44</v>
      </c>
      <c r="S147" s="17">
        <f t="shared" si="137"/>
        <v>451.7014772</v>
      </c>
      <c r="T147" s="15">
        <f>'6'!AG22+'6'!AR22</f>
        <v>42</v>
      </c>
      <c r="U147" s="16">
        <f t="shared" si="138"/>
        <v>108.190476190476</v>
      </c>
      <c r="V147" s="15">
        <f t="shared" si="139"/>
        <v>0.276355</v>
      </c>
      <c r="W147" s="17">
        <f t="shared" si="140"/>
        <v>1180.4116928</v>
      </c>
      <c r="X147" s="15">
        <f t="shared" si="141"/>
        <v>699.98</v>
      </c>
      <c r="Y147" s="17">
        <f t="shared" si="142"/>
        <v>480.4316928</v>
      </c>
      <c r="Z147" s="18">
        <f>'6'!BA22</f>
        <v>4</v>
      </c>
      <c r="AA147" s="18">
        <f>'6'!BD22</f>
        <v>3</v>
      </c>
      <c r="AB147" s="18">
        <f>'6'!BE22</f>
        <v>0</v>
      </c>
      <c r="AC147" s="18">
        <f>'6'!BF22</f>
        <v>1</v>
      </c>
      <c r="AD147" s="17">
        <f t="shared" si="145"/>
        <v>181.443675811368</v>
      </c>
      <c r="AE147" s="19">
        <f t="shared" si="143"/>
        <v>334.797271966409</v>
      </c>
      <c r="AF147" s="2">
        <f t="shared" si="144"/>
        <v>99</v>
      </c>
      <c r="AG147" s="2">
        <f>'6'!BH22</f>
        <v>99</v>
      </c>
    </row>
    <row r="148" spans="1:33">
      <c r="A148" s="10">
        <v>46118</v>
      </c>
      <c r="B148" s="11" t="s">
        <v>3352</v>
      </c>
      <c r="C148" s="11" t="s">
        <v>3265</v>
      </c>
      <c r="D148" s="11" t="s">
        <v>3319</v>
      </c>
      <c r="E148" s="13">
        <f>SUMIFS(卸车数据!$J$6:$J$1048576,卸车数据!$R$6:$R$1048576,"&gt;="&amp;A148+TIME(20,0,0),卸车数据!$R$6:$R$1048576,"&lt;"&amp;A148+TIME(21,0,0))</f>
        <v>17420</v>
      </c>
      <c r="F148" s="13">
        <v>6471</v>
      </c>
      <c r="G148" s="14">
        <v>13545</v>
      </c>
      <c r="H148" s="15">
        <f t="shared" si="128"/>
        <v>2</v>
      </c>
      <c r="I148" s="15">
        <f t="shared" si="129"/>
        <v>44.0122222222222</v>
      </c>
      <c r="J148" s="15">
        <f>'6'!K23</f>
        <v>24</v>
      </c>
      <c r="K148" s="16">
        <f t="shared" si="130"/>
        <v>725.833333333333</v>
      </c>
      <c r="L148" s="15">
        <f t="shared" si="148"/>
        <v>371.88</v>
      </c>
      <c r="M148" s="17">
        <f t="shared" si="132"/>
        <v>-371.88</v>
      </c>
      <c r="N148" s="15">
        <f>'6'!W23</f>
        <v>25</v>
      </c>
      <c r="O148" s="16">
        <f t="shared" si="133"/>
        <v>541.8</v>
      </c>
      <c r="P148" s="15">
        <f t="shared" si="134"/>
        <v>0.06859</v>
      </c>
      <c r="Q148" s="17">
        <f t="shared" si="135"/>
        <v>873.308457</v>
      </c>
      <c r="R148" s="15">
        <f t="shared" si="149"/>
        <v>430.44</v>
      </c>
      <c r="S148" s="17">
        <f t="shared" si="137"/>
        <v>442.868457</v>
      </c>
      <c r="T148" s="15">
        <f>'6'!AG23+'6'!AR23</f>
        <v>42</v>
      </c>
      <c r="U148" s="16">
        <f t="shared" si="138"/>
        <v>154.071428571429</v>
      </c>
      <c r="V148" s="15">
        <f t="shared" si="139"/>
        <v>0.276355</v>
      </c>
      <c r="W148" s="17">
        <f t="shared" si="140"/>
        <v>1680.9956127</v>
      </c>
      <c r="X148" s="15">
        <f t="shared" si="141"/>
        <v>699.98</v>
      </c>
      <c r="Y148" s="17">
        <f t="shared" si="142"/>
        <v>981.0156127</v>
      </c>
      <c r="Z148" s="18">
        <f>'6'!BA23</f>
        <v>4</v>
      </c>
      <c r="AA148" s="18">
        <f>'6'!BD23</f>
        <v>3</v>
      </c>
      <c r="AB148" s="18">
        <f>'6'!BE23</f>
        <v>0</v>
      </c>
      <c r="AC148" s="18">
        <f>'6'!BF23</f>
        <v>1</v>
      </c>
      <c r="AD148" s="17">
        <f t="shared" si="145"/>
        <v>181.443675811368</v>
      </c>
      <c r="AE148" s="19">
        <f t="shared" si="143"/>
        <v>826.548171666409</v>
      </c>
      <c r="AF148" s="2">
        <f t="shared" si="144"/>
        <v>99</v>
      </c>
      <c r="AG148" s="2">
        <f>'6'!BH23</f>
        <v>99</v>
      </c>
    </row>
    <row r="149" spans="1:33">
      <c r="A149" s="10">
        <v>46118</v>
      </c>
      <c r="B149" s="11" t="s">
        <v>3354</v>
      </c>
      <c r="C149" s="11" t="s">
        <v>3265</v>
      </c>
      <c r="D149" s="11" t="s">
        <v>3319</v>
      </c>
      <c r="E149" s="13">
        <f>SUMIFS(卸车数据!$J$6:$J$1048576,卸车数据!$R$6:$R$1048576,"&gt;="&amp;A149+TIME(21,0,0),卸车数据!$R$6:$R$1048576,"&lt;"&amp;A149+TIME(22,0,0))</f>
        <v>1</v>
      </c>
      <c r="F149" s="13">
        <v>3859</v>
      </c>
      <c r="G149" s="14">
        <v>13677</v>
      </c>
      <c r="H149" s="15">
        <f t="shared" si="128"/>
        <v>2</v>
      </c>
      <c r="I149" s="15">
        <f t="shared" si="129"/>
        <v>44.0122222222222</v>
      </c>
      <c r="J149" s="15">
        <f>'6'!K24</f>
        <v>24</v>
      </c>
      <c r="K149" s="16">
        <f t="shared" si="130"/>
        <v>0.0416666666666667</v>
      </c>
      <c r="L149" s="15">
        <f t="shared" si="148"/>
        <v>371.88</v>
      </c>
      <c r="M149" s="17">
        <f t="shared" si="132"/>
        <v>-371.88</v>
      </c>
      <c r="N149" s="15">
        <f>'6'!W24</f>
        <v>25</v>
      </c>
      <c r="O149" s="16">
        <f t="shared" si="133"/>
        <v>547.08</v>
      </c>
      <c r="P149" s="15">
        <f t="shared" si="134"/>
        <v>0.06859</v>
      </c>
      <c r="Q149" s="17">
        <f t="shared" si="135"/>
        <v>881.8191042</v>
      </c>
      <c r="R149" s="15">
        <f t="shared" si="149"/>
        <v>430.44</v>
      </c>
      <c r="S149" s="17">
        <f t="shared" si="137"/>
        <v>451.3791042</v>
      </c>
      <c r="T149" s="15">
        <f>'6'!AG24+'6'!AR24</f>
        <v>42</v>
      </c>
      <c r="U149" s="16">
        <f t="shared" si="138"/>
        <v>91.8809523809524</v>
      </c>
      <c r="V149" s="15">
        <f t="shared" si="139"/>
        <v>0.276355</v>
      </c>
      <c r="W149" s="17">
        <f t="shared" si="140"/>
        <v>1002.4667083</v>
      </c>
      <c r="X149" s="15">
        <f t="shared" si="141"/>
        <v>699.98</v>
      </c>
      <c r="Y149" s="17">
        <f t="shared" si="142"/>
        <v>302.4867083</v>
      </c>
      <c r="Z149" s="18">
        <f>'6'!BA24</f>
        <v>4</v>
      </c>
      <c r="AA149" s="18">
        <f>'6'!BD24</f>
        <v>3</v>
      </c>
      <c r="AB149" s="18">
        <f>'6'!BE24</f>
        <v>0</v>
      </c>
      <c r="AC149" s="18">
        <f>'6'!BF24</f>
        <v>1</v>
      </c>
      <c r="AD149" s="17">
        <f t="shared" si="145"/>
        <v>181.443675811368</v>
      </c>
      <c r="AE149" s="19">
        <f t="shared" si="143"/>
        <v>156.529914466409</v>
      </c>
      <c r="AF149" s="2">
        <f t="shared" si="144"/>
        <v>99</v>
      </c>
      <c r="AG149" s="2">
        <f>'6'!BH24</f>
        <v>99</v>
      </c>
    </row>
    <row r="150" spans="1:33">
      <c r="A150" s="10">
        <v>46118</v>
      </c>
      <c r="B150" s="11" t="s">
        <v>3355</v>
      </c>
      <c r="C150" s="11" t="s">
        <v>3265</v>
      </c>
      <c r="D150" s="11" t="s">
        <v>3319</v>
      </c>
      <c r="E150" s="13">
        <f>SUMIFS(卸车数据!$J$6:$J$1048576,卸车数据!$R$6:$R$1048576,"&gt;="&amp;A150+TIME(22,0,0),卸车数据!$R$6:$R$1048576,"&lt;"&amp;A150+TIME(23,0,0))</f>
        <v>6578</v>
      </c>
      <c r="F150" s="13">
        <v>1190</v>
      </c>
      <c r="G150" s="14">
        <v>9503</v>
      </c>
      <c r="H150" s="15">
        <f t="shared" si="128"/>
        <v>2</v>
      </c>
      <c r="I150" s="15">
        <f t="shared" si="129"/>
        <v>44.0122222222222</v>
      </c>
      <c r="J150" s="15">
        <f>'6'!K25</f>
        <v>24</v>
      </c>
      <c r="K150" s="16">
        <f t="shared" si="130"/>
        <v>274.083333333333</v>
      </c>
      <c r="L150" s="15">
        <f t="shared" si="148"/>
        <v>371.88</v>
      </c>
      <c r="M150" s="17">
        <f t="shared" si="132"/>
        <v>-371.88</v>
      </c>
      <c r="N150" s="15">
        <f>'6'!W25</f>
        <v>25</v>
      </c>
      <c r="O150" s="16">
        <f t="shared" si="133"/>
        <v>380.12</v>
      </c>
      <c r="P150" s="15">
        <f t="shared" si="134"/>
        <v>0.06859</v>
      </c>
      <c r="Q150" s="17">
        <f t="shared" si="135"/>
        <v>612.7021238</v>
      </c>
      <c r="R150" s="15">
        <f t="shared" si="149"/>
        <v>430.44</v>
      </c>
      <c r="S150" s="17">
        <f t="shared" si="137"/>
        <v>182.2621238</v>
      </c>
      <c r="T150" s="15">
        <f>'6'!AG25+'6'!AR25</f>
        <v>42</v>
      </c>
      <c r="U150" s="16">
        <f t="shared" si="138"/>
        <v>28.3333333333333</v>
      </c>
      <c r="V150" s="15">
        <f t="shared" si="139"/>
        <v>0.276355</v>
      </c>
      <c r="W150" s="17">
        <f t="shared" si="140"/>
        <v>309.130703</v>
      </c>
      <c r="X150" s="15">
        <f t="shared" si="141"/>
        <v>699.98</v>
      </c>
      <c r="Y150" s="17">
        <f t="shared" si="142"/>
        <v>-390.849297</v>
      </c>
      <c r="Z150" s="18">
        <f>'6'!BA25</f>
        <v>4</v>
      </c>
      <c r="AA150" s="18">
        <f>'6'!BD25</f>
        <v>3</v>
      </c>
      <c r="AB150" s="18">
        <f>'6'!BE25</f>
        <v>0</v>
      </c>
      <c r="AC150" s="18">
        <f>'6'!BF25</f>
        <v>1</v>
      </c>
      <c r="AD150" s="17">
        <f t="shared" si="145"/>
        <v>181.443675811368</v>
      </c>
      <c r="AE150" s="19">
        <f t="shared" si="143"/>
        <v>-805.92307123359</v>
      </c>
      <c r="AF150" s="2">
        <f t="shared" si="144"/>
        <v>99</v>
      </c>
      <c r="AG150" s="2">
        <f>'6'!BH25</f>
        <v>99</v>
      </c>
    </row>
    <row r="151" spans="1:33">
      <c r="A151" s="10">
        <v>46118</v>
      </c>
      <c r="B151" s="11" t="s">
        <v>3357</v>
      </c>
      <c r="C151" s="11" t="s">
        <v>3265</v>
      </c>
      <c r="D151" s="12" t="s">
        <v>3311</v>
      </c>
      <c r="E151" s="13">
        <f>SUMIFS(卸车数据!$J$6:$J$1048576,卸车数据!$R$6:$R$1048576,"&gt;="&amp;A151+TIME(23,0,0),卸车数据!$R$6:$R$1048576,"&lt;"&amp;A151+TIME(0,0,0))</f>
        <v>0</v>
      </c>
      <c r="F151" s="13">
        <v>4306</v>
      </c>
      <c r="G151" s="14">
        <v>10328</v>
      </c>
      <c r="H151" s="15">
        <f t="shared" si="128"/>
        <v>2</v>
      </c>
      <c r="I151" s="15">
        <f t="shared" si="129"/>
        <v>44.0122222222222</v>
      </c>
      <c r="J151" s="15">
        <f>'6'!K26</f>
        <v>24</v>
      </c>
      <c r="K151" s="16">
        <f t="shared" si="130"/>
        <v>0</v>
      </c>
      <c r="L151" s="15">
        <f t="shared" si="148"/>
        <v>371.88</v>
      </c>
      <c r="M151" s="17">
        <f t="shared" si="132"/>
        <v>-371.88</v>
      </c>
      <c r="N151" s="15">
        <f>'6'!W26</f>
        <v>25</v>
      </c>
      <c r="O151" s="16">
        <f t="shared" si="133"/>
        <v>413.12</v>
      </c>
      <c r="P151" s="15">
        <f t="shared" si="134"/>
        <v>0.06859</v>
      </c>
      <c r="Q151" s="17">
        <f t="shared" si="135"/>
        <v>665.8936688</v>
      </c>
      <c r="R151" s="15">
        <f t="shared" si="149"/>
        <v>430.44</v>
      </c>
      <c r="S151" s="17">
        <f t="shared" si="137"/>
        <v>235.4536688</v>
      </c>
      <c r="T151" s="15">
        <f>'6'!AG26+'6'!AR26</f>
        <v>42</v>
      </c>
      <c r="U151" s="16">
        <f t="shared" si="138"/>
        <v>102.52380952381</v>
      </c>
      <c r="V151" s="15">
        <f t="shared" si="139"/>
        <v>0.276355</v>
      </c>
      <c r="W151" s="17">
        <f t="shared" si="140"/>
        <v>1118.5855522</v>
      </c>
      <c r="X151" s="15">
        <f t="shared" si="141"/>
        <v>699.98</v>
      </c>
      <c r="Y151" s="17">
        <f t="shared" si="142"/>
        <v>418.6055522</v>
      </c>
      <c r="Z151" s="18">
        <f>'6'!BA26</f>
        <v>4</v>
      </c>
      <c r="AA151" s="18">
        <f>'6'!BD26</f>
        <v>3</v>
      </c>
      <c r="AB151" s="18">
        <f>'6'!BE26</f>
        <v>0</v>
      </c>
      <c r="AC151" s="18">
        <f>'6'!BF26</f>
        <v>1</v>
      </c>
      <c r="AD151" s="17">
        <f t="shared" si="145"/>
        <v>181.443675811368</v>
      </c>
      <c r="AE151" s="19">
        <f t="shared" si="143"/>
        <v>56.7233229664096</v>
      </c>
      <c r="AF151" s="2">
        <f t="shared" si="144"/>
        <v>99</v>
      </c>
      <c r="AG151" s="2">
        <f>'6'!BH26</f>
        <v>99</v>
      </c>
    </row>
    <row r="152" spans="1:33">
      <c r="AE152" s="19">
        <f>SUM(AE128:AE151)</f>
        <v>-7458.04639913352</v>
      </c>
    </row>
    <row r="153" spans="1:33">
      <c r="A153" s="10">
        <v>46119</v>
      </c>
      <c r="B153" s="11" t="s">
        <v>3264</v>
      </c>
      <c r="C153" s="11" t="s">
        <v>3265</v>
      </c>
      <c r="D153" s="12" t="s">
        <v>22</v>
      </c>
      <c r="E153" s="13">
        <f>SUMIFS(卸车数据!$J$6:$J$1048576,卸车数据!$R$6:$R$1048576,"&gt;="&amp;A153+TIME(0,0,0),卸车数据!$R$6:$R$1048576,"&lt;"&amp;A153+TIME(1,0,0))</f>
        <v>14198</v>
      </c>
      <c r="F153" s="13">
        <v>1269</v>
      </c>
      <c r="G153" s="14">
        <v>3720</v>
      </c>
      <c r="H153" s="15">
        <f t="shared" ref="H153:H176" si="150">IF(C153="夜班",2,4)</f>
        <v>2</v>
      </c>
      <c r="I153" s="15">
        <f t="shared" ref="I153:I176" si="151">IF(H153=2,21.79+16000/30/24,25.75+12000/30/24*2+30000/30/24)</f>
        <v>44.0122222222222</v>
      </c>
      <c r="J153" s="15">
        <f>'7'!K3</f>
        <v>15</v>
      </c>
      <c r="K153" s="16">
        <f t="shared" ref="K153:K176" si="152">E153/J153</f>
        <v>946.533333333333</v>
      </c>
      <c r="L153" s="15">
        <f t="shared" ref="L153:L159" si="153">J153*14.62+21</f>
        <v>240.3</v>
      </c>
      <c r="M153" s="17">
        <f t="shared" ref="M153:M176" si="154">0-L153</f>
        <v>-240.3</v>
      </c>
      <c r="N153" s="15">
        <f>'7'!W3</f>
        <v>25</v>
      </c>
      <c r="O153" s="16">
        <f t="shared" ref="O153:O176" si="155">G153/N153</f>
        <v>148.8</v>
      </c>
      <c r="P153" s="15">
        <f t="shared" ref="P153:P176" si="156">0.0722*0.95</f>
        <v>0.06859</v>
      </c>
      <c r="Q153" s="17">
        <f t="shared" ref="Q153:Q176" si="157">P153*G153*0.94</f>
        <v>239.845512</v>
      </c>
      <c r="R153" s="15">
        <f t="shared" ref="R153:R159" si="158">(N153-13)*14.62+13*18+21</f>
        <v>430.44</v>
      </c>
      <c r="S153" s="17">
        <f t="shared" ref="S153:S176" si="159">Q153-R153</f>
        <v>-190.594488</v>
      </c>
      <c r="T153" s="15">
        <f>'7'!AG3+'7'!AR3</f>
        <v>48</v>
      </c>
      <c r="U153" s="16">
        <f t="shared" ref="U153:U176" si="160">F153/T153</f>
        <v>26.4375</v>
      </c>
      <c r="V153" s="15">
        <f t="shared" ref="V153:V176" si="161">0.2909*0.95</f>
        <v>0.276355</v>
      </c>
      <c r="W153" s="17">
        <f t="shared" ref="W153:W176" si="162">V153*F153*0.94</f>
        <v>329.6528253</v>
      </c>
      <c r="X153" s="15">
        <f t="shared" ref="X153:X176" si="163">(T153-13)*14.62+13*18+42</f>
        <v>787.7</v>
      </c>
      <c r="Y153" s="17">
        <f t="shared" ref="Y153:Y176" si="164">W153-X153</f>
        <v>-458.0471747</v>
      </c>
      <c r="Z153" s="18">
        <f>'7'!BA3</f>
        <v>4</v>
      </c>
      <c r="AA153" s="18">
        <f>'7'!BD3</f>
        <v>3</v>
      </c>
      <c r="AB153" s="18">
        <f>'7'!BE3</f>
        <v>0</v>
      </c>
      <c r="AC153" s="18">
        <f>'7'!BF3</f>
        <v>1</v>
      </c>
      <c r="AD153" s="17">
        <f t="shared" ref="AD153:AD176" si="165">(Z153-1)*14.62+(9000/26/13)+(AA153-1)*14.54+7500/26/11+AB153*(4200/26/9)+AC153*(4000/26/11)+1000/24</f>
        <v>181.443675811368</v>
      </c>
      <c r="AE153" s="19">
        <f t="shared" ref="AE153:AE176" si="166">M153+S153+Y153-I153-AD153</f>
        <v>-1114.39756073359</v>
      </c>
      <c r="AF153" s="2">
        <f t="shared" ref="AF153:AF176" si="167">AB153+AA153+Z153+T153+N153+J153+AC153</f>
        <v>96</v>
      </c>
      <c r="AG153" s="2">
        <f>'7'!BH3</f>
        <v>96</v>
      </c>
    </row>
    <row r="154" spans="1:33">
      <c r="A154" s="10">
        <v>46119</v>
      </c>
      <c r="B154" s="11" t="s">
        <v>3268</v>
      </c>
      <c r="C154" s="11" t="s">
        <v>3265</v>
      </c>
      <c r="D154" s="12" t="s">
        <v>22</v>
      </c>
      <c r="E154" s="13">
        <f>SUMIFS(卸车数据!$J$6:$J$1048576,卸车数据!$R$6:$R$1048576,"&gt;="&amp;A154+TIME(1,0,0),卸车数据!$R$6:$R$1048576,"&lt;"&amp;A154+TIME(2,0,0))</f>
        <v>0</v>
      </c>
      <c r="F154" s="13">
        <v>2812</v>
      </c>
      <c r="G154" s="14">
        <v>13896</v>
      </c>
      <c r="H154" s="15">
        <f t="shared" si="150"/>
        <v>2</v>
      </c>
      <c r="I154" s="15">
        <f t="shared" si="151"/>
        <v>44.0122222222222</v>
      </c>
      <c r="J154" s="15">
        <f>'7'!K4</f>
        <v>15</v>
      </c>
      <c r="K154" s="16">
        <f t="shared" si="152"/>
        <v>0</v>
      </c>
      <c r="L154" s="15">
        <f t="shared" si="153"/>
        <v>240.3</v>
      </c>
      <c r="M154" s="17">
        <f t="shared" si="154"/>
        <v>-240.3</v>
      </c>
      <c r="N154" s="15">
        <f>'7'!W4</f>
        <v>25</v>
      </c>
      <c r="O154" s="16">
        <f t="shared" si="155"/>
        <v>555.84</v>
      </c>
      <c r="P154" s="15">
        <f t="shared" si="156"/>
        <v>0.06859</v>
      </c>
      <c r="Q154" s="17">
        <f t="shared" si="157"/>
        <v>895.9390416</v>
      </c>
      <c r="R154" s="15">
        <f t="shared" si="158"/>
        <v>430.44</v>
      </c>
      <c r="S154" s="17">
        <f t="shared" si="159"/>
        <v>465.4990416</v>
      </c>
      <c r="T154" s="15">
        <f>'7'!AG4+'7'!AR4</f>
        <v>48</v>
      </c>
      <c r="U154" s="16">
        <f t="shared" si="160"/>
        <v>58.5833333333333</v>
      </c>
      <c r="V154" s="15">
        <f t="shared" si="161"/>
        <v>0.276355</v>
      </c>
      <c r="W154" s="17">
        <f t="shared" si="162"/>
        <v>730.4836444</v>
      </c>
      <c r="X154" s="15">
        <f t="shared" si="163"/>
        <v>787.7</v>
      </c>
      <c r="Y154" s="17">
        <f t="shared" si="164"/>
        <v>-57.2163556000002</v>
      </c>
      <c r="Z154" s="18">
        <f>'7'!BA4</f>
        <v>4</v>
      </c>
      <c r="AA154" s="18">
        <f>'7'!BD4</f>
        <v>3</v>
      </c>
      <c r="AB154" s="18">
        <f>'7'!BE4</f>
        <v>0</v>
      </c>
      <c r="AC154" s="18">
        <f>'7'!BF4</f>
        <v>1</v>
      </c>
      <c r="AD154" s="17">
        <f t="shared" si="165"/>
        <v>181.443675811368</v>
      </c>
      <c r="AE154" s="19">
        <f t="shared" si="166"/>
        <v>-57.4732120335906</v>
      </c>
      <c r="AF154" s="2">
        <f t="shared" si="167"/>
        <v>96</v>
      </c>
      <c r="AG154" s="2">
        <f>'7'!BH4</f>
        <v>96</v>
      </c>
    </row>
    <row r="155" spans="1:33">
      <c r="A155" s="10">
        <v>46119</v>
      </c>
      <c r="B155" s="11" t="s">
        <v>3270</v>
      </c>
      <c r="C155" s="11" t="s">
        <v>3265</v>
      </c>
      <c r="D155" s="12" t="s">
        <v>22</v>
      </c>
      <c r="E155" s="13">
        <f>SUMIFS(卸车数据!$J$6:$J$1048576,卸车数据!$R$6:$R$1048576,"&gt;="&amp;A155+TIME(2,0,0),卸车数据!$R$6:$R$1048576,"&lt;"&amp;A155+TIME(3,0,0))</f>
        <v>0</v>
      </c>
      <c r="F155" s="13">
        <v>1306</v>
      </c>
      <c r="G155" s="14">
        <v>10081</v>
      </c>
      <c r="H155" s="15">
        <f t="shared" si="150"/>
        <v>2</v>
      </c>
      <c r="I155" s="15">
        <f t="shared" si="151"/>
        <v>44.0122222222222</v>
      </c>
      <c r="J155" s="15">
        <f>'7'!K5</f>
        <v>15</v>
      </c>
      <c r="K155" s="16">
        <f t="shared" si="152"/>
        <v>0</v>
      </c>
      <c r="L155" s="15">
        <f t="shared" si="153"/>
        <v>240.3</v>
      </c>
      <c r="M155" s="17">
        <f t="shared" si="154"/>
        <v>-240.3</v>
      </c>
      <c r="N155" s="15">
        <f>'7'!W5</f>
        <v>25</v>
      </c>
      <c r="O155" s="16">
        <f t="shared" si="155"/>
        <v>403.24</v>
      </c>
      <c r="P155" s="15">
        <f t="shared" si="156"/>
        <v>0.06859</v>
      </c>
      <c r="Q155" s="17">
        <f t="shared" si="157"/>
        <v>649.9684426</v>
      </c>
      <c r="R155" s="15">
        <f t="shared" si="158"/>
        <v>430.44</v>
      </c>
      <c r="S155" s="17">
        <f t="shared" si="159"/>
        <v>219.5284426</v>
      </c>
      <c r="T155" s="15">
        <f>'7'!AG5+'7'!AR5</f>
        <v>48</v>
      </c>
      <c r="U155" s="16">
        <f t="shared" si="160"/>
        <v>27.2083333333333</v>
      </c>
      <c r="V155" s="15">
        <f t="shared" si="161"/>
        <v>0.276355</v>
      </c>
      <c r="W155" s="17">
        <f t="shared" si="162"/>
        <v>339.2644522</v>
      </c>
      <c r="X155" s="15">
        <f t="shared" si="163"/>
        <v>787.7</v>
      </c>
      <c r="Y155" s="17">
        <f t="shared" si="164"/>
        <v>-448.4355478</v>
      </c>
      <c r="Z155" s="18">
        <f>'7'!BA5</f>
        <v>4</v>
      </c>
      <c r="AA155" s="18">
        <f>'7'!BD5</f>
        <v>3</v>
      </c>
      <c r="AB155" s="18">
        <f>'7'!BE5</f>
        <v>0</v>
      </c>
      <c r="AC155" s="18">
        <f>'7'!BF5</f>
        <v>1</v>
      </c>
      <c r="AD155" s="17">
        <f t="shared" si="165"/>
        <v>181.443675811368</v>
      </c>
      <c r="AE155" s="19">
        <f t="shared" si="166"/>
        <v>-694.663003233591</v>
      </c>
      <c r="AF155" s="2">
        <f t="shared" si="167"/>
        <v>96</v>
      </c>
      <c r="AG155" s="2">
        <f>'7'!BH5</f>
        <v>96</v>
      </c>
    </row>
    <row r="156" spans="1:33">
      <c r="A156" s="10">
        <v>46119</v>
      </c>
      <c r="B156" s="11" t="s">
        <v>3273</v>
      </c>
      <c r="C156" s="11" t="s">
        <v>3265</v>
      </c>
      <c r="D156" s="12" t="s">
        <v>22</v>
      </c>
      <c r="E156" s="13">
        <f>SUMIFS(卸车数据!$J$6:$J$1048576,卸车数据!$R$6:$R$1048576,"&gt;="&amp;A156+TIME(3,0,0),卸车数据!$R$6:$R$1048576,"&lt;"&amp;A156+TIME(4,0,0))</f>
        <v>5784</v>
      </c>
      <c r="F156" s="13">
        <v>2813</v>
      </c>
      <c r="G156" s="14">
        <v>117</v>
      </c>
      <c r="H156" s="15">
        <f t="shared" si="150"/>
        <v>2</v>
      </c>
      <c r="I156" s="15">
        <f t="shared" si="151"/>
        <v>44.0122222222222</v>
      </c>
      <c r="J156" s="15">
        <f>'7'!K6</f>
        <v>15</v>
      </c>
      <c r="K156" s="16">
        <f t="shared" si="152"/>
        <v>385.6</v>
      </c>
      <c r="L156" s="15">
        <f t="shared" si="153"/>
        <v>240.3</v>
      </c>
      <c r="M156" s="17">
        <f t="shared" si="154"/>
        <v>-240.3</v>
      </c>
      <c r="N156" s="15">
        <f>'7'!W6</f>
        <v>18</v>
      </c>
      <c r="O156" s="16">
        <f t="shared" si="155"/>
        <v>6.5</v>
      </c>
      <c r="P156" s="15">
        <f t="shared" si="156"/>
        <v>0.06859</v>
      </c>
      <c r="Q156" s="17">
        <f t="shared" si="157"/>
        <v>7.5435282</v>
      </c>
      <c r="R156" s="15">
        <f t="shared" si="158"/>
        <v>328.1</v>
      </c>
      <c r="S156" s="17">
        <f t="shared" si="159"/>
        <v>-320.5564718</v>
      </c>
      <c r="T156" s="15">
        <f>'7'!AG6+'7'!AR6</f>
        <v>55</v>
      </c>
      <c r="U156" s="16">
        <f t="shared" si="160"/>
        <v>51.1454545454545</v>
      </c>
      <c r="V156" s="15">
        <f t="shared" si="161"/>
        <v>0.276355</v>
      </c>
      <c r="W156" s="17">
        <f t="shared" si="162"/>
        <v>730.7434181</v>
      </c>
      <c r="X156" s="15">
        <f t="shared" si="163"/>
        <v>890.04</v>
      </c>
      <c r="Y156" s="17">
        <f t="shared" si="164"/>
        <v>-159.2965819</v>
      </c>
      <c r="Z156" s="18">
        <f>'7'!BA6</f>
        <v>4</v>
      </c>
      <c r="AA156" s="18">
        <f>'7'!BD6</f>
        <v>3</v>
      </c>
      <c r="AB156" s="18">
        <f>'7'!BE6</f>
        <v>0</v>
      </c>
      <c r="AC156" s="18">
        <f>'7'!BF6</f>
        <v>1</v>
      </c>
      <c r="AD156" s="17">
        <f t="shared" si="165"/>
        <v>181.443675811368</v>
      </c>
      <c r="AE156" s="19">
        <f t="shared" si="166"/>
        <v>-945.60895173359</v>
      </c>
      <c r="AF156" s="2">
        <f t="shared" si="167"/>
        <v>96</v>
      </c>
      <c r="AG156" s="2">
        <f>'7'!BH6</f>
        <v>96</v>
      </c>
    </row>
    <row r="157" spans="1:33">
      <c r="A157" s="10">
        <v>46119</v>
      </c>
      <c r="B157" s="11" t="s">
        <v>3280</v>
      </c>
      <c r="C157" s="11" t="s">
        <v>3265</v>
      </c>
      <c r="D157" s="12" t="s">
        <v>22</v>
      </c>
      <c r="E157" s="13">
        <f>SUMIFS(卸车数据!$J$6:$J$1048576,卸车数据!$R$6:$R$1048576,"&gt;="&amp;A157+TIME(4,0,0),卸车数据!$R$6:$R$1048576,"&lt;"&amp;A157+TIME(5,0,0))</f>
        <v>19</v>
      </c>
      <c r="F157" s="13">
        <v>3938</v>
      </c>
      <c r="G157" s="14">
        <v>9950</v>
      </c>
      <c r="H157" s="15">
        <f t="shared" si="150"/>
        <v>2</v>
      </c>
      <c r="I157" s="15">
        <f t="shared" si="151"/>
        <v>44.0122222222222</v>
      </c>
      <c r="J157" s="15">
        <f>'7'!K7</f>
        <v>15</v>
      </c>
      <c r="K157" s="16">
        <f t="shared" si="152"/>
        <v>1.26666666666667</v>
      </c>
      <c r="L157" s="15">
        <f t="shared" si="153"/>
        <v>240.3</v>
      </c>
      <c r="M157" s="17">
        <f t="shared" si="154"/>
        <v>-240.3</v>
      </c>
      <c r="N157" s="15">
        <f>'7'!W7</f>
        <v>25</v>
      </c>
      <c r="O157" s="16">
        <f t="shared" si="155"/>
        <v>398</v>
      </c>
      <c r="P157" s="15">
        <f t="shared" si="156"/>
        <v>0.06859</v>
      </c>
      <c r="Q157" s="17">
        <f t="shared" si="157"/>
        <v>641.52227</v>
      </c>
      <c r="R157" s="15">
        <f t="shared" si="158"/>
        <v>430.44</v>
      </c>
      <c r="S157" s="17">
        <f t="shared" si="159"/>
        <v>211.08227</v>
      </c>
      <c r="T157" s="15">
        <f>'7'!AG7+'7'!AR7</f>
        <v>48</v>
      </c>
      <c r="U157" s="16">
        <f t="shared" si="160"/>
        <v>82.0416666666667</v>
      </c>
      <c r="V157" s="15">
        <f t="shared" si="161"/>
        <v>0.276355</v>
      </c>
      <c r="W157" s="17">
        <f t="shared" si="162"/>
        <v>1022.9888306</v>
      </c>
      <c r="X157" s="15">
        <f t="shared" si="163"/>
        <v>787.7</v>
      </c>
      <c r="Y157" s="17">
        <f t="shared" si="164"/>
        <v>235.2888306</v>
      </c>
      <c r="Z157" s="18">
        <f>'7'!BA7</f>
        <v>4</v>
      </c>
      <c r="AA157" s="18">
        <f>'7'!BD7</f>
        <v>3</v>
      </c>
      <c r="AB157" s="18">
        <f>'7'!BE7</f>
        <v>0</v>
      </c>
      <c r="AC157" s="18">
        <f>'7'!BF7</f>
        <v>1</v>
      </c>
      <c r="AD157" s="17">
        <f t="shared" si="165"/>
        <v>181.443675811368</v>
      </c>
      <c r="AE157" s="19">
        <f t="shared" si="166"/>
        <v>-19.3847974335906</v>
      </c>
      <c r="AF157" s="2">
        <f t="shared" si="167"/>
        <v>96</v>
      </c>
      <c r="AG157" s="2">
        <f>'7'!BH7</f>
        <v>96</v>
      </c>
    </row>
    <row r="158" spans="1:33">
      <c r="A158" s="10">
        <v>46119</v>
      </c>
      <c r="B158" s="11" t="s">
        <v>3283</v>
      </c>
      <c r="C158" s="11" t="s">
        <v>3265</v>
      </c>
      <c r="D158" s="12" t="s">
        <v>22</v>
      </c>
      <c r="E158" s="13">
        <f>SUMIFS(卸车数据!$J$6:$J$1048576,卸车数据!$R$6:$R$1048576,"&gt;="&amp;A158+TIME(5,0,0),卸车数据!$R$6:$R$1048576,"&lt;"&amp;A158+TIME(6,0,0))</f>
        <v>179</v>
      </c>
      <c r="F158" s="13">
        <v>1756</v>
      </c>
      <c r="G158" s="14">
        <v>11647</v>
      </c>
      <c r="H158" s="15">
        <f t="shared" si="150"/>
        <v>2</v>
      </c>
      <c r="I158" s="15">
        <f t="shared" si="151"/>
        <v>44.0122222222222</v>
      </c>
      <c r="J158" s="15">
        <f>'7'!K8</f>
        <v>15</v>
      </c>
      <c r="K158" s="16">
        <f t="shared" si="152"/>
        <v>11.9333333333333</v>
      </c>
      <c r="L158" s="15">
        <f t="shared" si="153"/>
        <v>240.3</v>
      </c>
      <c r="M158" s="17">
        <f t="shared" si="154"/>
        <v>-240.3</v>
      </c>
      <c r="N158" s="15">
        <f>'7'!W8</f>
        <v>25</v>
      </c>
      <c r="O158" s="16">
        <f t="shared" si="155"/>
        <v>465.88</v>
      </c>
      <c r="P158" s="15">
        <f t="shared" si="156"/>
        <v>0.06859</v>
      </c>
      <c r="Q158" s="17">
        <f t="shared" si="157"/>
        <v>750.9356662</v>
      </c>
      <c r="R158" s="15">
        <f t="shared" si="158"/>
        <v>430.44</v>
      </c>
      <c r="S158" s="17">
        <f t="shared" si="159"/>
        <v>320.4956662</v>
      </c>
      <c r="T158" s="15">
        <f>'7'!AG8+'7'!AR8</f>
        <v>48</v>
      </c>
      <c r="U158" s="16">
        <f t="shared" si="160"/>
        <v>36.5833333333333</v>
      </c>
      <c r="V158" s="15">
        <f t="shared" si="161"/>
        <v>0.276355</v>
      </c>
      <c r="W158" s="17">
        <f t="shared" si="162"/>
        <v>456.1626172</v>
      </c>
      <c r="X158" s="15">
        <f t="shared" si="163"/>
        <v>787.7</v>
      </c>
      <c r="Y158" s="17">
        <f t="shared" si="164"/>
        <v>-331.5373828</v>
      </c>
      <c r="Z158" s="18">
        <f>'7'!BA8</f>
        <v>4</v>
      </c>
      <c r="AA158" s="18">
        <f>'7'!BD8</f>
        <v>3</v>
      </c>
      <c r="AB158" s="18">
        <f>'7'!BE8</f>
        <v>0</v>
      </c>
      <c r="AC158" s="18">
        <f>'7'!BF8</f>
        <v>1</v>
      </c>
      <c r="AD158" s="17">
        <f t="shared" si="165"/>
        <v>181.443675811368</v>
      </c>
      <c r="AE158" s="19">
        <f t="shared" si="166"/>
        <v>-476.797614633591</v>
      </c>
      <c r="AF158" s="2">
        <f t="shared" si="167"/>
        <v>96</v>
      </c>
      <c r="AG158" s="2">
        <f>'7'!BH8</f>
        <v>96</v>
      </c>
    </row>
    <row r="159" spans="1:33">
      <c r="A159" s="10">
        <v>46119</v>
      </c>
      <c r="B159" s="11" t="s">
        <v>3286</v>
      </c>
      <c r="C159" s="11" t="s">
        <v>3265</v>
      </c>
      <c r="D159" s="12" t="s">
        <v>22</v>
      </c>
      <c r="E159" s="13">
        <f>SUMIFS(卸车数据!$J$6:$J$1048576,卸车数据!$R$6:$R$1048576,"&gt;="&amp;A159+TIME(6,0,0),卸车数据!$R$6:$R$1048576,"&lt;"&amp;A159+TIME(7,0,0))</f>
        <v>562</v>
      </c>
      <c r="F159" s="13">
        <v>1125</v>
      </c>
      <c r="G159" s="14">
        <v>356</v>
      </c>
      <c r="H159" s="15">
        <f t="shared" si="150"/>
        <v>2</v>
      </c>
      <c r="I159" s="15">
        <f t="shared" si="151"/>
        <v>44.0122222222222</v>
      </c>
      <c r="J159" s="15">
        <f>'7'!K9</f>
        <v>15</v>
      </c>
      <c r="K159" s="16">
        <f t="shared" si="152"/>
        <v>37.4666666666667</v>
      </c>
      <c r="L159" s="15">
        <f t="shared" si="153"/>
        <v>240.3</v>
      </c>
      <c r="M159" s="17">
        <f t="shared" si="154"/>
        <v>-240.3</v>
      </c>
      <c r="N159" s="15">
        <f>'7'!W9</f>
        <v>25</v>
      </c>
      <c r="O159" s="16">
        <f t="shared" si="155"/>
        <v>14.24</v>
      </c>
      <c r="P159" s="15">
        <f t="shared" si="156"/>
        <v>0.06859</v>
      </c>
      <c r="Q159" s="17">
        <f t="shared" si="157"/>
        <v>22.9529576</v>
      </c>
      <c r="R159" s="15">
        <f t="shared" si="158"/>
        <v>430.44</v>
      </c>
      <c r="S159" s="17">
        <f t="shared" si="159"/>
        <v>-407.4870424</v>
      </c>
      <c r="T159" s="15">
        <f>'7'!AG9+'7'!AR9</f>
        <v>48</v>
      </c>
      <c r="U159" s="16">
        <f t="shared" si="160"/>
        <v>23.4375</v>
      </c>
      <c r="V159" s="15">
        <f t="shared" si="161"/>
        <v>0.276355</v>
      </c>
      <c r="W159" s="17">
        <f t="shared" si="162"/>
        <v>292.2454125</v>
      </c>
      <c r="X159" s="15">
        <f t="shared" si="163"/>
        <v>787.7</v>
      </c>
      <c r="Y159" s="17">
        <f t="shared" si="164"/>
        <v>-495.4545875</v>
      </c>
      <c r="Z159" s="18">
        <f>'7'!BA9</f>
        <v>4</v>
      </c>
      <c r="AA159" s="18">
        <f>'7'!BD9</f>
        <v>3</v>
      </c>
      <c r="AB159" s="18">
        <f>'7'!BE9</f>
        <v>0</v>
      </c>
      <c r="AC159" s="18">
        <f>'7'!BF9</f>
        <v>1</v>
      </c>
      <c r="AD159" s="17">
        <f t="shared" si="165"/>
        <v>181.443675811368</v>
      </c>
      <c r="AE159" s="19">
        <f t="shared" si="166"/>
        <v>-1368.69752793359</v>
      </c>
      <c r="AF159" s="2">
        <f t="shared" si="167"/>
        <v>96</v>
      </c>
      <c r="AG159" s="2">
        <f>'7'!BH9</f>
        <v>96</v>
      </c>
    </row>
    <row r="160" spans="1:33">
      <c r="A160" s="10">
        <v>46119</v>
      </c>
      <c r="B160" s="11" t="s">
        <v>3288</v>
      </c>
      <c r="C160" s="11" t="s">
        <v>3289</v>
      </c>
      <c r="D160" s="12" t="s">
        <v>22</v>
      </c>
      <c r="E160" s="13">
        <f>SUMIFS(卸车数据!$J$6:$J$1048576,卸车数据!$R$6:$R$1048576,"&gt;="&amp;A160+TIME(7,0,0),卸车数据!$R$6:$R$1048576,"&lt;"&amp;A160+TIME(8,0,0))</f>
        <v>896</v>
      </c>
      <c r="F160" s="13">
        <v>995</v>
      </c>
      <c r="G160" s="14">
        <v>72</v>
      </c>
      <c r="H160" s="15">
        <f t="shared" si="150"/>
        <v>4</v>
      </c>
      <c r="I160" s="15">
        <f t="shared" si="151"/>
        <v>100.75</v>
      </c>
      <c r="J160" s="15">
        <f>'7'!K10</f>
        <v>9</v>
      </c>
      <c r="K160" s="16">
        <f t="shared" si="152"/>
        <v>99.5555555555556</v>
      </c>
      <c r="L160" s="15">
        <f t="shared" ref="L160:L170" si="168">J160*14.54+21</f>
        <v>151.86</v>
      </c>
      <c r="M160" s="17">
        <f t="shared" si="154"/>
        <v>-151.86</v>
      </c>
      <c r="N160" s="15">
        <f>'7'!W10</f>
        <v>14</v>
      </c>
      <c r="O160" s="16">
        <f t="shared" si="155"/>
        <v>5.14285714285714</v>
      </c>
      <c r="P160" s="15">
        <f t="shared" si="156"/>
        <v>0.06859</v>
      </c>
      <c r="Q160" s="17">
        <f t="shared" si="157"/>
        <v>4.6421712</v>
      </c>
      <c r="R160" s="15">
        <f t="shared" ref="R160:R170" si="169">N160*14.54+21</f>
        <v>224.56</v>
      </c>
      <c r="S160" s="17">
        <f t="shared" si="159"/>
        <v>-219.9178288</v>
      </c>
      <c r="T160" s="15">
        <f>'7'!AG10+'7'!AR10</f>
        <v>32</v>
      </c>
      <c r="U160" s="16">
        <f t="shared" si="160"/>
        <v>31.09375</v>
      </c>
      <c r="V160" s="15">
        <f t="shared" si="161"/>
        <v>0.276355</v>
      </c>
      <c r="W160" s="17">
        <f t="shared" si="162"/>
        <v>258.4748315</v>
      </c>
      <c r="X160" s="15">
        <f t="shared" si="163"/>
        <v>553.78</v>
      </c>
      <c r="Y160" s="17">
        <f t="shared" si="164"/>
        <v>-295.3051685</v>
      </c>
      <c r="Z160" s="18">
        <f>'7'!BA10</f>
        <v>0</v>
      </c>
      <c r="AA160" s="18">
        <f>'7'!BD10</f>
        <v>2</v>
      </c>
      <c r="AB160" s="18">
        <f>'7'!BE10</f>
        <v>2</v>
      </c>
      <c r="AC160" s="18">
        <f>'7'!BF10</f>
        <v>1</v>
      </c>
      <c r="AD160" s="17">
        <f t="shared" si="165"/>
        <v>144.321111708804</v>
      </c>
      <c r="AE160" s="19">
        <f t="shared" si="166"/>
        <v>-912.154109008804</v>
      </c>
      <c r="AF160" s="2">
        <f t="shared" si="167"/>
        <v>60</v>
      </c>
      <c r="AG160" s="2">
        <f>'7'!BH10</f>
        <v>60</v>
      </c>
    </row>
    <row r="161" spans="1:33">
      <c r="A161" s="10">
        <v>46119</v>
      </c>
      <c r="B161" s="11" t="s">
        <v>3297</v>
      </c>
      <c r="C161" s="11" t="s">
        <v>3289</v>
      </c>
      <c r="D161" s="12" t="s">
        <v>22</v>
      </c>
      <c r="E161" s="13">
        <f>SUMIFS(卸车数据!$J$6:$J$1048576,卸车数据!$R$6:$R$1048576,"&gt;="&amp;A161+TIME(8,0,0),卸车数据!$R$6:$R$1048576,"&lt;"&amp;A161+TIME(9,0,0))</f>
        <v>4915</v>
      </c>
      <c r="F161" s="13">
        <v>1654</v>
      </c>
      <c r="G161" s="14">
        <v>2511</v>
      </c>
      <c r="H161" s="15">
        <f t="shared" si="150"/>
        <v>4</v>
      </c>
      <c r="I161" s="15">
        <f t="shared" si="151"/>
        <v>100.75</v>
      </c>
      <c r="J161" s="15">
        <f>'7'!K11</f>
        <v>9</v>
      </c>
      <c r="K161" s="16">
        <f t="shared" si="152"/>
        <v>546.111111111111</v>
      </c>
      <c r="L161" s="15">
        <f t="shared" si="168"/>
        <v>151.86</v>
      </c>
      <c r="M161" s="17">
        <f t="shared" si="154"/>
        <v>-151.86</v>
      </c>
      <c r="N161" s="15">
        <f>'7'!W11</f>
        <v>14</v>
      </c>
      <c r="O161" s="16">
        <f t="shared" si="155"/>
        <v>179.357142857143</v>
      </c>
      <c r="P161" s="15">
        <f t="shared" si="156"/>
        <v>0.06859</v>
      </c>
      <c r="Q161" s="17">
        <f t="shared" si="157"/>
        <v>161.8957206</v>
      </c>
      <c r="R161" s="15">
        <f t="shared" si="169"/>
        <v>224.56</v>
      </c>
      <c r="S161" s="17">
        <f t="shared" si="159"/>
        <v>-62.6642794</v>
      </c>
      <c r="T161" s="15">
        <f>'7'!AG11+'7'!AR11</f>
        <v>32</v>
      </c>
      <c r="U161" s="16">
        <f t="shared" si="160"/>
        <v>51.6875</v>
      </c>
      <c r="V161" s="15">
        <f t="shared" si="161"/>
        <v>0.276355</v>
      </c>
      <c r="W161" s="17">
        <f t="shared" si="162"/>
        <v>429.6656998</v>
      </c>
      <c r="X161" s="15">
        <f t="shared" si="163"/>
        <v>553.78</v>
      </c>
      <c r="Y161" s="17">
        <f t="shared" si="164"/>
        <v>-124.1143002</v>
      </c>
      <c r="Z161" s="18">
        <f>'7'!BA11</f>
        <v>0</v>
      </c>
      <c r="AA161" s="18">
        <f>'7'!BD11</f>
        <v>2</v>
      </c>
      <c r="AB161" s="18">
        <f>'7'!BE11</f>
        <v>2</v>
      </c>
      <c r="AC161" s="18">
        <f>'7'!BF11</f>
        <v>1</v>
      </c>
      <c r="AD161" s="17">
        <f t="shared" si="165"/>
        <v>144.321111708804</v>
      </c>
      <c r="AE161" s="19">
        <f t="shared" si="166"/>
        <v>-583.709691308804</v>
      </c>
      <c r="AF161" s="2">
        <f t="shared" si="167"/>
        <v>60</v>
      </c>
      <c r="AG161" s="2">
        <f>'7'!BH11</f>
        <v>60</v>
      </c>
    </row>
    <row r="162" spans="1:33">
      <c r="A162" s="10">
        <v>46119</v>
      </c>
      <c r="B162" s="11" t="s">
        <v>3302</v>
      </c>
      <c r="C162" s="11" t="s">
        <v>3289</v>
      </c>
      <c r="D162" s="12" t="s">
        <v>22</v>
      </c>
      <c r="E162" s="13">
        <f>SUMIFS(卸车数据!$J$6:$J$1048576,卸车数据!$R$6:$R$1048576,"&gt;="&amp;A162+TIME(9,0,0),卸车数据!$R$6:$R$1048576,"&lt;"&amp;A162+TIME(10,0,0))</f>
        <v>0</v>
      </c>
      <c r="F162" s="13">
        <v>2822</v>
      </c>
      <c r="G162" s="14">
        <v>7565</v>
      </c>
      <c r="H162" s="15">
        <f t="shared" si="150"/>
        <v>4</v>
      </c>
      <c r="I162" s="15">
        <f t="shared" si="151"/>
        <v>100.75</v>
      </c>
      <c r="J162" s="15">
        <f>'7'!K12</f>
        <v>12</v>
      </c>
      <c r="K162" s="16">
        <f t="shared" si="152"/>
        <v>0</v>
      </c>
      <c r="L162" s="15">
        <f t="shared" si="168"/>
        <v>195.48</v>
      </c>
      <c r="M162" s="17">
        <f t="shared" si="154"/>
        <v>-195.48</v>
      </c>
      <c r="N162" s="15">
        <f>'7'!W12</f>
        <v>16</v>
      </c>
      <c r="O162" s="16">
        <f t="shared" si="155"/>
        <v>472.8125</v>
      </c>
      <c r="P162" s="15">
        <f t="shared" si="156"/>
        <v>0.06859</v>
      </c>
      <c r="Q162" s="17">
        <f t="shared" si="157"/>
        <v>487.750349</v>
      </c>
      <c r="R162" s="15">
        <f t="shared" si="169"/>
        <v>253.64</v>
      </c>
      <c r="S162" s="17">
        <f t="shared" si="159"/>
        <v>234.110349</v>
      </c>
      <c r="T162" s="15">
        <f>'7'!AG12+'7'!AR12</f>
        <v>27</v>
      </c>
      <c r="U162" s="16">
        <f t="shared" si="160"/>
        <v>104.518518518519</v>
      </c>
      <c r="V162" s="15">
        <f t="shared" si="161"/>
        <v>0.276355</v>
      </c>
      <c r="W162" s="17">
        <f t="shared" si="162"/>
        <v>733.0813814</v>
      </c>
      <c r="X162" s="15">
        <f t="shared" si="163"/>
        <v>480.68</v>
      </c>
      <c r="Y162" s="17">
        <f t="shared" si="164"/>
        <v>252.4013814</v>
      </c>
      <c r="Z162" s="18">
        <f>'7'!BA12</f>
        <v>0</v>
      </c>
      <c r="AA162" s="18">
        <f>'7'!BD12</f>
        <v>2</v>
      </c>
      <c r="AB162" s="18">
        <f>'7'!BE12</f>
        <v>2</v>
      </c>
      <c r="AC162" s="18">
        <f>'7'!BF12</f>
        <v>1</v>
      </c>
      <c r="AD162" s="17">
        <f t="shared" si="165"/>
        <v>144.321111708804</v>
      </c>
      <c r="AE162" s="19">
        <f t="shared" si="166"/>
        <v>45.9606186911959</v>
      </c>
      <c r="AF162" s="2">
        <f t="shared" si="167"/>
        <v>60</v>
      </c>
      <c r="AG162" s="2">
        <f>'7'!BH12</f>
        <v>60</v>
      </c>
    </row>
    <row r="163" spans="1:33">
      <c r="A163" s="10">
        <v>46119</v>
      </c>
      <c r="B163" s="11" t="s">
        <v>3306</v>
      </c>
      <c r="C163" s="11" t="s">
        <v>3289</v>
      </c>
      <c r="D163" s="12" t="s">
        <v>22</v>
      </c>
      <c r="E163" s="13">
        <f>SUMIFS(卸车数据!$J$6:$J$1048576,卸车数据!$R$6:$R$1048576,"&gt;="&amp;A163+TIME(10,0,0),卸车数据!$R$6:$R$1048576,"&lt;"&amp;A163+TIME(11,0,0))</f>
        <v>439</v>
      </c>
      <c r="F163" s="13">
        <v>891</v>
      </c>
      <c r="G163" s="14">
        <v>5712</v>
      </c>
      <c r="H163" s="15">
        <f t="shared" si="150"/>
        <v>4</v>
      </c>
      <c r="I163" s="15">
        <f t="shared" si="151"/>
        <v>100.75</v>
      </c>
      <c r="J163" s="15">
        <f>'7'!K13</f>
        <v>12</v>
      </c>
      <c r="K163" s="16">
        <f t="shared" si="152"/>
        <v>36.5833333333333</v>
      </c>
      <c r="L163" s="15">
        <f t="shared" si="168"/>
        <v>195.48</v>
      </c>
      <c r="M163" s="17">
        <f t="shared" si="154"/>
        <v>-195.48</v>
      </c>
      <c r="N163" s="15">
        <f>'7'!W13</f>
        <v>16</v>
      </c>
      <c r="O163" s="16">
        <f t="shared" si="155"/>
        <v>357</v>
      </c>
      <c r="P163" s="15">
        <f t="shared" si="156"/>
        <v>0.06859</v>
      </c>
      <c r="Q163" s="17">
        <f t="shared" si="157"/>
        <v>368.2789152</v>
      </c>
      <c r="R163" s="15">
        <f t="shared" si="169"/>
        <v>253.64</v>
      </c>
      <c r="S163" s="17">
        <f t="shared" si="159"/>
        <v>114.6389152</v>
      </c>
      <c r="T163" s="15">
        <f>'7'!AG13+'7'!AR13</f>
        <v>27</v>
      </c>
      <c r="U163" s="16">
        <f t="shared" si="160"/>
        <v>33</v>
      </c>
      <c r="V163" s="15">
        <f t="shared" si="161"/>
        <v>0.276355</v>
      </c>
      <c r="W163" s="17">
        <f t="shared" si="162"/>
        <v>231.4583667</v>
      </c>
      <c r="X163" s="15">
        <f t="shared" si="163"/>
        <v>480.68</v>
      </c>
      <c r="Y163" s="17">
        <f t="shared" si="164"/>
        <v>-249.2216333</v>
      </c>
      <c r="Z163" s="18">
        <f>'7'!BA13</f>
        <v>0</v>
      </c>
      <c r="AA163" s="18">
        <f>'7'!BD13</f>
        <v>2</v>
      </c>
      <c r="AB163" s="18">
        <f>'7'!BE13</f>
        <v>2</v>
      </c>
      <c r="AC163" s="18">
        <f>'7'!BF13</f>
        <v>1</v>
      </c>
      <c r="AD163" s="17">
        <f t="shared" si="165"/>
        <v>144.321111708804</v>
      </c>
      <c r="AE163" s="19">
        <f t="shared" si="166"/>
        <v>-575.133829808804</v>
      </c>
      <c r="AF163" s="2">
        <f t="shared" si="167"/>
        <v>60</v>
      </c>
      <c r="AG163" s="2">
        <f>'7'!BH13</f>
        <v>60</v>
      </c>
    </row>
    <row r="164" spans="1:33">
      <c r="A164" s="10">
        <v>46119</v>
      </c>
      <c r="B164" s="11" t="s">
        <v>3310</v>
      </c>
      <c r="C164" s="11" t="s">
        <v>3289</v>
      </c>
      <c r="D164" s="11" t="s">
        <v>3311</v>
      </c>
      <c r="E164" s="13">
        <f>SUMIFS(卸车数据!$J$6:$J$1048576,卸车数据!$R$6:$R$1048576,"&gt;="&amp;A164+TIME(11,0,0),卸车数据!$R$6:$R$1048576,"&lt;"&amp;A164+TIME(12,0,0))</f>
        <v>6212</v>
      </c>
      <c r="F164" s="13">
        <v>1744</v>
      </c>
      <c r="G164" s="14">
        <v>62</v>
      </c>
      <c r="H164" s="15">
        <f t="shared" si="150"/>
        <v>4</v>
      </c>
      <c r="I164" s="15">
        <f t="shared" si="151"/>
        <v>100.75</v>
      </c>
      <c r="J164" s="15">
        <f>'7'!K14</f>
        <v>13</v>
      </c>
      <c r="K164" s="16">
        <f t="shared" si="152"/>
        <v>477.846153846154</v>
      </c>
      <c r="L164" s="15">
        <f t="shared" si="168"/>
        <v>210.02</v>
      </c>
      <c r="M164" s="17">
        <f t="shared" si="154"/>
        <v>-210.02</v>
      </c>
      <c r="N164" s="15">
        <f>'7'!W14</f>
        <v>18</v>
      </c>
      <c r="O164" s="16">
        <f t="shared" si="155"/>
        <v>3.44444444444444</v>
      </c>
      <c r="P164" s="15">
        <f t="shared" si="156"/>
        <v>0.06859</v>
      </c>
      <c r="Q164" s="17">
        <f t="shared" si="157"/>
        <v>3.9974252</v>
      </c>
      <c r="R164" s="15">
        <f t="shared" si="169"/>
        <v>282.72</v>
      </c>
      <c r="S164" s="17">
        <f t="shared" si="159"/>
        <v>-278.7225748</v>
      </c>
      <c r="T164" s="15">
        <f>'7'!AG14+'7'!AR14</f>
        <v>30</v>
      </c>
      <c r="U164" s="16">
        <f t="shared" si="160"/>
        <v>58.1333333333333</v>
      </c>
      <c r="V164" s="15">
        <f t="shared" si="161"/>
        <v>0.276355</v>
      </c>
      <c r="W164" s="17">
        <f t="shared" si="162"/>
        <v>453.0453328</v>
      </c>
      <c r="X164" s="15">
        <f t="shared" si="163"/>
        <v>524.54</v>
      </c>
      <c r="Y164" s="17">
        <f t="shared" si="164"/>
        <v>-71.4946672</v>
      </c>
      <c r="Z164" s="18">
        <f>'7'!BA14</f>
        <v>0</v>
      </c>
      <c r="AA164" s="18">
        <f>'7'!BD14</f>
        <v>2</v>
      </c>
      <c r="AB164" s="18">
        <f>'7'!BE14</f>
        <v>2</v>
      </c>
      <c r="AC164" s="18">
        <f>'7'!BF14</f>
        <v>1</v>
      </c>
      <c r="AD164" s="17">
        <f t="shared" si="165"/>
        <v>144.321111708804</v>
      </c>
      <c r="AE164" s="19">
        <f t="shared" si="166"/>
        <v>-805.308353708804</v>
      </c>
      <c r="AF164" s="2">
        <f t="shared" si="167"/>
        <v>66</v>
      </c>
      <c r="AG164" s="2">
        <f>'7'!BH14</f>
        <v>66</v>
      </c>
    </row>
    <row r="165" spans="1:33">
      <c r="A165" s="10">
        <v>46119</v>
      </c>
      <c r="B165" s="11" t="s">
        <v>3318</v>
      </c>
      <c r="C165" s="11" t="s">
        <v>3289</v>
      </c>
      <c r="D165" s="11" t="s">
        <v>3319</v>
      </c>
      <c r="E165" s="13">
        <f>SUMIFS(卸车数据!$J$6:$J$1048576,卸车数据!$R$6:$R$1048576,"&gt;="&amp;A165+TIME(12,0,0),卸车数据!$R$6:$R$1048576,"&lt;"&amp;A165+TIME(13,0,0))</f>
        <v>13532</v>
      </c>
      <c r="F165" s="13">
        <v>5663</v>
      </c>
      <c r="G165" s="14">
        <v>8</v>
      </c>
      <c r="H165" s="15">
        <f t="shared" si="150"/>
        <v>4</v>
      </c>
      <c r="I165" s="15">
        <f t="shared" si="151"/>
        <v>100.75</v>
      </c>
      <c r="J165" s="15">
        <f>'7'!K15</f>
        <v>18</v>
      </c>
      <c r="K165" s="16">
        <f t="shared" si="152"/>
        <v>751.777777777778</v>
      </c>
      <c r="L165" s="15">
        <f t="shared" si="168"/>
        <v>282.72</v>
      </c>
      <c r="M165" s="17">
        <f t="shared" si="154"/>
        <v>-282.72</v>
      </c>
      <c r="N165" s="15">
        <f>'7'!W15</f>
        <v>4</v>
      </c>
      <c r="O165" s="16">
        <f t="shared" si="155"/>
        <v>2</v>
      </c>
      <c r="P165" s="15">
        <f t="shared" si="156"/>
        <v>0.06859</v>
      </c>
      <c r="Q165" s="17">
        <f t="shared" si="157"/>
        <v>0.5157968</v>
      </c>
      <c r="R165" s="15">
        <f t="shared" si="169"/>
        <v>79.16</v>
      </c>
      <c r="S165" s="17">
        <f t="shared" si="159"/>
        <v>-78.6442032</v>
      </c>
      <c r="T165" s="15">
        <f>'7'!AG15+'7'!AR15</f>
        <v>39</v>
      </c>
      <c r="U165" s="16">
        <f t="shared" si="160"/>
        <v>145.205128205128</v>
      </c>
      <c r="V165" s="15">
        <f t="shared" si="161"/>
        <v>0.276355</v>
      </c>
      <c r="W165" s="17">
        <f t="shared" si="162"/>
        <v>1471.0984631</v>
      </c>
      <c r="X165" s="15">
        <f t="shared" si="163"/>
        <v>656.12</v>
      </c>
      <c r="Y165" s="17">
        <f t="shared" si="164"/>
        <v>814.9784631</v>
      </c>
      <c r="Z165" s="18">
        <f>'7'!BA15</f>
        <v>0</v>
      </c>
      <c r="AA165" s="18">
        <f>'7'!BD15</f>
        <v>2</v>
      </c>
      <c r="AB165" s="18">
        <f>'7'!BE15</f>
        <v>2</v>
      </c>
      <c r="AC165" s="18">
        <f>'7'!BF15</f>
        <v>1</v>
      </c>
      <c r="AD165" s="17">
        <f t="shared" si="165"/>
        <v>144.321111708804</v>
      </c>
      <c r="AE165" s="19">
        <f t="shared" si="166"/>
        <v>208.543148191196</v>
      </c>
      <c r="AF165" s="2">
        <f t="shared" si="167"/>
        <v>66</v>
      </c>
      <c r="AG165" s="2">
        <f>'7'!BH15</f>
        <v>66</v>
      </c>
    </row>
    <row r="166" spans="1:33">
      <c r="A166" s="10">
        <v>46119</v>
      </c>
      <c r="B166" s="11" t="s">
        <v>3327</v>
      </c>
      <c r="C166" s="11" t="s">
        <v>3289</v>
      </c>
      <c r="D166" s="11" t="s">
        <v>3319</v>
      </c>
      <c r="E166" s="13">
        <f>SUMIFS(卸车数据!$J$6:$J$1048576,卸车数据!$R$6:$R$1048576,"&gt;="&amp;A166+TIME(13,0,0),卸车数据!$R$6:$R$1048576,"&lt;"&amp;A166+TIME(14,0,0))</f>
        <v>4999</v>
      </c>
      <c r="F166" s="13">
        <v>3654</v>
      </c>
      <c r="G166" s="14">
        <v>5022</v>
      </c>
      <c r="H166" s="15">
        <f t="shared" si="150"/>
        <v>4</v>
      </c>
      <c r="I166" s="15">
        <f t="shared" si="151"/>
        <v>100.75</v>
      </c>
      <c r="J166" s="15">
        <f>'7'!K16</f>
        <v>12</v>
      </c>
      <c r="K166" s="16">
        <f t="shared" si="152"/>
        <v>416.583333333333</v>
      </c>
      <c r="L166" s="15">
        <f t="shared" si="168"/>
        <v>195.48</v>
      </c>
      <c r="M166" s="17">
        <f t="shared" si="154"/>
        <v>-195.48</v>
      </c>
      <c r="N166" s="15">
        <f>'7'!W16</f>
        <v>18</v>
      </c>
      <c r="O166" s="16">
        <f t="shared" si="155"/>
        <v>279</v>
      </c>
      <c r="P166" s="15">
        <f t="shared" si="156"/>
        <v>0.06859</v>
      </c>
      <c r="Q166" s="17">
        <f t="shared" si="157"/>
        <v>323.7914412</v>
      </c>
      <c r="R166" s="15">
        <f t="shared" si="169"/>
        <v>282.72</v>
      </c>
      <c r="S166" s="17">
        <f t="shared" si="159"/>
        <v>41.0714412</v>
      </c>
      <c r="T166" s="15">
        <f>'7'!AG16+'7'!AR16</f>
        <v>31</v>
      </c>
      <c r="U166" s="16">
        <f t="shared" si="160"/>
        <v>117.870967741935</v>
      </c>
      <c r="V166" s="15">
        <f t="shared" si="161"/>
        <v>0.276355</v>
      </c>
      <c r="W166" s="17">
        <f t="shared" si="162"/>
        <v>949.2130998</v>
      </c>
      <c r="X166" s="15">
        <f t="shared" si="163"/>
        <v>539.16</v>
      </c>
      <c r="Y166" s="17">
        <f t="shared" si="164"/>
        <v>410.0530998</v>
      </c>
      <c r="Z166" s="18">
        <f>'7'!BA16</f>
        <v>0</v>
      </c>
      <c r="AA166" s="18">
        <f>'7'!BD16</f>
        <v>2</v>
      </c>
      <c r="AB166" s="18">
        <f>'7'!BE16</f>
        <v>2</v>
      </c>
      <c r="AC166" s="18">
        <f>'7'!BF16</f>
        <v>1</v>
      </c>
      <c r="AD166" s="17">
        <f t="shared" si="165"/>
        <v>144.321111708804</v>
      </c>
      <c r="AE166" s="19">
        <f t="shared" si="166"/>
        <v>10.5734292911958</v>
      </c>
      <c r="AF166" s="2">
        <f t="shared" si="167"/>
        <v>66</v>
      </c>
      <c r="AG166" s="2">
        <f>'7'!BH16</f>
        <v>66</v>
      </c>
    </row>
    <row r="167" spans="1:33">
      <c r="A167" s="10">
        <v>46119</v>
      </c>
      <c r="B167" s="11" t="s">
        <v>3331</v>
      </c>
      <c r="C167" s="11" t="s">
        <v>3289</v>
      </c>
      <c r="D167" s="11" t="s">
        <v>3319</v>
      </c>
      <c r="E167" s="13">
        <f>SUMIFS(卸车数据!$J$6:$J$1048576,卸车数据!$R$6:$R$1048576,"&gt;="&amp;A167+TIME(14,0,0),卸车数据!$R$6:$R$1048576,"&lt;"&amp;A167+TIME(15,0,0))</f>
        <v>5655</v>
      </c>
      <c r="F167" s="13">
        <v>889</v>
      </c>
      <c r="G167" s="14">
        <v>10034</v>
      </c>
      <c r="H167" s="15">
        <f t="shared" si="150"/>
        <v>4</v>
      </c>
      <c r="I167" s="15">
        <f t="shared" si="151"/>
        <v>100.75</v>
      </c>
      <c r="J167" s="15">
        <f>'7'!K17</f>
        <v>12</v>
      </c>
      <c r="K167" s="16">
        <f t="shared" si="152"/>
        <v>471.25</v>
      </c>
      <c r="L167" s="15">
        <f t="shared" si="168"/>
        <v>195.48</v>
      </c>
      <c r="M167" s="17">
        <f t="shared" si="154"/>
        <v>-195.48</v>
      </c>
      <c r="N167" s="15">
        <f>'7'!W17</f>
        <v>18</v>
      </c>
      <c r="O167" s="16">
        <f t="shared" si="155"/>
        <v>557.444444444444</v>
      </c>
      <c r="P167" s="15">
        <f t="shared" si="156"/>
        <v>0.06859</v>
      </c>
      <c r="Q167" s="17">
        <f t="shared" si="157"/>
        <v>646.9381364</v>
      </c>
      <c r="R167" s="15">
        <f t="shared" si="169"/>
        <v>282.72</v>
      </c>
      <c r="S167" s="17">
        <f t="shared" si="159"/>
        <v>364.2181364</v>
      </c>
      <c r="T167" s="15">
        <f>'7'!AG17+'7'!AR17</f>
        <v>31</v>
      </c>
      <c r="U167" s="16">
        <f t="shared" si="160"/>
        <v>28.6774193548387</v>
      </c>
      <c r="V167" s="15">
        <f t="shared" si="161"/>
        <v>0.276355</v>
      </c>
      <c r="W167" s="17">
        <f t="shared" si="162"/>
        <v>230.9388193</v>
      </c>
      <c r="X167" s="15">
        <f t="shared" si="163"/>
        <v>539.16</v>
      </c>
      <c r="Y167" s="17">
        <f t="shared" si="164"/>
        <v>-308.2211807</v>
      </c>
      <c r="Z167" s="18">
        <f>'7'!BA17</f>
        <v>0</v>
      </c>
      <c r="AA167" s="18">
        <f>'7'!BD17</f>
        <v>2</v>
      </c>
      <c r="AB167" s="18">
        <f>'7'!BE17</f>
        <v>2</v>
      </c>
      <c r="AC167" s="18">
        <f>'7'!BF17</f>
        <v>1</v>
      </c>
      <c r="AD167" s="17">
        <f t="shared" si="165"/>
        <v>144.321111708804</v>
      </c>
      <c r="AE167" s="19">
        <f t="shared" si="166"/>
        <v>-384.554156008804</v>
      </c>
      <c r="AF167" s="2">
        <f t="shared" si="167"/>
        <v>66</v>
      </c>
      <c r="AG167" s="2">
        <f>'7'!BH17</f>
        <v>66</v>
      </c>
    </row>
    <row r="168" spans="1:33">
      <c r="A168" s="10">
        <v>46119</v>
      </c>
      <c r="B168" s="11" t="s">
        <v>3334</v>
      </c>
      <c r="C168" s="11" t="s">
        <v>3289</v>
      </c>
      <c r="D168" s="12" t="s">
        <v>22</v>
      </c>
      <c r="E168" s="13">
        <f>SUMIFS(卸车数据!$J$6:$J$1048576,卸车数据!$R$6:$R$1048576,"&gt;="&amp;A168+TIME(15,0,0),卸车数据!$R$6:$R$1048576,"&lt;"&amp;A168+TIME(16,0,0))</f>
        <v>0</v>
      </c>
      <c r="F168" s="13">
        <v>4007</v>
      </c>
      <c r="G168" s="14">
        <v>8868</v>
      </c>
      <c r="H168" s="15">
        <f t="shared" si="150"/>
        <v>4</v>
      </c>
      <c r="I168" s="15">
        <f t="shared" si="151"/>
        <v>100.75</v>
      </c>
      <c r="J168" s="15">
        <f>'7'!K18</f>
        <v>12</v>
      </c>
      <c r="K168" s="16">
        <f t="shared" si="152"/>
        <v>0</v>
      </c>
      <c r="L168" s="15">
        <f t="shared" si="168"/>
        <v>195.48</v>
      </c>
      <c r="M168" s="17">
        <f t="shared" si="154"/>
        <v>-195.48</v>
      </c>
      <c r="N168" s="15">
        <f>'7'!W18</f>
        <v>18</v>
      </c>
      <c r="O168" s="16">
        <f t="shared" si="155"/>
        <v>492.666666666667</v>
      </c>
      <c r="P168" s="15">
        <f t="shared" si="156"/>
        <v>0.06859</v>
      </c>
      <c r="Q168" s="17">
        <f t="shared" si="157"/>
        <v>571.7607528</v>
      </c>
      <c r="R168" s="15">
        <f t="shared" si="169"/>
        <v>282.72</v>
      </c>
      <c r="S168" s="17">
        <f t="shared" si="159"/>
        <v>289.0407528</v>
      </c>
      <c r="T168" s="15">
        <f>'7'!AG18+'7'!AR18</f>
        <v>31</v>
      </c>
      <c r="U168" s="16">
        <f t="shared" si="160"/>
        <v>129.258064516129</v>
      </c>
      <c r="V168" s="15">
        <f t="shared" si="161"/>
        <v>0.276355</v>
      </c>
      <c r="W168" s="17">
        <f t="shared" si="162"/>
        <v>1040.9132159</v>
      </c>
      <c r="X168" s="15">
        <f t="shared" si="163"/>
        <v>539.16</v>
      </c>
      <c r="Y168" s="17">
        <f t="shared" si="164"/>
        <v>501.7532159</v>
      </c>
      <c r="Z168" s="18">
        <f>'7'!BA18</f>
        <v>0</v>
      </c>
      <c r="AA168" s="18">
        <f>'7'!BD18</f>
        <v>2</v>
      </c>
      <c r="AB168" s="18">
        <f>'7'!BE18</f>
        <v>2</v>
      </c>
      <c r="AC168" s="18">
        <f>'7'!BF18</f>
        <v>1</v>
      </c>
      <c r="AD168" s="17">
        <f t="shared" si="165"/>
        <v>144.321111708804</v>
      </c>
      <c r="AE168" s="19">
        <f t="shared" si="166"/>
        <v>350.242856991196</v>
      </c>
      <c r="AF168" s="2">
        <f t="shared" si="167"/>
        <v>66</v>
      </c>
      <c r="AG168" s="2">
        <f>'7'!BH18</f>
        <v>66</v>
      </c>
    </row>
    <row r="169" spans="1:33">
      <c r="A169" s="10">
        <v>46119</v>
      </c>
      <c r="B169" s="11" t="s">
        <v>3339</v>
      </c>
      <c r="C169" s="11" t="s">
        <v>3289</v>
      </c>
      <c r="D169" s="12" t="s">
        <v>22</v>
      </c>
      <c r="E169" s="13">
        <f>SUMIFS(卸车数据!$J$6:$J$1048576,卸车数据!$R$6:$R$1048576,"&gt;="&amp;A169+TIME(16,0,0),卸车数据!$R$6:$R$1048576,"&lt;"&amp;A169+TIME(17,0,0))</f>
        <v>2723</v>
      </c>
      <c r="F169" s="13">
        <v>4009</v>
      </c>
      <c r="G169" s="14">
        <v>11850</v>
      </c>
      <c r="H169" s="15">
        <f t="shared" si="150"/>
        <v>4</v>
      </c>
      <c r="I169" s="15">
        <f t="shared" si="151"/>
        <v>100.75</v>
      </c>
      <c r="J169" s="15">
        <f>'7'!K19</f>
        <v>12</v>
      </c>
      <c r="K169" s="16">
        <f t="shared" si="152"/>
        <v>226.916666666667</v>
      </c>
      <c r="L169" s="15">
        <f t="shared" si="168"/>
        <v>195.48</v>
      </c>
      <c r="M169" s="17">
        <f t="shared" si="154"/>
        <v>-195.48</v>
      </c>
      <c r="N169" s="15">
        <f>'7'!W19</f>
        <v>18</v>
      </c>
      <c r="O169" s="16">
        <f t="shared" si="155"/>
        <v>658.333333333333</v>
      </c>
      <c r="P169" s="15">
        <f t="shared" si="156"/>
        <v>0.06859</v>
      </c>
      <c r="Q169" s="17">
        <f t="shared" si="157"/>
        <v>764.02401</v>
      </c>
      <c r="R169" s="15">
        <f t="shared" si="169"/>
        <v>282.72</v>
      </c>
      <c r="S169" s="17">
        <f t="shared" si="159"/>
        <v>481.30401</v>
      </c>
      <c r="T169" s="15">
        <f>'7'!AG19+'7'!AR19</f>
        <v>31</v>
      </c>
      <c r="U169" s="16">
        <f t="shared" si="160"/>
        <v>129.322580645161</v>
      </c>
      <c r="V169" s="15">
        <f t="shared" si="161"/>
        <v>0.276355</v>
      </c>
      <c r="W169" s="17">
        <f t="shared" si="162"/>
        <v>1041.4327633</v>
      </c>
      <c r="X169" s="15">
        <f t="shared" si="163"/>
        <v>539.16</v>
      </c>
      <c r="Y169" s="17">
        <f t="shared" si="164"/>
        <v>502.2727633</v>
      </c>
      <c r="Z169" s="18">
        <f>'7'!BA19</f>
        <v>0</v>
      </c>
      <c r="AA169" s="18">
        <f>'7'!BD19</f>
        <v>2</v>
      </c>
      <c r="AB169" s="18">
        <f>'7'!BE19</f>
        <v>2</v>
      </c>
      <c r="AC169" s="18">
        <f>'7'!BF19</f>
        <v>1</v>
      </c>
      <c r="AD169" s="17">
        <f t="shared" si="165"/>
        <v>144.321111708804</v>
      </c>
      <c r="AE169" s="19">
        <f t="shared" si="166"/>
        <v>543.025661591196</v>
      </c>
      <c r="AF169" s="2">
        <f t="shared" si="167"/>
        <v>66</v>
      </c>
      <c r="AG169" s="2">
        <f>'7'!BH19</f>
        <v>66</v>
      </c>
    </row>
    <row r="170" spans="1:33">
      <c r="A170" s="10">
        <v>46119</v>
      </c>
      <c r="B170" s="11" t="s">
        <v>3344</v>
      </c>
      <c r="C170" s="11" t="s">
        <v>3289</v>
      </c>
      <c r="D170" s="11" t="s">
        <v>3319</v>
      </c>
      <c r="E170" s="13">
        <f>SUMIFS(卸车数据!$J$6:$J$1048576,卸车数据!$R$6:$R$1048576,"&gt;="&amp;A170+TIME(17,0,0),卸车数据!$R$6:$R$1048576,"&lt;"&amp;A170+TIME(18,0,0))</f>
        <v>10800</v>
      </c>
      <c r="F170" s="13">
        <v>2183</v>
      </c>
      <c r="G170" s="14">
        <v>6215</v>
      </c>
      <c r="H170" s="15">
        <f t="shared" si="150"/>
        <v>4</v>
      </c>
      <c r="I170" s="15">
        <f t="shared" si="151"/>
        <v>100.75</v>
      </c>
      <c r="J170" s="15">
        <f>'7'!K20</f>
        <v>12</v>
      </c>
      <c r="K170" s="16">
        <f t="shared" si="152"/>
        <v>900</v>
      </c>
      <c r="L170" s="15">
        <f t="shared" si="168"/>
        <v>195.48</v>
      </c>
      <c r="M170" s="17">
        <f t="shared" si="154"/>
        <v>-195.48</v>
      </c>
      <c r="N170" s="15">
        <f>'7'!W20</f>
        <v>18</v>
      </c>
      <c r="O170" s="16">
        <f t="shared" si="155"/>
        <v>345.277777777778</v>
      </c>
      <c r="P170" s="15">
        <f t="shared" si="156"/>
        <v>0.06859</v>
      </c>
      <c r="Q170" s="17">
        <f t="shared" si="157"/>
        <v>400.709639</v>
      </c>
      <c r="R170" s="15">
        <f t="shared" si="169"/>
        <v>282.72</v>
      </c>
      <c r="S170" s="17">
        <f t="shared" si="159"/>
        <v>117.989639</v>
      </c>
      <c r="T170" s="15">
        <f>'7'!AG20+'7'!AR20</f>
        <v>31</v>
      </c>
      <c r="U170" s="16">
        <f t="shared" si="160"/>
        <v>70.4193548387097</v>
      </c>
      <c r="V170" s="15">
        <f t="shared" si="161"/>
        <v>0.276355</v>
      </c>
      <c r="W170" s="17">
        <f t="shared" si="162"/>
        <v>567.0859871</v>
      </c>
      <c r="X170" s="15">
        <f t="shared" si="163"/>
        <v>539.16</v>
      </c>
      <c r="Y170" s="17">
        <f t="shared" si="164"/>
        <v>27.9259870999999</v>
      </c>
      <c r="Z170" s="18">
        <f>'7'!BA20</f>
        <v>0</v>
      </c>
      <c r="AA170" s="18">
        <f>'7'!BD20</f>
        <v>2</v>
      </c>
      <c r="AB170" s="18">
        <f>'7'!BE20</f>
        <v>2</v>
      </c>
      <c r="AC170" s="18">
        <f>'7'!BF20</f>
        <v>1</v>
      </c>
      <c r="AD170" s="17">
        <f t="shared" si="165"/>
        <v>144.321111708804</v>
      </c>
      <c r="AE170" s="19">
        <f t="shared" si="166"/>
        <v>-294.635485608804</v>
      </c>
      <c r="AF170" s="2">
        <f t="shared" si="167"/>
        <v>66</v>
      </c>
      <c r="AG170" s="2">
        <f>'7'!BH20</f>
        <v>66</v>
      </c>
    </row>
    <row r="171" spans="1:33">
      <c r="A171" s="10">
        <v>46119</v>
      </c>
      <c r="B171" s="11" t="s">
        <v>3347</v>
      </c>
      <c r="C171" s="11" t="s">
        <v>3265</v>
      </c>
      <c r="D171" s="11" t="s">
        <v>3319</v>
      </c>
      <c r="E171" s="13">
        <f>SUMIFS(卸车数据!$J$6:$J$1048576,卸车数据!$R$6:$R$1048576,"&gt;="&amp;A171+TIME(18,0,0),卸车数据!$R$6:$R$1048576,"&lt;"&amp;A171+TIME(19,0,0))</f>
        <v>9754</v>
      </c>
      <c r="F171" s="13">
        <v>4642</v>
      </c>
      <c r="G171" s="14">
        <v>2109</v>
      </c>
      <c r="H171" s="15">
        <f t="shared" si="150"/>
        <v>2</v>
      </c>
      <c r="I171" s="15">
        <f t="shared" si="151"/>
        <v>44.0122222222222</v>
      </c>
      <c r="J171" s="15">
        <f>'7'!K21</f>
        <v>26</v>
      </c>
      <c r="K171" s="16">
        <f t="shared" si="152"/>
        <v>375.153846153846</v>
      </c>
      <c r="L171" s="15">
        <f t="shared" ref="L171:L176" si="170">J171*14.62+21</f>
        <v>401.12</v>
      </c>
      <c r="M171" s="17">
        <f t="shared" si="154"/>
        <v>-401.12</v>
      </c>
      <c r="N171" s="15">
        <f>'7'!W21</f>
        <v>15</v>
      </c>
      <c r="O171" s="16">
        <f t="shared" si="155"/>
        <v>140.6</v>
      </c>
      <c r="P171" s="15">
        <f t="shared" si="156"/>
        <v>0.06859</v>
      </c>
      <c r="Q171" s="17">
        <f t="shared" si="157"/>
        <v>135.9769314</v>
      </c>
      <c r="R171" s="15">
        <f t="shared" ref="R171:R176" si="171">(N171-13)*14.62+13*18+21</f>
        <v>284.24</v>
      </c>
      <c r="S171" s="17">
        <f t="shared" si="159"/>
        <v>-148.2630686</v>
      </c>
      <c r="T171" s="15">
        <f>'7'!AG21+'7'!AR21</f>
        <v>55</v>
      </c>
      <c r="U171" s="16">
        <f t="shared" si="160"/>
        <v>84.4</v>
      </c>
      <c r="V171" s="15">
        <f t="shared" si="161"/>
        <v>0.276355</v>
      </c>
      <c r="W171" s="17">
        <f t="shared" si="162"/>
        <v>1205.8695154</v>
      </c>
      <c r="X171" s="15">
        <f t="shared" si="163"/>
        <v>890.04</v>
      </c>
      <c r="Y171" s="17">
        <f t="shared" si="164"/>
        <v>315.8295154</v>
      </c>
      <c r="Z171" s="18">
        <f>'7'!BA21</f>
        <v>4</v>
      </c>
      <c r="AA171" s="18">
        <f>'7'!BD21</f>
        <v>3</v>
      </c>
      <c r="AB171" s="18">
        <f>'7'!BE21</f>
        <v>0</v>
      </c>
      <c r="AC171" s="18">
        <f>'7'!BF21</f>
        <v>1</v>
      </c>
      <c r="AD171" s="17">
        <f t="shared" si="165"/>
        <v>181.443675811368</v>
      </c>
      <c r="AE171" s="19">
        <f t="shared" si="166"/>
        <v>-459.00945123359</v>
      </c>
      <c r="AF171" s="2">
        <f t="shared" si="167"/>
        <v>104</v>
      </c>
      <c r="AG171" s="2">
        <f>'7'!BH21</f>
        <v>104</v>
      </c>
    </row>
    <row r="172" spans="1:33">
      <c r="A172" s="10">
        <v>46119</v>
      </c>
      <c r="B172" s="11" t="s">
        <v>3351</v>
      </c>
      <c r="C172" s="11" t="s">
        <v>3265</v>
      </c>
      <c r="D172" s="11" t="s">
        <v>3319</v>
      </c>
      <c r="E172" s="13">
        <f>SUMIFS(卸车数据!$J$6:$J$1048576,卸车数据!$R$6:$R$1048576,"&gt;="&amp;A172+TIME(19,0,0),卸车数据!$R$6:$R$1048576,"&lt;"&amp;A172+TIME(20,0,0))</f>
        <v>37653</v>
      </c>
      <c r="F172" s="13">
        <v>5593</v>
      </c>
      <c r="G172" s="14">
        <v>13903</v>
      </c>
      <c r="H172" s="15">
        <f t="shared" si="150"/>
        <v>2</v>
      </c>
      <c r="I172" s="15">
        <f t="shared" si="151"/>
        <v>44.0122222222222</v>
      </c>
      <c r="J172" s="15">
        <f>'7'!K22</f>
        <v>25</v>
      </c>
      <c r="K172" s="16">
        <f t="shared" si="152"/>
        <v>1506.12</v>
      </c>
      <c r="L172" s="15">
        <f t="shared" si="170"/>
        <v>386.5</v>
      </c>
      <c r="M172" s="17">
        <f t="shared" si="154"/>
        <v>-386.5</v>
      </c>
      <c r="N172" s="15">
        <f>'7'!W22</f>
        <v>25</v>
      </c>
      <c r="O172" s="16">
        <f t="shared" si="155"/>
        <v>556.12</v>
      </c>
      <c r="P172" s="15">
        <f t="shared" si="156"/>
        <v>0.06859</v>
      </c>
      <c r="Q172" s="17">
        <f t="shared" si="157"/>
        <v>896.3903638</v>
      </c>
      <c r="R172" s="15">
        <f t="shared" si="171"/>
        <v>430.44</v>
      </c>
      <c r="S172" s="17">
        <f t="shared" si="159"/>
        <v>465.9503638</v>
      </c>
      <c r="T172" s="15">
        <f>'7'!AG22+'7'!AR22</f>
        <v>46</v>
      </c>
      <c r="U172" s="16">
        <f t="shared" si="160"/>
        <v>121.586956521739</v>
      </c>
      <c r="V172" s="15">
        <f t="shared" si="161"/>
        <v>0.276355</v>
      </c>
      <c r="W172" s="17">
        <f t="shared" si="162"/>
        <v>1452.9143041</v>
      </c>
      <c r="X172" s="15">
        <f t="shared" si="163"/>
        <v>758.46</v>
      </c>
      <c r="Y172" s="17">
        <f t="shared" si="164"/>
        <v>694.4543041</v>
      </c>
      <c r="Z172" s="18">
        <f>'7'!BA22</f>
        <v>4</v>
      </c>
      <c r="AA172" s="18">
        <f>'7'!BD22</f>
        <v>3</v>
      </c>
      <c r="AB172" s="18">
        <f>'7'!BE22</f>
        <v>0</v>
      </c>
      <c r="AC172" s="18">
        <f>'7'!BF22</f>
        <v>1</v>
      </c>
      <c r="AD172" s="17">
        <f t="shared" si="165"/>
        <v>181.443675811368</v>
      </c>
      <c r="AE172" s="19">
        <f t="shared" si="166"/>
        <v>548.448769866409</v>
      </c>
      <c r="AF172" s="2">
        <f t="shared" si="167"/>
        <v>104</v>
      </c>
      <c r="AG172" s="2">
        <f>'7'!BH22</f>
        <v>104</v>
      </c>
    </row>
    <row r="173" spans="1:33">
      <c r="A173" s="10">
        <v>46119</v>
      </c>
      <c r="B173" s="11" t="s">
        <v>3352</v>
      </c>
      <c r="C173" s="11" t="s">
        <v>3265</v>
      </c>
      <c r="D173" s="11" t="s">
        <v>3319</v>
      </c>
      <c r="E173" s="13">
        <f>SUMIFS(卸车数据!$J$6:$J$1048576,卸车数据!$R$6:$R$1048576,"&gt;="&amp;A173+TIME(20,0,0),卸车数据!$R$6:$R$1048576,"&lt;"&amp;A173+TIME(21,0,0))</f>
        <v>17680</v>
      </c>
      <c r="F173" s="13">
        <v>6347</v>
      </c>
      <c r="G173" s="14">
        <v>15001</v>
      </c>
      <c r="H173" s="15">
        <f t="shared" si="150"/>
        <v>2</v>
      </c>
      <c r="I173" s="15">
        <f t="shared" si="151"/>
        <v>44.0122222222222</v>
      </c>
      <c r="J173" s="15">
        <f>'7'!K23</f>
        <v>25</v>
      </c>
      <c r="K173" s="16">
        <f t="shared" si="152"/>
        <v>707.2</v>
      </c>
      <c r="L173" s="15">
        <f t="shared" si="170"/>
        <v>386.5</v>
      </c>
      <c r="M173" s="17">
        <f t="shared" si="154"/>
        <v>-386.5</v>
      </c>
      <c r="N173" s="15">
        <f>'7'!W23</f>
        <v>25</v>
      </c>
      <c r="O173" s="16">
        <f t="shared" si="155"/>
        <v>600.04</v>
      </c>
      <c r="P173" s="15">
        <f t="shared" si="156"/>
        <v>0.06859</v>
      </c>
      <c r="Q173" s="17">
        <f t="shared" si="157"/>
        <v>967.1834746</v>
      </c>
      <c r="R173" s="15">
        <f t="shared" si="171"/>
        <v>430.44</v>
      </c>
      <c r="S173" s="17">
        <f t="shared" si="159"/>
        <v>536.7434746</v>
      </c>
      <c r="T173" s="15">
        <f>'7'!AG23+'7'!AR23</f>
        <v>46</v>
      </c>
      <c r="U173" s="16">
        <f t="shared" si="160"/>
        <v>137.978260869565</v>
      </c>
      <c r="V173" s="15">
        <f t="shared" si="161"/>
        <v>0.276355</v>
      </c>
      <c r="W173" s="17">
        <f t="shared" si="162"/>
        <v>1648.7836739</v>
      </c>
      <c r="X173" s="15">
        <f t="shared" si="163"/>
        <v>758.46</v>
      </c>
      <c r="Y173" s="17">
        <f t="shared" si="164"/>
        <v>890.3236739</v>
      </c>
      <c r="Z173" s="18">
        <f>'7'!BA23</f>
        <v>4</v>
      </c>
      <c r="AA173" s="18">
        <f>'7'!BD23</f>
        <v>3</v>
      </c>
      <c r="AB173" s="18">
        <f>'7'!BE23</f>
        <v>0</v>
      </c>
      <c r="AC173" s="18">
        <f>'7'!BF23</f>
        <v>1</v>
      </c>
      <c r="AD173" s="17">
        <f t="shared" si="165"/>
        <v>181.443675811368</v>
      </c>
      <c r="AE173" s="19">
        <f t="shared" si="166"/>
        <v>815.111250466409</v>
      </c>
      <c r="AF173" s="2">
        <f t="shared" si="167"/>
        <v>104</v>
      </c>
      <c r="AG173" s="2">
        <f>'7'!BH23</f>
        <v>104</v>
      </c>
    </row>
    <row r="174" spans="1:33">
      <c r="A174" s="10">
        <v>46119</v>
      </c>
      <c r="B174" s="11" t="s">
        <v>3354</v>
      </c>
      <c r="C174" s="11" t="s">
        <v>3265</v>
      </c>
      <c r="D174" s="11" t="s">
        <v>3319</v>
      </c>
      <c r="E174" s="13">
        <f>SUMIFS(卸车数据!$J$6:$J$1048576,卸车数据!$R$6:$R$1048576,"&gt;="&amp;A174+TIME(21,0,0),卸车数据!$R$6:$R$1048576,"&lt;"&amp;A174+TIME(22,0,0))</f>
        <v>2</v>
      </c>
      <c r="F174" s="13">
        <v>5273</v>
      </c>
      <c r="G174" s="14">
        <v>14724</v>
      </c>
      <c r="H174" s="15">
        <f t="shared" si="150"/>
        <v>2</v>
      </c>
      <c r="I174" s="15">
        <f t="shared" si="151"/>
        <v>44.0122222222222</v>
      </c>
      <c r="J174" s="15">
        <f>'7'!K24</f>
        <v>25</v>
      </c>
      <c r="K174" s="16">
        <f t="shared" si="152"/>
        <v>0.08</v>
      </c>
      <c r="L174" s="15">
        <f t="shared" si="170"/>
        <v>386.5</v>
      </c>
      <c r="M174" s="17">
        <f t="shared" si="154"/>
        <v>-386.5</v>
      </c>
      <c r="N174" s="15">
        <f>'7'!W24</f>
        <v>25</v>
      </c>
      <c r="O174" s="16">
        <f t="shared" si="155"/>
        <v>588.96</v>
      </c>
      <c r="P174" s="15">
        <f t="shared" si="156"/>
        <v>0.06859</v>
      </c>
      <c r="Q174" s="17">
        <f t="shared" si="157"/>
        <v>949.3240104</v>
      </c>
      <c r="R174" s="15">
        <f t="shared" si="171"/>
        <v>430.44</v>
      </c>
      <c r="S174" s="17">
        <f t="shared" si="159"/>
        <v>518.8840104</v>
      </c>
      <c r="T174" s="15">
        <f>'7'!AG24+'7'!AR24</f>
        <v>46</v>
      </c>
      <c r="U174" s="16">
        <f t="shared" si="160"/>
        <v>114.630434782609</v>
      </c>
      <c r="V174" s="15">
        <f t="shared" si="161"/>
        <v>0.276355</v>
      </c>
      <c r="W174" s="17">
        <f t="shared" si="162"/>
        <v>1369.7867201</v>
      </c>
      <c r="X174" s="15">
        <f t="shared" si="163"/>
        <v>758.46</v>
      </c>
      <c r="Y174" s="17">
        <f t="shared" si="164"/>
        <v>611.3267201</v>
      </c>
      <c r="Z174" s="18">
        <f>'7'!BA24</f>
        <v>4</v>
      </c>
      <c r="AA174" s="18">
        <f>'7'!BD24</f>
        <v>3</v>
      </c>
      <c r="AB174" s="18">
        <f>'7'!BE24</f>
        <v>0</v>
      </c>
      <c r="AC174" s="18">
        <f>'7'!BF24</f>
        <v>1</v>
      </c>
      <c r="AD174" s="17">
        <f t="shared" si="165"/>
        <v>181.443675811368</v>
      </c>
      <c r="AE174" s="19">
        <f t="shared" si="166"/>
        <v>518.254832466409</v>
      </c>
      <c r="AF174" s="2">
        <f t="shared" si="167"/>
        <v>104</v>
      </c>
      <c r="AG174" s="2">
        <f>'7'!BH24</f>
        <v>104</v>
      </c>
    </row>
    <row r="175" spans="1:33">
      <c r="A175" s="10">
        <v>46119</v>
      </c>
      <c r="B175" s="11" t="s">
        <v>3355</v>
      </c>
      <c r="C175" s="11" t="s">
        <v>3265</v>
      </c>
      <c r="D175" s="11" t="s">
        <v>3319</v>
      </c>
      <c r="E175" s="13">
        <f>SUMIFS(卸车数据!$J$6:$J$1048576,卸车数据!$R$6:$R$1048576,"&gt;="&amp;A175+TIME(22,0,0),卸车数据!$R$6:$R$1048576,"&lt;"&amp;A175+TIME(23,0,0))</f>
        <v>5558</v>
      </c>
      <c r="F175" s="13">
        <v>2272</v>
      </c>
      <c r="G175" s="14">
        <v>11440</v>
      </c>
      <c r="H175" s="15">
        <f t="shared" si="150"/>
        <v>2</v>
      </c>
      <c r="I175" s="15">
        <f t="shared" si="151"/>
        <v>44.0122222222222</v>
      </c>
      <c r="J175" s="15">
        <f>'7'!K25</f>
        <v>25</v>
      </c>
      <c r="K175" s="16">
        <f t="shared" si="152"/>
        <v>222.32</v>
      </c>
      <c r="L175" s="15">
        <f t="shared" si="170"/>
        <v>386.5</v>
      </c>
      <c r="M175" s="17">
        <f t="shared" si="154"/>
        <v>-386.5</v>
      </c>
      <c r="N175" s="15">
        <f>'7'!W25</f>
        <v>25</v>
      </c>
      <c r="O175" s="16">
        <f t="shared" si="155"/>
        <v>457.6</v>
      </c>
      <c r="P175" s="15">
        <f t="shared" si="156"/>
        <v>0.06859</v>
      </c>
      <c r="Q175" s="17">
        <f t="shared" si="157"/>
        <v>737.589424</v>
      </c>
      <c r="R175" s="15">
        <f t="shared" si="171"/>
        <v>430.44</v>
      </c>
      <c r="S175" s="17">
        <f t="shared" si="159"/>
        <v>307.149424</v>
      </c>
      <c r="T175" s="15">
        <f>'7'!AG25+'7'!AR25</f>
        <v>46</v>
      </c>
      <c r="U175" s="16">
        <f t="shared" si="160"/>
        <v>49.3913043478261</v>
      </c>
      <c r="V175" s="15">
        <f t="shared" si="161"/>
        <v>0.276355</v>
      </c>
      <c r="W175" s="17">
        <f t="shared" si="162"/>
        <v>590.2058464</v>
      </c>
      <c r="X175" s="15">
        <f t="shared" si="163"/>
        <v>758.46</v>
      </c>
      <c r="Y175" s="17">
        <f t="shared" si="164"/>
        <v>-168.2541536</v>
      </c>
      <c r="Z175" s="18">
        <f>'7'!BA25</f>
        <v>4</v>
      </c>
      <c r="AA175" s="18">
        <f>'7'!BD25</f>
        <v>3</v>
      </c>
      <c r="AB175" s="18">
        <f>'7'!BE25</f>
        <v>0</v>
      </c>
      <c r="AC175" s="18">
        <f>'7'!BF25</f>
        <v>1</v>
      </c>
      <c r="AD175" s="17">
        <f t="shared" si="165"/>
        <v>181.443675811368</v>
      </c>
      <c r="AE175" s="19">
        <f t="shared" si="166"/>
        <v>-473.060627633591</v>
      </c>
      <c r="AF175" s="2">
        <f t="shared" si="167"/>
        <v>104</v>
      </c>
      <c r="AG175" s="2">
        <f>'7'!BH25</f>
        <v>104</v>
      </c>
    </row>
    <row r="176" spans="1:33">
      <c r="A176" s="10">
        <v>46119</v>
      </c>
      <c r="B176" s="11" t="s">
        <v>3357</v>
      </c>
      <c r="C176" s="11" t="s">
        <v>3265</v>
      </c>
      <c r="D176" s="12" t="s">
        <v>3311</v>
      </c>
      <c r="E176" s="13">
        <f>SUMIFS(卸车数据!$J$6:$J$1048576,卸车数据!$R$6:$R$1048576,"&gt;="&amp;A176+TIME(23,0,0),卸车数据!$R$6:$R$1048576,"&lt;"&amp;A176+TIME(0,0,0))</f>
        <v>0</v>
      </c>
      <c r="F176" s="13">
        <v>3544</v>
      </c>
      <c r="G176" s="14">
        <v>6535</v>
      </c>
      <c r="H176" s="15">
        <f t="shared" si="150"/>
        <v>2</v>
      </c>
      <c r="I176" s="15">
        <f t="shared" si="151"/>
        <v>44.0122222222222</v>
      </c>
      <c r="J176" s="15">
        <f>'7'!K26</f>
        <v>25</v>
      </c>
      <c r="K176" s="16">
        <f t="shared" si="152"/>
        <v>0</v>
      </c>
      <c r="L176" s="15">
        <f t="shared" si="170"/>
        <v>386.5</v>
      </c>
      <c r="M176" s="17">
        <f t="shared" si="154"/>
        <v>-386.5</v>
      </c>
      <c r="N176" s="15">
        <f>'7'!W26</f>
        <v>25</v>
      </c>
      <c r="O176" s="16">
        <f t="shared" si="155"/>
        <v>261.4</v>
      </c>
      <c r="P176" s="15">
        <f t="shared" si="156"/>
        <v>0.06859</v>
      </c>
      <c r="Q176" s="17">
        <f t="shared" si="157"/>
        <v>421.341511</v>
      </c>
      <c r="R176" s="15">
        <f t="shared" si="171"/>
        <v>430.44</v>
      </c>
      <c r="S176" s="17">
        <f t="shared" si="159"/>
        <v>-9.09848900000003</v>
      </c>
      <c r="T176" s="15">
        <f>'7'!AG26+'7'!AR26</f>
        <v>46</v>
      </c>
      <c r="U176" s="16">
        <f t="shared" si="160"/>
        <v>77.0434782608696</v>
      </c>
      <c r="V176" s="15">
        <f t="shared" si="161"/>
        <v>0.276355</v>
      </c>
      <c r="W176" s="17">
        <f t="shared" si="162"/>
        <v>920.6379928</v>
      </c>
      <c r="X176" s="15">
        <f t="shared" si="163"/>
        <v>758.46</v>
      </c>
      <c r="Y176" s="17">
        <f t="shared" si="164"/>
        <v>162.1779928</v>
      </c>
      <c r="Z176" s="18">
        <f>'7'!BA26</f>
        <v>4</v>
      </c>
      <c r="AA176" s="18">
        <f>'7'!BD26</f>
        <v>3</v>
      </c>
      <c r="AB176" s="18">
        <f>'7'!BE26</f>
        <v>0</v>
      </c>
      <c r="AC176" s="18">
        <f>'7'!BF26</f>
        <v>1</v>
      </c>
      <c r="AD176" s="17">
        <f t="shared" si="165"/>
        <v>181.443675811368</v>
      </c>
      <c r="AE176" s="19">
        <f t="shared" si="166"/>
        <v>-458.876394233591</v>
      </c>
      <c r="AF176" s="2">
        <f t="shared" si="167"/>
        <v>104</v>
      </c>
      <c r="AG176" s="2">
        <f>'7'!BH26</f>
        <v>104</v>
      </c>
    </row>
    <row r="177" spans="1:33">
      <c r="AE177" s="19">
        <f>SUM(AE153:AE176)</f>
        <v>-6583.30419873352</v>
      </c>
    </row>
    <row r="178" spans="1:33">
      <c r="A178" s="10">
        <v>46120</v>
      </c>
      <c r="B178" s="11" t="s">
        <v>3264</v>
      </c>
      <c r="C178" s="11" t="s">
        <v>3265</v>
      </c>
      <c r="D178" s="12" t="s">
        <v>22</v>
      </c>
      <c r="E178" s="13">
        <f>SUMIFS(卸车数据!$J$6:$J$1048576,卸车数据!$R$6:$R$1048576,"&gt;="&amp;A178+TIME(0,0,0),卸车数据!$R$6:$R$1048576,"&lt;"&amp;A178+TIME(1,0,0))</f>
        <v>17371</v>
      </c>
      <c r="F178" s="13">
        <v>2061</v>
      </c>
      <c r="G178" s="14">
        <v>4806</v>
      </c>
      <c r="H178" s="15">
        <f t="shared" ref="H178:H201" si="172">IF(C178="夜班",2,4)</f>
        <v>2</v>
      </c>
      <c r="I178" s="15">
        <f t="shared" ref="I178:I201" si="173">IF(H178=2,21.79+16000/30/24,25.75+12000/30/24*2+30000/30/24)</f>
        <v>44.0122222222222</v>
      </c>
      <c r="J178" s="15">
        <f>'8'!K3</f>
        <v>15</v>
      </c>
      <c r="K178" s="16">
        <f t="shared" ref="K178:K201" si="174">E178/J178</f>
        <v>1158.06666666667</v>
      </c>
      <c r="L178" s="15">
        <f t="shared" ref="L178:L184" si="175">J178*14.62+21</f>
        <v>240.3</v>
      </c>
      <c r="M178" s="17">
        <f t="shared" ref="M178:M201" si="176">0-L178</f>
        <v>-240.3</v>
      </c>
      <c r="N178" s="15">
        <f>'8'!W3</f>
        <v>25</v>
      </c>
      <c r="O178" s="16">
        <f t="shared" ref="O178:O201" si="177">G178/N178</f>
        <v>192.24</v>
      </c>
      <c r="P178" s="15">
        <f t="shared" ref="P178:P201" si="178">0.0722*0.95</f>
        <v>0.06859</v>
      </c>
      <c r="Q178" s="17">
        <f t="shared" ref="Q178:Q201" si="179">P178*G178*0.94</f>
        <v>309.8649276</v>
      </c>
      <c r="R178" s="15">
        <f t="shared" ref="R178:R184" si="180">(N178-13)*14.62+13*18+21</f>
        <v>430.44</v>
      </c>
      <c r="S178" s="17">
        <f t="shared" ref="S178:S201" si="181">Q178-R178</f>
        <v>-120.5750724</v>
      </c>
      <c r="T178" s="15">
        <f>'8'!AG3+'8'!AR3</f>
        <v>47</v>
      </c>
      <c r="U178" s="16">
        <f t="shared" ref="U178:U201" si="182">F178/T178</f>
        <v>43.8510638297872</v>
      </c>
      <c r="V178" s="15">
        <f t="shared" ref="V178:V201" si="183">0.2909*0.95</f>
        <v>0.276355</v>
      </c>
      <c r="W178" s="17">
        <f t="shared" ref="W178:W201" si="184">V178*F178*0.94</f>
        <v>535.3935957</v>
      </c>
      <c r="X178" s="15">
        <f t="shared" ref="X178:X201" si="185">(T178-13)*14.62+13*18+42</f>
        <v>773.08</v>
      </c>
      <c r="Y178" s="17">
        <f t="shared" ref="Y178:Y201" si="186">W178-X178</f>
        <v>-237.6864043</v>
      </c>
      <c r="Z178" s="18">
        <f>'8'!BA3</f>
        <v>4</v>
      </c>
      <c r="AA178" s="18">
        <f>'8'!BD3</f>
        <v>3</v>
      </c>
      <c r="AB178" s="18">
        <f>'8'!BE3</f>
        <v>0</v>
      </c>
      <c r="AC178" s="18">
        <f>'8'!BF3</f>
        <v>0</v>
      </c>
      <c r="AD178" s="17">
        <f>(Z178-1)*14.62+(9000/26/13)+(AA178-1)*14.54+7500/26/11+AB178*(4200/26/9)+AC178*(4000/26/11)</f>
        <v>125.790995158687</v>
      </c>
      <c r="AE178" s="19">
        <f t="shared" ref="AE178:AE201" si="187">M178+S178+Y178-I178-AD178</f>
        <v>-768.36469408091</v>
      </c>
      <c r="AF178" s="2">
        <f t="shared" ref="AF178:AF201" si="188">AB178+AA178+Z178+T178+N178+J178+AC178</f>
        <v>94</v>
      </c>
      <c r="AG178" s="2">
        <f>'8'!BH3</f>
        <v>94</v>
      </c>
    </row>
    <row r="179" spans="1:33">
      <c r="A179" s="10">
        <v>46120</v>
      </c>
      <c r="B179" s="11" t="s">
        <v>3268</v>
      </c>
      <c r="C179" s="11" t="s">
        <v>3265</v>
      </c>
      <c r="D179" s="12" t="s">
        <v>22</v>
      </c>
      <c r="E179" s="13">
        <f>SUMIFS(卸车数据!$J$6:$J$1048576,卸车数据!$R$6:$R$1048576,"&gt;="&amp;A179+TIME(1,0,0),卸车数据!$R$6:$R$1048576,"&lt;"&amp;A179+TIME(2,0,0))</f>
        <v>0</v>
      </c>
      <c r="F179" s="13">
        <v>3609</v>
      </c>
      <c r="G179" s="14">
        <v>13761</v>
      </c>
      <c r="H179" s="15">
        <f t="shared" si="172"/>
        <v>2</v>
      </c>
      <c r="I179" s="15">
        <f t="shared" si="173"/>
        <v>44.0122222222222</v>
      </c>
      <c r="J179" s="15">
        <f>'8'!K4</f>
        <v>15</v>
      </c>
      <c r="K179" s="16">
        <f t="shared" si="174"/>
        <v>0</v>
      </c>
      <c r="L179" s="15">
        <f t="shared" si="175"/>
        <v>240.3</v>
      </c>
      <c r="M179" s="17">
        <f t="shared" si="176"/>
        <v>-240.3</v>
      </c>
      <c r="N179" s="15">
        <f>'8'!W4</f>
        <v>25</v>
      </c>
      <c r="O179" s="16">
        <f t="shared" si="177"/>
        <v>550.44</v>
      </c>
      <c r="P179" s="15">
        <f t="shared" si="178"/>
        <v>0.06859</v>
      </c>
      <c r="Q179" s="17">
        <f t="shared" si="179"/>
        <v>887.2349706</v>
      </c>
      <c r="R179" s="15">
        <f t="shared" si="180"/>
        <v>430.44</v>
      </c>
      <c r="S179" s="17">
        <f t="shared" si="181"/>
        <v>456.7949706</v>
      </c>
      <c r="T179" s="15">
        <f>'8'!AG4+'8'!AR4</f>
        <v>47</v>
      </c>
      <c r="U179" s="16">
        <f t="shared" si="182"/>
        <v>76.7872340425532</v>
      </c>
      <c r="V179" s="15">
        <f t="shared" si="183"/>
        <v>0.276355</v>
      </c>
      <c r="W179" s="17">
        <f t="shared" si="184"/>
        <v>937.5232833</v>
      </c>
      <c r="X179" s="15">
        <f t="shared" si="185"/>
        <v>773.08</v>
      </c>
      <c r="Y179" s="17">
        <f t="shared" si="186"/>
        <v>164.4432833</v>
      </c>
      <c r="Z179" s="18">
        <f>'8'!BA4</f>
        <v>4</v>
      </c>
      <c r="AA179" s="18">
        <f>'8'!BD4</f>
        <v>3</v>
      </c>
      <c r="AB179" s="18">
        <f>'8'!BE4</f>
        <v>0</v>
      </c>
      <c r="AC179" s="18">
        <f>'8'!BF4</f>
        <v>0</v>
      </c>
      <c r="AD179" s="17">
        <f t="shared" ref="AD179:AD201" si="189">(Z179-1)*14.62+(9000/26/13)+(AA179-1)*14.54+7500/26/11+AB179*(4200/26/9)+AC179*(4000/26/11)</f>
        <v>125.790995158687</v>
      </c>
      <c r="AE179" s="19">
        <f t="shared" si="187"/>
        <v>211.13503651909</v>
      </c>
      <c r="AF179" s="2">
        <f t="shared" si="188"/>
        <v>94</v>
      </c>
      <c r="AG179" s="2">
        <f>'8'!BH4</f>
        <v>94</v>
      </c>
    </row>
    <row r="180" spans="1:33">
      <c r="A180" s="10">
        <v>46120</v>
      </c>
      <c r="B180" s="11" t="s">
        <v>3270</v>
      </c>
      <c r="C180" s="11" t="s">
        <v>3265</v>
      </c>
      <c r="D180" s="12" t="s">
        <v>22</v>
      </c>
      <c r="E180" s="13">
        <f>SUMIFS(卸车数据!$J$6:$J$1048576,卸车数据!$R$6:$R$1048576,"&gt;="&amp;A180+TIME(2,0,0),卸车数据!$R$6:$R$1048576,"&lt;"&amp;A180+TIME(3,0,0))</f>
        <v>0</v>
      </c>
      <c r="F180" s="13">
        <v>1236</v>
      </c>
      <c r="G180" s="14">
        <v>12311</v>
      </c>
      <c r="H180" s="15">
        <f t="shared" si="172"/>
        <v>2</v>
      </c>
      <c r="I180" s="15">
        <f t="shared" si="173"/>
        <v>44.0122222222222</v>
      </c>
      <c r="J180" s="15">
        <f>'8'!K5</f>
        <v>15</v>
      </c>
      <c r="K180" s="16">
        <f t="shared" si="174"/>
        <v>0</v>
      </c>
      <c r="L180" s="15">
        <f t="shared" si="175"/>
        <v>240.3</v>
      </c>
      <c r="M180" s="17">
        <f t="shared" si="176"/>
        <v>-240.3</v>
      </c>
      <c r="N180" s="15">
        <f>'8'!W5</f>
        <v>25</v>
      </c>
      <c r="O180" s="16">
        <f t="shared" si="177"/>
        <v>492.44</v>
      </c>
      <c r="P180" s="15">
        <f t="shared" si="178"/>
        <v>0.06859</v>
      </c>
      <c r="Q180" s="17">
        <f t="shared" si="179"/>
        <v>793.7468006</v>
      </c>
      <c r="R180" s="15">
        <f t="shared" si="180"/>
        <v>430.44</v>
      </c>
      <c r="S180" s="17">
        <f t="shared" si="181"/>
        <v>363.3068006</v>
      </c>
      <c r="T180" s="15">
        <f>'8'!AG5+'8'!AR5</f>
        <v>47</v>
      </c>
      <c r="U180" s="16">
        <f t="shared" si="182"/>
        <v>26.2978723404255</v>
      </c>
      <c r="V180" s="15">
        <f t="shared" si="183"/>
        <v>0.276355</v>
      </c>
      <c r="W180" s="17">
        <f t="shared" si="184"/>
        <v>321.0802932</v>
      </c>
      <c r="X180" s="15">
        <f t="shared" si="185"/>
        <v>773.08</v>
      </c>
      <c r="Y180" s="17">
        <f t="shared" si="186"/>
        <v>-451.9997068</v>
      </c>
      <c r="Z180" s="18">
        <f>'8'!BA5</f>
        <v>4</v>
      </c>
      <c r="AA180" s="18">
        <f>'8'!BD5</f>
        <v>3</v>
      </c>
      <c r="AB180" s="18">
        <f>'8'!BE5</f>
        <v>0</v>
      </c>
      <c r="AC180" s="18">
        <f>'8'!BF5</f>
        <v>0</v>
      </c>
      <c r="AD180" s="17">
        <f t="shared" si="189"/>
        <v>125.790995158687</v>
      </c>
      <c r="AE180" s="19">
        <f t="shared" si="187"/>
        <v>-498.79612358091</v>
      </c>
      <c r="AF180" s="2">
        <f t="shared" si="188"/>
        <v>94</v>
      </c>
      <c r="AG180" s="2">
        <f>'8'!BH5</f>
        <v>94</v>
      </c>
    </row>
    <row r="181" spans="1:33">
      <c r="A181" s="10">
        <v>46120</v>
      </c>
      <c r="B181" s="11" t="s">
        <v>3273</v>
      </c>
      <c r="C181" s="11" t="s">
        <v>3265</v>
      </c>
      <c r="D181" s="12" t="s">
        <v>22</v>
      </c>
      <c r="E181" s="13">
        <f>SUMIFS(卸车数据!$J$6:$J$1048576,卸车数据!$R$6:$R$1048576,"&gt;="&amp;A181+TIME(3,0,0),卸车数据!$R$6:$R$1048576,"&lt;"&amp;A181+TIME(4,0,0))</f>
        <v>1931</v>
      </c>
      <c r="F181" s="13">
        <v>2544</v>
      </c>
      <c r="G181" s="14">
        <v>10964</v>
      </c>
      <c r="H181" s="15">
        <f t="shared" si="172"/>
        <v>2</v>
      </c>
      <c r="I181" s="15">
        <f t="shared" si="173"/>
        <v>44.0122222222222</v>
      </c>
      <c r="J181" s="15">
        <f>'8'!K6</f>
        <v>15</v>
      </c>
      <c r="K181" s="16">
        <f t="shared" si="174"/>
        <v>128.733333333333</v>
      </c>
      <c r="L181" s="15">
        <f t="shared" si="175"/>
        <v>240.3</v>
      </c>
      <c r="M181" s="17">
        <f t="shared" si="176"/>
        <v>-240.3</v>
      </c>
      <c r="N181" s="15">
        <f>'8'!W6</f>
        <v>18</v>
      </c>
      <c r="O181" s="16">
        <f t="shared" si="177"/>
        <v>609.111111111111</v>
      </c>
      <c r="P181" s="15">
        <f t="shared" si="178"/>
        <v>0.06859</v>
      </c>
      <c r="Q181" s="17">
        <f t="shared" si="179"/>
        <v>706.8995144</v>
      </c>
      <c r="R181" s="15">
        <f t="shared" si="180"/>
        <v>328.1</v>
      </c>
      <c r="S181" s="17">
        <f t="shared" si="181"/>
        <v>378.7995144</v>
      </c>
      <c r="T181" s="15">
        <f>'8'!AG6+'8'!AR6</f>
        <v>54</v>
      </c>
      <c r="U181" s="16">
        <f t="shared" si="182"/>
        <v>47.1111111111111</v>
      </c>
      <c r="V181" s="15">
        <f t="shared" si="183"/>
        <v>0.276355</v>
      </c>
      <c r="W181" s="17">
        <f t="shared" si="184"/>
        <v>660.8642928</v>
      </c>
      <c r="X181" s="15">
        <f t="shared" si="185"/>
        <v>875.42</v>
      </c>
      <c r="Y181" s="17">
        <f t="shared" si="186"/>
        <v>-214.5557072</v>
      </c>
      <c r="Z181" s="18">
        <f>'8'!BA6</f>
        <v>4</v>
      </c>
      <c r="AA181" s="18">
        <f>'8'!BD6</f>
        <v>3</v>
      </c>
      <c r="AB181" s="18">
        <f>'8'!BE6</f>
        <v>0</v>
      </c>
      <c r="AC181" s="18">
        <f>'8'!BF6</f>
        <v>0</v>
      </c>
      <c r="AD181" s="17">
        <f t="shared" si="189"/>
        <v>125.790995158687</v>
      </c>
      <c r="AE181" s="19">
        <f t="shared" si="187"/>
        <v>-245.85941018091</v>
      </c>
      <c r="AF181" s="2">
        <f t="shared" si="188"/>
        <v>94</v>
      </c>
      <c r="AG181" s="2">
        <f>'8'!BH6</f>
        <v>94</v>
      </c>
    </row>
    <row r="182" spans="1:33">
      <c r="A182" s="10">
        <v>46120</v>
      </c>
      <c r="B182" s="11" t="s">
        <v>3280</v>
      </c>
      <c r="C182" s="11" t="s">
        <v>3265</v>
      </c>
      <c r="D182" s="12" t="s">
        <v>22</v>
      </c>
      <c r="E182" s="13">
        <f>SUMIFS(卸车数据!$J$6:$J$1048576,卸车数据!$R$6:$R$1048576,"&gt;="&amp;A182+TIME(4,0,0),卸车数据!$R$6:$R$1048576,"&lt;"&amp;A182+TIME(5,0,0))</f>
        <v>3944</v>
      </c>
      <c r="F182" s="13">
        <v>2088</v>
      </c>
      <c r="G182" s="14">
        <v>131</v>
      </c>
      <c r="H182" s="15">
        <f t="shared" si="172"/>
        <v>2</v>
      </c>
      <c r="I182" s="15">
        <f t="shared" si="173"/>
        <v>44.0122222222222</v>
      </c>
      <c r="J182" s="15">
        <f>'8'!K7</f>
        <v>15</v>
      </c>
      <c r="K182" s="16">
        <f t="shared" si="174"/>
        <v>262.933333333333</v>
      </c>
      <c r="L182" s="15">
        <f t="shared" si="175"/>
        <v>240.3</v>
      </c>
      <c r="M182" s="17">
        <f t="shared" si="176"/>
        <v>-240.3</v>
      </c>
      <c r="N182" s="15">
        <f>'8'!W7</f>
        <v>25</v>
      </c>
      <c r="O182" s="16">
        <f t="shared" si="177"/>
        <v>5.24</v>
      </c>
      <c r="P182" s="15">
        <f t="shared" si="178"/>
        <v>0.06859</v>
      </c>
      <c r="Q182" s="17">
        <f t="shared" si="179"/>
        <v>8.4461726</v>
      </c>
      <c r="R182" s="15">
        <f t="shared" si="180"/>
        <v>430.44</v>
      </c>
      <c r="S182" s="17">
        <f t="shared" si="181"/>
        <v>-421.9938274</v>
      </c>
      <c r="T182" s="15">
        <f>'8'!AG7+'8'!AR7</f>
        <v>47</v>
      </c>
      <c r="U182" s="16">
        <f t="shared" si="182"/>
        <v>44.4255319148936</v>
      </c>
      <c r="V182" s="15">
        <f t="shared" si="183"/>
        <v>0.276355</v>
      </c>
      <c r="W182" s="17">
        <f t="shared" si="184"/>
        <v>542.4074856</v>
      </c>
      <c r="X182" s="15">
        <f t="shared" si="185"/>
        <v>773.08</v>
      </c>
      <c r="Y182" s="17">
        <f t="shared" si="186"/>
        <v>-230.6725144</v>
      </c>
      <c r="Z182" s="18">
        <f>'8'!BA7</f>
        <v>4</v>
      </c>
      <c r="AA182" s="18">
        <f>'8'!BD7</f>
        <v>3</v>
      </c>
      <c r="AB182" s="18">
        <f>'8'!BE7</f>
        <v>0</v>
      </c>
      <c r="AC182" s="18">
        <f>'8'!BF7</f>
        <v>0</v>
      </c>
      <c r="AD182" s="17">
        <f t="shared" si="189"/>
        <v>125.790995158687</v>
      </c>
      <c r="AE182" s="19">
        <f t="shared" si="187"/>
        <v>-1062.76955918091</v>
      </c>
      <c r="AF182" s="2">
        <f t="shared" si="188"/>
        <v>94</v>
      </c>
      <c r="AG182" s="2">
        <f>'8'!BH7</f>
        <v>94</v>
      </c>
    </row>
    <row r="183" spans="1:33">
      <c r="A183" s="10">
        <v>46120</v>
      </c>
      <c r="B183" s="11" t="s">
        <v>3283</v>
      </c>
      <c r="C183" s="11" t="s">
        <v>3265</v>
      </c>
      <c r="D183" s="12" t="s">
        <v>22</v>
      </c>
      <c r="E183" s="13">
        <f>SUMIFS(卸车数据!$J$6:$J$1048576,卸车数据!$R$6:$R$1048576,"&gt;="&amp;A183+TIME(5,0,0),卸车数据!$R$6:$R$1048576,"&lt;"&amp;A183+TIME(6,0,0))</f>
        <v>265</v>
      </c>
      <c r="F183" s="13">
        <v>985</v>
      </c>
      <c r="G183" s="14">
        <v>147</v>
      </c>
      <c r="H183" s="15">
        <f t="shared" si="172"/>
        <v>2</v>
      </c>
      <c r="I183" s="15">
        <f t="shared" si="173"/>
        <v>44.0122222222222</v>
      </c>
      <c r="J183" s="15">
        <f>'8'!K8</f>
        <v>15</v>
      </c>
      <c r="K183" s="16">
        <f t="shared" si="174"/>
        <v>17.6666666666667</v>
      </c>
      <c r="L183" s="15">
        <f t="shared" si="175"/>
        <v>240.3</v>
      </c>
      <c r="M183" s="17">
        <f t="shared" si="176"/>
        <v>-240.3</v>
      </c>
      <c r="N183" s="15">
        <f>'8'!W8</f>
        <v>25</v>
      </c>
      <c r="O183" s="16">
        <f t="shared" si="177"/>
        <v>5.88</v>
      </c>
      <c r="P183" s="15">
        <f t="shared" si="178"/>
        <v>0.06859</v>
      </c>
      <c r="Q183" s="17">
        <f t="shared" si="179"/>
        <v>9.4777662</v>
      </c>
      <c r="R183" s="15">
        <f t="shared" si="180"/>
        <v>430.44</v>
      </c>
      <c r="S183" s="17">
        <f t="shared" si="181"/>
        <v>-420.9622338</v>
      </c>
      <c r="T183" s="15">
        <f>'8'!AG8+'8'!AR8</f>
        <v>47</v>
      </c>
      <c r="U183" s="16">
        <f t="shared" si="182"/>
        <v>20.9574468085106</v>
      </c>
      <c r="V183" s="15">
        <f t="shared" si="183"/>
        <v>0.276355</v>
      </c>
      <c r="W183" s="17">
        <f t="shared" si="184"/>
        <v>255.8770945</v>
      </c>
      <c r="X183" s="15">
        <f t="shared" si="185"/>
        <v>773.08</v>
      </c>
      <c r="Y183" s="17">
        <f t="shared" si="186"/>
        <v>-517.2029055</v>
      </c>
      <c r="Z183" s="18">
        <f>'8'!BA8</f>
        <v>4</v>
      </c>
      <c r="AA183" s="18">
        <f>'8'!BD8</f>
        <v>3</v>
      </c>
      <c r="AB183" s="18">
        <f>'8'!BE8</f>
        <v>0</v>
      </c>
      <c r="AC183" s="18">
        <f>'8'!BF8</f>
        <v>0</v>
      </c>
      <c r="AD183" s="17">
        <f t="shared" si="189"/>
        <v>125.790995158687</v>
      </c>
      <c r="AE183" s="19">
        <f t="shared" si="187"/>
        <v>-1348.26835668091</v>
      </c>
      <c r="AF183" s="2">
        <f t="shared" si="188"/>
        <v>94</v>
      </c>
      <c r="AG183" s="2">
        <f>'8'!BH8</f>
        <v>94</v>
      </c>
    </row>
    <row r="184" spans="1:33">
      <c r="A184" s="10">
        <v>46120</v>
      </c>
      <c r="B184" s="11" t="s">
        <v>3286</v>
      </c>
      <c r="C184" s="11" t="s">
        <v>3265</v>
      </c>
      <c r="D184" s="12" t="s">
        <v>22</v>
      </c>
      <c r="E184" s="13">
        <f>SUMIFS(卸车数据!$J$6:$J$1048576,卸车数据!$R$6:$R$1048576,"&gt;="&amp;A184+TIME(6,0,0),卸车数据!$R$6:$R$1048576,"&lt;"&amp;A184+TIME(7,0,0))</f>
        <v>810</v>
      </c>
      <c r="F184" s="13">
        <v>2651</v>
      </c>
      <c r="G184" s="14">
        <v>6035</v>
      </c>
      <c r="H184" s="15">
        <f t="shared" si="172"/>
        <v>2</v>
      </c>
      <c r="I184" s="15">
        <f t="shared" si="173"/>
        <v>44.0122222222222</v>
      </c>
      <c r="J184" s="15">
        <f>'8'!K9</f>
        <v>15</v>
      </c>
      <c r="K184" s="16">
        <f t="shared" si="174"/>
        <v>54</v>
      </c>
      <c r="L184" s="15">
        <f t="shared" si="175"/>
        <v>240.3</v>
      </c>
      <c r="M184" s="17">
        <f t="shared" si="176"/>
        <v>-240.3</v>
      </c>
      <c r="N184" s="15">
        <f>'8'!W9</f>
        <v>25</v>
      </c>
      <c r="O184" s="16">
        <f t="shared" si="177"/>
        <v>241.4</v>
      </c>
      <c r="P184" s="15">
        <f t="shared" si="178"/>
        <v>0.06859</v>
      </c>
      <c r="Q184" s="17">
        <f t="shared" si="179"/>
        <v>389.104211</v>
      </c>
      <c r="R184" s="15">
        <f t="shared" si="180"/>
        <v>430.44</v>
      </c>
      <c r="S184" s="17">
        <f t="shared" si="181"/>
        <v>-41.335789</v>
      </c>
      <c r="T184" s="15">
        <f>'8'!AG9+'8'!AR9</f>
        <v>47</v>
      </c>
      <c r="U184" s="16">
        <f t="shared" si="182"/>
        <v>56.4042553191489</v>
      </c>
      <c r="V184" s="15">
        <f t="shared" si="183"/>
        <v>0.276355</v>
      </c>
      <c r="W184" s="17">
        <f t="shared" si="184"/>
        <v>688.6600787</v>
      </c>
      <c r="X184" s="15">
        <f t="shared" si="185"/>
        <v>773.08</v>
      </c>
      <c r="Y184" s="17">
        <f t="shared" si="186"/>
        <v>-84.4199213000001</v>
      </c>
      <c r="Z184" s="18">
        <f>'8'!BA9</f>
        <v>4</v>
      </c>
      <c r="AA184" s="18">
        <f>'8'!BD9</f>
        <v>3</v>
      </c>
      <c r="AB184" s="18">
        <f>'8'!BE9</f>
        <v>0</v>
      </c>
      <c r="AC184" s="18">
        <f>'8'!BF9</f>
        <v>0</v>
      </c>
      <c r="AD184" s="17">
        <f t="shared" si="189"/>
        <v>125.790995158687</v>
      </c>
      <c r="AE184" s="19">
        <f t="shared" si="187"/>
        <v>-535.85892768091</v>
      </c>
      <c r="AF184" s="2">
        <f t="shared" si="188"/>
        <v>94</v>
      </c>
      <c r="AG184" s="2">
        <f>'8'!BH9</f>
        <v>94</v>
      </c>
    </row>
    <row r="185" spans="1:33">
      <c r="A185" s="10">
        <v>46120</v>
      </c>
      <c r="B185" s="11" t="s">
        <v>3288</v>
      </c>
      <c r="C185" s="11" t="s">
        <v>3289</v>
      </c>
      <c r="D185" s="12" t="s">
        <v>22</v>
      </c>
      <c r="E185" s="13">
        <f>SUMIFS(卸车数据!$J$6:$J$1048576,卸车数据!$R$6:$R$1048576,"&gt;="&amp;A185+TIME(7,0,0),卸车数据!$R$6:$R$1048576,"&lt;"&amp;A185+TIME(8,0,0))</f>
        <v>1012</v>
      </c>
      <c r="F185" s="13">
        <v>2386</v>
      </c>
      <c r="G185" s="14">
        <v>4536</v>
      </c>
      <c r="H185" s="15">
        <f t="shared" si="172"/>
        <v>4</v>
      </c>
      <c r="I185" s="15">
        <f t="shared" si="173"/>
        <v>100.75</v>
      </c>
      <c r="J185" s="15">
        <f>'8'!K10</f>
        <v>9</v>
      </c>
      <c r="K185" s="16">
        <f t="shared" si="174"/>
        <v>112.444444444444</v>
      </c>
      <c r="L185" s="15">
        <f t="shared" ref="L185:L195" si="190">J185*14.54+21</f>
        <v>151.86</v>
      </c>
      <c r="M185" s="17">
        <f t="shared" si="176"/>
        <v>-151.86</v>
      </c>
      <c r="N185" s="15">
        <f>'8'!W10</f>
        <v>12</v>
      </c>
      <c r="O185" s="16">
        <f t="shared" si="177"/>
        <v>378</v>
      </c>
      <c r="P185" s="15">
        <f t="shared" si="178"/>
        <v>0.06859</v>
      </c>
      <c r="Q185" s="17">
        <f t="shared" si="179"/>
        <v>292.4567856</v>
      </c>
      <c r="R185" s="15">
        <f t="shared" ref="R185:R195" si="191">N185*14.54+21</f>
        <v>195.48</v>
      </c>
      <c r="S185" s="17">
        <f t="shared" si="181"/>
        <v>96.9767856</v>
      </c>
      <c r="T185" s="15">
        <f>'8'!AG10+'8'!AR10</f>
        <v>32</v>
      </c>
      <c r="U185" s="16">
        <f t="shared" si="182"/>
        <v>74.5625</v>
      </c>
      <c r="V185" s="15">
        <f t="shared" si="183"/>
        <v>0.276355</v>
      </c>
      <c r="W185" s="17">
        <f t="shared" si="184"/>
        <v>619.8200482</v>
      </c>
      <c r="X185" s="15">
        <f t="shared" si="185"/>
        <v>553.78</v>
      </c>
      <c r="Y185" s="17">
        <f t="shared" si="186"/>
        <v>66.0400482</v>
      </c>
      <c r="Z185" s="18">
        <f>'8'!BA10</f>
        <v>0</v>
      </c>
      <c r="AA185" s="18">
        <f>'8'!BD10</f>
        <v>2</v>
      </c>
      <c r="AB185" s="18">
        <f>'8'!BE10</f>
        <v>1</v>
      </c>
      <c r="AC185" s="18">
        <f>'8'!BF10</f>
        <v>0</v>
      </c>
      <c r="AD185" s="17">
        <f t="shared" si="189"/>
        <v>70.7197131074054</v>
      </c>
      <c r="AE185" s="19">
        <f t="shared" si="187"/>
        <v>-160.312879307405</v>
      </c>
      <c r="AF185" s="2">
        <f t="shared" si="188"/>
        <v>56</v>
      </c>
      <c r="AG185" s="2">
        <f>'8'!BH10</f>
        <v>56</v>
      </c>
    </row>
    <row r="186" spans="1:33">
      <c r="A186" s="10">
        <v>46120</v>
      </c>
      <c r="B186" s="11" t="s">
        <v>3297</v>
      </c>
      <c r="C186" s="11" t="s">
        <v>3289</v>
      </c>
      <c r="D186" s="12" t="s">
        <v>22</v>
      </c>
      <c r="E186" s="13">
        <f>SUMIFS(卸车数据!$J$6:$J$1048576,卸车数据!$R$6:$R$1048576,"&gt;="&amp;A186+TIME(8,0,0),卸车数据!$R$6:$R$1048576,"&lt;"&amp;A186+TIME(9,0,0))</f>
        <v>1735</v>
      </c>
      <c r="F186" s="13">
        <v>406</v>
      </c>
      <c r="G186" s="14">
        <v>2838</v>
      </c>
      <c r="H186" s="15">
        <f t="shared" si="172"/>
        <v>4</v>
      </c>
      <c r="I186" s="15">
        <f t="shared" si="173"/>
        <v>100.75</v>
      </c>
      <c r="J186" s="15">
        <f>'8'!K11</f>
        <v>9</v>
      </c>
      <c r="K186" s="16">
        <f t="shared" si="174"/>
        <v>192.777777777778</v>
      </c>
      <c r="L186" s="15">
        <f t="shared" si="190"/>
        <v>151.86</v>
      </c>
      <c r="M186" s="17">
        <f t="shared" si="176"/>
        <v>-151.86</v>
      </c>
      <c r="N186" s="15">
        <f>'8'!W11</f>
        <v>12</v>
      </c>
      <c r="O186" s="16">
        <f t="shared" si="177"/>
        <v>236.5</v>
      </c>
      <c r="P186" s="15">
        <f t="shared" si="178"/>
        <v>0.06859</v>
      </c>
      <c r="Q186" s="17">
        <f t="shared" si="179"/>
        <v>182.9789148</v>
      </c>
      <c r="R186" s="15">
        <f t="shared" si="191"/>
        <v>195.48</v>
      </c>
      <c r="S186" s="17">
        <f t="shared" si="181"/>
        <v>-12.5010852</v>
      </c>
      <c r="T186" s="15">
        <f>'8'!AG11+'8'!AR11</f>
        <v>32</v>
      </c>
      <c r="U186" s="16">
        <f t="shared" si="182"/>
        <v>12.6875</v>
      </c>
      <c r="V186" s="15">
        <f t="shared" si="183"/>
        <v>0.276355</v>
      </c>
      <c r="W186" s="17">
        <f t="shared" si="184"/>
        <v>105.4681222</v>
      </c>
      <c r="X186" s="15">
        <f t="shared" si="185"/>
        <v>553.78</v>
      </c>
      <c r="Y186" s="17">
        <f t="shared" si="186"/>
        <v>-448.3118778</v>
      </c>
      <c r="Z186" s="18">
        <f>'8'!BA11</f>
        <v>0</v>
      </c>
      <c r="AA186" s="18">
        <f>'8'!BD11</f>
        <v>2</v>
      </c>
      <c r="AB186" s="18">
        <f>'8'!BE11</f>
        <v>1</v>
      </c>
      <c r="AC186" s="18">
        <f>'8'!BF11</f>
        <v>0</v>
      </c>
      <c r="AD186" s="17">
        <f t="shared" si="189"/>
        <v>70.7197131074054</v>
      </c>
      <c r="AE186" s="19">
        <f t="shared" si="187"/>
        <v>-784.142676107405</v>
      </c>
      <c r="AF186" s="2">
        <f t="shared" si="188"/>
        <v>56</v>
      </c>
      <c r="AG186" s="2">
        <f>'8'!BH11</f>
        <v>56</v>
      </c>
    </row>
    <row r="187" spans="1:33">
      <c r="A187" s="10">
        <v>46120</v>
      </c>
      <c r="B187" s="11" t="s">
        <v>3302</v>
      </c>
      <c r="C187" s="11" t="s">
        <v>3289</v>
      </c>
      <c r="D187" s="12" t="s">
        <v>22</v>
      </c>
      <c r="E187" s="13">
        <f>SUMIFS(卸车数据!$J$6:$J$1048576,卸车数据!$R$6:$R$1048576,"&gt;="&amp;A187+TIME(9,0,0),卸车数据!$R$6:$R$1048576,"&lt;"&amp;A187+TIME(10,0,0))</f>
        <v>3817</v>
      </c>
      <c r="F187" s="13">
        <v>2756</v>
      </c>
      <c r="G187" s="14">
        <v>9419</v>
      </c>
      <c r="H187" s="15">
        <f t="shared" si="172"/>
        <v>4</v>
      </c>
      <c r="I187" s="15">
        <f t="shared" si="173"/>
        <v>100.75</v>
      </c>
      <c r="J187" s="15">
        <f>'8'!K12</f>
        <v>12</v>
      </c>
      <c r="K187" s="16">
        <f t="shared" si="174"/>
        <v>318.083333333333</v>
      </c>
      <c r="L187" s="15">
        <f t="shared" si="190"/>
        <v>195.48</v>
      </c>
      <c r="M187" s="17">
        <f t="shared" si="176"/>
        <v>-195.48</v>
      </c>
      <c r="N187" s="15">
        <f>'8'!W12</f>
        <v>14</v>
      </c>
      <c r="O187" s="16">
        <f t="shared" si="177"/>
        <v>672.785714285714</v>
      </c>
      <c r="P187" s="15">
        <f t="shared" si="178"/>
        <v>0.06859</v>
      </c>
      <c r="Q187" s="17">
        <f t="shared" si="179"/>
        <v>607.2862574</v>
      </c>
      <c r="R187" s="15">
        <f t="shared" si="191"/>
        <v>224.56</v>
      </c>
      <c r="S187" s="17">
        <f t="shared" si="181"/>
        <v>382.7262574</v>
      </c>
      <c r="T187" s="15">
        <f>'8'!AG12+'8'!AR12</f>
        <v>27</v>
      </c>
      <c r="U187" s="16">
        <f t="shared" si="182"/>
        <v>102.074074074074</v>
      </c>
      <c r="V187" s="15">
        <f t="shared" si="183"/>
        <v>0.276355</v>
      </c>
      <c r="W187" s="17">
        <f t="shared" si="184"/>
        <v>715.9363172</v>
      </c>
      <c r="X187" s="15">
        <f t="shared" si="185"/>
        <v>480.68</v>
      </c>
      <c r="Y187" s="17">
        <f t="shared" si="186"/>
        <v>235.2563172</v>
      </c>
      <c r="Z187" s="18">
        <f>'8'!BA12</f>
        <v>0</v>
      </c>
      <c r="AA187" s="18">
        <f>'8'!BD12</f>
        <v>2</v>
      </c>
      <c r="AB187" s="18">
        <f>'8'!BE12</f>
        <v>1</v>
      </c>
      <c r="AC187" s="18">
        <f>'8'!BF12</f>
        <v>0</v>
      </c>
      <c r="AD187" s="17">
        <f t="shared" si="189"/>
        <v>70.7197131074054</v>
      </c>
      <c r="AE187" s="19">
        <f t="shared" si="187"/>
        <v>251.032861492594</v>
      </c>
      <c r="AF187" s="2">
        <f t="shared" si="188"/>
        <v>56</v>
      </c>
      <c r="AG187" s="2">
        <f>'8'!BH12</f>
        <v>56</v>
      </c>
    </row>
    <row r="188" spans="1:33">
      <c r="A188" s="10">
        <v>46120</v>
      </c>
      <c r="B188" s="11" t="s">
        <v>3306</v>
      </c>
      <c r="C188" s="11" t="s">
        <v>3289</v>
      </c>
      <c r="D188" s="12" t="s">
        <v>22</v>
      </c>
      <c r="E188" s="13">
        <f>SUMIFS(卸车数据!$J$6:$J$1048576,卸车数据!$R$6:$R$1048576,"&gt;="&amp;A188+TIME(10,0,0),卸车数据!$R$6:$R$1048576,"&lt;"&amp;A188+TIME(11,0,0))</f>
        <v>501</v>
      </c>
      <c r="F188" s="13">
        <v>162</v>
      </c>
      <c r="G188" s="14">
        <v>198</v>
      </c>
      <c r="H188" s="15">
        <f t="shared" si="172"/>
        <v>4</v>
      </c>
      <c r="I188" s="15">
        <f t="shared" si="173"/>
        <v>100.75</v>
      </c>
      <c r="J188" s="15">
        <f>'8'!K13</f>
        <v>12</v>
      </c>
      <c r="K188" s="16">
        <f t="shared" si="174"/>
        <v>41.75</v>
      </c>
      <c r="L188" s="15">
        <f t="shared" si="190"/>
        <v>195.48</v>
      </c>
      <c r="M188" s="17">
        <f t="shared" si="176"/>
        <v>-195.48</v>
      </c>
      <c r="N188" s="15">
        <f>'8'!W13</f>
        <v>14</v>
      </c>
      <c r="O188" s="16">
        <f t="shared" si="177"/>
        <v>14.1428571428571</v>
      </c>
      <c r="P188" s="15">
        <f t="shared" si="178"/>
        <v>0.06859</v>
      </c>
      <c r="Q188" s="17">
        <f t="shared" si="179"/>
        <v>12.7659708</v>
      </c>
      <c r="R188" s="15">
        <f t="shared" si="191"/>
        <v>224.56</v>
      </c>
      <c r="S188" s="17">
        <f t="shared" si="181"/>
        <v>-211.7940292</v>
      </c>
      <c r="T188" s="15">
        <f>'8'!AG13+'8'!AR13</f>
        <v>27</v>
      </c>
      <c r="U188" s="16">
        <f t="shared" si="182"/>
        <v>6</v>
      </c>
      <c r="V188" s="15">
        <f t="shared" si="183"/>
        <v>0.276355</v>
      </c>
      <c r="W188" s="17">
        <f t="shared" si="184"/>
        <v>42.0833394</v>
      </c>
      <c r="X188" s="15">
        <f t="shared" si="185"/>
        <v>480.68</v>
      </c>
      <c r="Y188" s="17">
        <f t="shared" si="186"/>
        <v>-438.5966606</v>
      </c>
      <c r="Z188" s="18">
        <f>'8'!BA13</f>
        <v>0</v>
      </c>
      <c r="AA188" s="18">
        <f>'8'!BD13</f>
        <v>2</v>
      </c>
      <c r="AB188" s="18">
        <f>'8'!BE13</f>
        <v>1</v>
      </c>
      <c r="AC188" s="18">
        <f>'8'!BF13</f>
        <v>0</v>
      </c>
      <c r="AD188" s="17">
        <f t="shared" si="189"/>
        <v>70.7197131074054</v>
      </c>
      <c r="AE188" s="19">
        <f t="shared" si="187"/>
        <v>-1017.34040290741</v>
      </c>
      <c r="AF188" s="2">
        <f t="shared" si="188"/>
        <v>56</v>
      </c>
      <c r="AG188" s="2">
        <f>'8'!BH13</f>
        <v>56</v>
      </c>
    </row>
    <row r="189" spans="1:33">
      <c r="A189" s="10">
        <v>46120</v>
      </c>
      <c r="B189" s="11" t="s">
        <v>3310</v>
      </c>
      <c r="C189" s="11" t="s">
        <v>3289</v>
      </c>
      <c r="D189" s="11" t="s">
        <v>3311</v>
      </c>
      <c r="E189" s="13">
        <f>SUMIFS(卸车数据!$J$6:$J$1048576,卸车数据!$R$6:$R$1048576,"&gt;="&amp;A189+TIME(11,0,0),卸车数据!$R$6:$R$1048576,"&lt;"&amp;A189+TIME(12,0,0))</f>
        <v>5783</v>
      </c>
      <c r="F189" s="13">
        <v>2079</v>
      </c>
      <c r="G189" s="14">
        <v>108</v>
      </c>
      <c r="H189" s="15">
        <f t="shared" si="172"/>
        <v>4</v>
      </c>
      <c r="I189" s="15">
        <f t="shared" si="173"/>
        <v>100.75</v>
      </c>
      <c r="J189" s="15">
        <f>'8'!K14</f>
        <v>13</v>
      </c>
      <c r="K189" s="16">
        <f t="shared" si="174"/>
        <v>444.846153846154</v>
      </c>
      <c r="L189" s="15">
        <f t="shared" si="190"/>
        <v>210.02</v>
      </c>
      <c r="M189" s="17">
        <f t="shared" si="176"/>
        <v>-210.02</v>
      </c>
      <c r="N189" s="15">
        <f>'8'!W14</f>
        <v>16</v>
      </c>
      <c r="O189" s="16">
        <f t="shared" si="177"/>
        <v>6.75</v>
      </c>
      <c r="P189" s="15">
        <f t="shared" si="178"/>
        <v>0.06859</v>
      </c>
      <c r="Q189" s="17">
        <f t="shared" si="179"/>
        <v>6.9632568</v>
      </c>
      <c r="R189" s="15">
        <f t="shared" si="191"/>
        <v>253.64</v>
      </c>
      <c r="S189" s="17">
        <f t="shared" si="181"/>
        <v>-246.6767432</v>
      </c>
      <c r="T189" s="15">
        <f>'8'!AG14+'8'!AR14</f>
        <v>30</v>
      </c>
      <c r="U189" s="16">
        <f t="shared" si="182"/>
        <v>69.3</v>
      </c>
      <c r="V189" s="15">
        <f t="shared" si="183"/>
        <v>0.276355</v>
      </c>
      <c r="W189" s="17">
        <f t="shared" si="184"/>
        <v>540.0695223</v>
      </c>
      <c r="X189" s="15">
        <f t="shared" si="185"/>
        <v>524.54</v>
      </c>
      <c r="Y189" s="17">
        <f t="shared" si="186"/>
        <v>15.5295222999999</v>
      </c>
      <c r="Z189" s="18">
        <f>'8'!BA14</f>
        <v>0</v>
      </c>
      <c r="AA189" s="18">
        <f>'8'!BD14</f>
        <v>2</v>
      </c>
      <c r="AB189" s="18">
        <f>'8'!BE14</f>
        <v>1</v>
      </c>
      <c r="AC189" s="18">
        <f>'8'!BF14</f>
        <v>0</v>
      </c>
      <c r="AD189" s="17">
        <f t="shared" si="189"/>
        <v>70.7197131074054</v>
      </c>
      <c r="AE189" s="19">
        <f t="shared" si="187"/>
        <v>-612.636934007405</v>
      </c>
      <c r="AF189" s="2">
        <f t="shared" si="188"/>
        <v>62</v>
      </c>
      <c r="AG189" s="2">
        <f>'8'!BH14</f>
        <v>62</v>
      </c>
    </row>
    <row r="190" spans="1:33">
      <c r="A190" s="10">
        <v>46120</v>
      </c>
      <c r="B190" s="11" t="s">
        <v>3318</v>
      </c>
      <c r="C190" s="11" t="s">
        <v>3289</v>
      </c>
      <c r="D190" s="11" t="s">
        <v>3319</v>
      </c>
      <c r="E190" s="13">
        <f>SUMIFS(卸车数据!$J$6:$J$1048576,卸车数据!$R$6:$R$1048576,"&gt;="&amp;A190+TIME(12,0,0),卸车数据!$R$6:$R$1048576,"&lt;"&amp;A190+TIME(13,0,0))</f>
        <v>15494</v>
      </c>
      <c r="F190" s="13">
        <v>6447</v>
      </c>
      <c r="G190" s="14">
        <v>15</v>
      </c>
      <c r="H190" s="15">
        <f t="shared" si="172"/>
        <v>4</v>
      </c>
      <c r="I190" s="15">
        <f t="shared" si="173"/>
        <v>100.75</v>
      </c>
      <c r="J190" s="15">
        <f>'8'!K15</f>
        <v>18</v>
      </c>
      <c r="K190" s="16">
        <f t="shared" si="174"/>
        <v>860.777777777778</v>
      </c>
      <c r="L190" s="15">
        <f t="shared" si="190"/>
        <v>282.72</v>
      </c>
      <c r="M190" s="17">
        <f t="shared" si="176"/>
        <v>-282.72</v>
      </c>
      <c r="N190" s="15">
        <f>'8'!W15</f>
        <v>4</v>
      </c>
      <c r="O190" s="16">
        <f t="shared" si="177"/>
        <v>3.75</v>
      </c>
      <c r="P190" s="15">
        <f t="shared" si="178"/>
        <v>0.06859</v>
      </c>
      <c r="Q190" s="17">
        <f t="shared" si="179"/>
        <v>0.967119</v>
      </c>
      <c r="R190" s="15">
        <f t="shared" si="191"/>
        <v>79.16</v>
      </c>
      <c r="S190" s="17">
        <f t="shared" si="181"/>
        <v>-78.192881</v>
      </c>
      <c r="T190" s="15">
        <f>'8'!AG15+'8'!AR15</f>
        <v>37</v>
      </c>
      <c r="U190" s="16">
        <f t="shared" si="182"/>
        <v>174.243243243243</v>
      </c>
      <c r="V190" s="15">
        <f t="shared" si="183"/>
        <v>0.276355</v>
      </c>
      <c r="W190" s="17">
        <f t="shared" si="184"/>
        <v>1674.7610439</v>
      </c>
      <c r="X190" s="15">
        <f t="shared" si="185"/>
        <v>626.88</v>
      </c>
      <c r="Y190" s="17">
        <f t="shared" si="186"/>
        <v>1047.8810439</v>
      </c>
      <c r="Z190" s="18">
        <f>'8'!BA15</f>
        <v>0</v>
      </c>
      <c r="AA190" s="18">
        <f>'8'!BD15</f>
        <v>2</v>
      </c>
      <c r="AB190" s="18">
        <f>'8'!BE15</f>
        <v>1</v>
      </c>
      <c r="AC190" s="18">
        <f>'8'!BF15</f>
        <v>0</v>
      </c>
      <c r="AD190" s="17">
        <f t="shared" si="189"/>
        <v>70.7197131074054</v>
      </c>
      <c r="AE190" s="19">
        <f t="shared" si="187"/>
        <v>515.498449792595</v>
      </c>
      <c r="AF190" s="2">
        <f t="shared" si="188"/>
        <v>62</v>
      </c>
      <c r="AG190" s="2">
        <f>'8'!BH15</f>
        <v>62</v>
      </c>
    </row>
    <row r="191" spans="1:33">
      <c r="A191" s="10">
        <v>46120</v>
      </c>
      <c r="B191" s="11" t="s">
        <v>3327</v>
      </c>
      <c r="C191" s="11" t="s">
        <v>3289</v>
      </c>
      <c r="D191" s="11" t="s">
        <v>3319</v>
      </c>
      <c r="E191" s="13">
        <f>SUMIFS(卸车数据!$J$6:$J$1048576,卸车数据!$R$6:$R$1048576,"&gt;="&amp;A191+TIME(13,0,0),卸车数据!$R$6:$R$1048576,"&lt;"&amp;A191+TIME(14,0,0))</f>
        <v>7807</v>
      </c>
      <c r="F191" s="13">
        <v>2601</v>
      </c>
      <c r="G191" s="14">
        <v>5148</v>
      </c>
      <c r="H191" s="15">
        <f t="shared" si="172"/>
        <v>4</v>
      </c>
      <c r="I191" s="15">
        <f t="shared" si="173"/>
        <v>100.75</v>
      </c>
      <c r="J191" s="15">
        <f>'8'!K16</f>
        <v>12</v>
      </c>
      <c r="K191" s="16">
        <f t="shared" si="174"/>
        <v>650.583333333333</v>
      </c>
      <c r="L191" s="15">
        <f t="shared" si="190"/>
        <v>195.48</v>
      </c>
      <c r="M191" s="17">
        <f t="shared" si="176"/>
        <v>-195.48</v>
      </c>
      <c r="N191" s="15">
        <f>'8'!W16</f>
        <v>16</v>
      </c>
      <c r="O191" s="16">
        <f t="shared" si="177"/>
        <v>321.75</v>
      </c>
      <c r="P191" s="15">
        <f t="shared" si="178"/>
        <v>0.06859</v>
      </c>
      <c r="Q191" s="17">
        <f t="shared" si="179"/>
        <v>331.9152408</v>
      </c>
      <c r="R191" s="15">
        <f t="shared" si="191"/>
        <v>253.64</v>
      </c>
      <c r="S191" s="17">
        <f t="shared" si="181"/>
        <v>78.2752408</v>
      </c>
      <c r="T191" s="15">
        <f>'8'!AG16+'8'!AR16</f>
        <v>31</v>
      </c>
      <c r="U191" s="16">
        <f t="shared" si="182"/>
        <v>83.9032258064516</v>
      </c>
      <c r="V191" s="15">
        <f t="shared" si="183"/>
        <v>0.276355</v>
      </c>
      <c r="W191" s="17">
        <f t="shared" si="184"/>
        <v>675.6713937</v>
      </c>
      <c r="X191" s="15">
        <f t="shared" si="185"/>
        <v>539.16</v>
      </c>
      <c r="Y191" s="17">
        <f t="shared" si="186"/>
        <v>136.5113937</v>
      </c>
      <c r="Z191" s="18">
        <f>'8'!BA16</f>
        <v>0</v>
      </c>
      <c r="AA191" s="18">
        <f>'8'!BD16</f>
        <v>2</v>
      </c>
      <c r="AB191" s="18">
        <f>'8'!BE16</f>
        <v>1</v>
      </c>
      <c r="AC191" s="18">
        <f>'8'!BF16</f>
        <v>0</v>
      </c>
      <c r="AD191" s="17">
        <f t="shared" si="189"/>
        <v>70.7197131074054</v>
      </c>
      <c r="AE191" s="19">
        <f t="shared" si="187"/>
        <v>-152.163078607406</v>
      </c>
      <c r="AF191" s="2">
        <f t="shared" si="188"/>
        <v>62</v>
      </c>
      <c r="AG191" s="2">
        <f>'8'!BH16</f>
        <v>62</v>
      </c>
    </row>
    <row r="192" spans="1:33">
      <c r="A192" s="10">
        <v>46120</v>
      </c>
      <c r="B192" s="11" t="s">
        <v>3331</v>
      </c>
      <c r="C192" s="11" t="s">
        <v>3289</v>
      </c>
      <c r="D192" s="11" t="s">
        <v>3319</v>
      </c>
      <c r="E192" s="13">
        <f>SUMIFS(卸车数据!$J$6:$J$1048576,卸车数据!$R$6:$R$1048576,"&gt;="&amp;A192+TIME(14,0,0),卸车数据!$R$6:$R$1048576,"&lt;"&amp;A192+TIME(15,0,0))</f>
        <v>5350</v>
      </c>
      <c r="F192" s="13">
        <v>1373</v>
      </c>
      <c r="G192" s="14">
        <v>7939</v>
      </c>
      <c r="H192" s="15">
        <f t="shared" si="172"/>
        <v>4</v>
      </c>
      <c r="I192" s="15">
        <f t="shared" si="173"/>
        <v>100.75</v>
      </c>
      <c r="J192" s="15">
        <f>'8'!K17</f>
        <v>12</v>
      </c>
      <c r="K192" s="16">
        <f t="shared" si="174"/>
        <v>445.833333333333</v>
      </c>
      <c r="L192" s="15">
        <f t="shared" si="190"/>
        <v>195.48</v>
      </c>
      <c r="M192" s="17">
        <f t="shared" si="176"/>
        <v>-195.48</v>
      </c>
      <c r="N192" s="15">
        <f>'8'!W17</f>
        <v>16</v>
      </c>
      <c r="O192" s="16">
        <f t="shared" si="177"/>
        <v>496.1875</v>
      </c>
      <c r="P192" s="15">
        <f t="shared" si="178"/>
        <v>0.06859</v>
      </c>
      <c r="Q192" s="17">
        <f t="shared" si="179"/>
        <v>511.8638494</v>
      </c>
      <c r="R192" s="15">
        <f t="shared" si="191"/>
        <v>253.64</v>
      </c>
      <c r="S192" s="17">
        <f t="shared" si="181"/>
        <v>258.2238494</v>
      </c>
      <c r="T192" s="15">
        <f>'8'!AG17+'8'!AR17</f>
        <v>31</v>
      </c>
      <c r="U192" s="16">
        <f t="shared" si="182"/>
        <v>44.2903225806452</v>
      </c>
      <c r="V192" s="15">
        <f t="shared" si="183"/>
        <v>0.276355</v>
      </c>
      <c r="W192" s="17">
        <f t="shared" si="184"/>
        <v>356.6692901</v>
      </c>
      <c r="X192" s="15">
        <f t="shared" si="185"/>
        <v>539.16</v>
      </c>
      <c r="Y192" s="17">
        <f t="shared" si="186"/>
        <v>-182.4907099</v>
      </c>
      <c r="Z192" s="18">
        <f>'8'!BA17</f>
        <v>0</v>
      </c>
      <c r="AA192" s="18">
        <f>'8'!BD17</f>
        <v>2</v>
      </c>
      <c r="AB192" s="18">
        <f>'8'!BE17</f>
        <v>1</v>
      </c>
      <c r="AC192" s="18">
        <f>'8'!BF17</f>
        <v>0</v>
      </c>
      <c r="AD192" s="17">
        <f t="shared" si="189"/>
        <v>70.7197131074054</v>
      </c>
      <c r="AE192" s="19">
        <f t="shared" si="187"/>
        <v>-291.216573607406</v>
      </c>
      <c r="AF192" s="2">
        <f t="shared" si="188"/>
        <v>62</v>
      </c>
      <c r="AG192" s="2">
        <f>'8'!BH17</f>
        <v>62</v>
      </c>
    </row>
    <row r="193" spans="1:33">
      <c r="A193" s="10">
        <v>46120</v>
      </c>
      <c r="B193" s="11" t="s">
        <v>3334</v>
      </c>
      <c r="C193" s="11" t="s">
        <v>3289</v>
      </c>
      <c r="D193" s="12" t="s">
        <v>22</v>
      </c>
      <c r="E193" s="13">
        <f>SUMIFS(卸车数据!$J$6:$J$1048576,卸车数据!$R$6:$R$1048576,"&gt;="&amp;A193+TIME(15,0,0),卸车数据!$R$6:$R$1048576,"&lt;"&amp;A193+TIME(16,0,0))</f>
        <v>0</v>
      </c>
      <c r="F193" s="13">
        <v>3773</v>
      </c>
      <c r="G193" s="14">
        <v>7371</v>
      </c>
      <c r="H193" s="15">
        <f t="shared" si="172"/>
        <v>4</v>
      </c>
      <c r="I193" s="15">
        <f t="shared" si="173"/>
        <v>100.75</v>
      </c>
      <c r="J193" s="15">
        <f>'8'!K18</f>
        <v>12</v>
      </c>
      <c r="K193" s="16">
        <f t="shared" si="174"/>
        <v>0</v>
      </c>
      <c r="L193" s="15">
        <f t="shared" si="190"/>
        <v>195.48</v>
      </c>
      <c r="M193" s="17">
        <f t="shared" si="176"/>
        <v>-195.48</v>
      </c>
      <c r="N193" s="15">
        <f>'8'!W18</f>
        <v>16</v>
      </c>
      <c r="O193" s="16">
        <f t="shared" si="177"/>
        <v>460.6875</v>
      </c>
      <c r="P193" s="15">
        <f t="shared" si="178"/>
        <v>0.06859</v>
      </c>
      <c r="Q193" s="17">
        <f t="shared" si="179"/>
        <v>475.2422766</v>
      </c>
      <c r="R193" s="15">
        <f t="shared" si="191"/>
        <v>253.64</v>
      </c>
      <c r="S193" s="17">
        <f t="shared" si="181"/>
        <v>221.6022766</v>
      </c>
      <c r="T193" s="15">
        <f>'8'!AG18+'8'!AR18</f>
        <v>31</v>
      </c>
      <c r="U193" s="16">
        <f t="shared" si="182"/>
        <v>121.709677419355</v>
      </c>
      <c r="V193" s="15">
        <f t="shared" si="183"/>
        <v>0.276355</v>
      </c>
      <c r="W193" s="17">
        <f t="shared" si="184"/>
        <v>980.1261701</v>
      </c>
      <c r="X193" s="15">
        <f t="shared" si="185"/>
        <v>539.16</v>
      </c>
      <c r="Y193" s="17">
        <f t="shared" si="186"/>
        <v>440.9661701</v>
      </c>
      <c r="Z193" s="18">
        <f>'8'!BA18</f>
        <v>0</v>
      </c>
      <c r="AA193" s="18">
        <f>'8'!BD18</f>
        <v>2</v>
      </c>
      <c r="AB193" s="18">
        <f>'8'!BE18</f>
        <v>1</v>
      </c>
      <c r="AC193" s="18">
        <f>'8'!BF18</f>
        <v>0</v>
      </c>
      <c r="AD193" s="17">
        <f t="shared" si="189"/>
        <v>70.7197131074054</v>
      </c>
      <c r="AE193" s="19">
        <f t="shared" si="187"/>
        <v>295.618733592594</v>
      </c>
      <c r="AF193" s="2">
        <f t="shared" si="188"/>
        <v>62</v>
      </c>
      <c r="AG193" s="2">
        <f>'8'!BH18</f>
        <v>62</v>
      </c>
    </row>
    <row r="194" spans="1:33">
      <c r="A194" s="10">
        <v>46120</v>
      </c>
      <c r="B194" s="11" t="s">
        <v>3339</v>
      </c>
      <c r="C194" s="11" t="s">
        <v>3289</v>
      </c>
      <c r="D194" s="12" t="s">
        <v>22</v>
      </c>
      <c r="E194" s="13">
        <f>SUMIFS(卸车数据!$J$6:$J$1048576,卸车数据!$R$6:$R$1048576,"&gt;="&amp;A194+TIME(16,0,0),卸车数据!$R$6:$R$1048576,"&lt;"&amp;A194+TIME(17,0,0))</f>
        <v>0</v>
      </c>
      <c r="F194" s="13">
        <v>2631</v>
      </c>
      <c r="G194" s="14">
        <v>14176</v>
      </c>
      <c r="H194" s="15">
        <f t="shared" si="172"/>
        <v>4</v>
      </c>
      <c r="I194" s="15">
        <f t="shared" si="173"/>
        <v>100.75</v>
      </c>
      <c r="J194" s="15">
        <f>'8'!K19</f>
        <v>12</v>
      </c>
      <c r="K194" s="16">
        <f t="shared" si="174"/>
        <v>0</v>
      </c>
      <c r="L194" s="15">
        <f t="shared" si="190"/>
        <v>195.48</v>
      </c>
      <c r="M194" s="17">
        <f t="shared" si="176"/>
        <v>-195.48</v>
      </c>
      <c r="N194" s="15">
        <f>'8'!W19</f>
        <v>16</v>
      </c>
      <c r="O194" s="16">
        <f t="shared" si="177"/>
        <v>886</v>
      </c>
      <c r="P194" s="15">
        <f t="shared" si="178"/>
        <v>0.06859</v>
      </c>
      <c r="Q194" s="17">
        <f t="shared" si="179"/>
        <v>913.9919296</v>
      </c>
      <c r="R194" s="15">
        <f t="shared" si="191"/>
        <v>253.64</v>
      </c>
      <c r="S194" s="17">
        <f t="shared" si="181"/>
        <v>660.3519296</v>
      </c>
      <c r="T194" s="15">
        <f>'8'!AG19+'8'!AR19</f>
        <v>31</v>
      </c>
      <c r="U194" s="16">
        <f t="shared" si="182"/>
        <v>84.8709677419355</v>
      </c>
      <c r="V194" s="15">
        <f t="shared" si="183"/>
        <v>0.276355</v>
      </c>
      <c r="W194" s="17">
        <f t="shared" si="184"/>
        <v>683.4646047</v>
      </c>
      <c r="X194" s="15">
        <f t="shared" si="185"/>
        <v>539.16</v>
      </c>
      <c r="Y194" s="17">
        <f t="shared" si="186"/>
        <v>144.3046047</v>
      </c>
      <c r="Z194" s="18">
        <f>'8'!BA19</f>
        <v>0</v>
      </c>
      <c r="AA194" s="18">
        <f>'8'!BD19</f>
        <v>2</v>
      </c>
      <c r="AB194" s="18">
        <f>'8'!BE19</f>
        <v>1</v>
      </c>
      <c r="AC194" s="18">
        <f>'8'!BF19</f>
        <v>0</v>
      </c>
      <c r="AD194" s="17">
        <f t="shared" si="189"/>
        <v>70.7197131074054</v>
      </c>
      <c r="AE194" s="19">
        <f t="shared" si="187"/>
        <v>437.706821192594</v>
      </c>
      <c r="AF194" s="2">
        <f t="shared" si="188"/>
        <v>62</v>
      </c>
      <c r="AG194" s="2">
        <f>'8'!BH19</f>
        <v>62</v>
      </c>
    </row>
    <row r="195" spans="1:33">
      <c r="A195" s="10">
        <v>46120</v>
      </c>
      <c r="B195" s="11" t="s">
        <v>3344</v>
      </c>
      <c r="C195" s="11" t="s">
        <v>3289</v>
      </c>
      <c r="D195" s="11" t="s">
        <v>3319</v>
      </c>
      <c r="E195" s="13">
        <f>SUMIFS(卸车数据!$J$6:$J$1048576,卸车数据!$R$6:$R$1048576,"&gt;="&amp;A195+TIME(17,0,0),卸车数据!$R$6:$R$1048576,"&lt;"&amp;A195+TIME(18,0,0))</f>
        <v>11635</v>
      </c>
      <c r="F195" s="13">
        <v>3387</v>
      </c>
      <c r="G195" s="14">
        <v>25</v>
      </c>
      <c r="H195" s="15">
        <f t="shared" si="172"/>
        <v>4</v>
      </c>
      <c r="I195" s="15">
        <f t="shared" si="173"/>
        <v>100.75</v>
      </c>
      <c r="J195" s="15">
        <f>'8'!K20</f>
        <v>12</v>
      </c>
      <c r="K195" s="16">
        <f t="shared" si="174"/>
        <v>969.583333333333</v>
      </c>
      <c r="L195" s="15">
        <f t="shared" si="190"/>
        <v>195.48</v>
      </c>
      <c r="M195" s="17">
        <f t="shared" si="176"/>
        <v>-195.48</v>
      </c>
      <c r="N195" s="15">
        <f>'8'!W20</f>
        <v>16</v>
      </c>
      <c r="O195" s="16">
        <f t="shared" si="177"/>
        <v>1.5625</v>
      </c>
      <c r="P195" s="15">
        <f t="shared" si="178"/>
        <v>0.06859</v>
      </c>
      <c r="Q195" s="17">
        <f t="shared" si="179"/>
        <v>1.611865</v>
      </c>
      <c r="R195" s="15">
        <f t="shared" si="191"/>
        <v>253.64</v>
      </c>
      <c r="S195" s="17">
        <f t="shared" si="181"/>
        <v>-252.028135</v>
      </c>
      <c r="T195" s="15">
        <f>'8'!AG20+'8'!AR20</f>
        <v>31</v>
      </c>
      <c r="U195" s="16">
        <f t="shared" si="182"/>
        <v>109.258064516129</v>
      </c>
      <c r="V195" s="15">
        <f t="shared" si="183"/>
        <v>0.276355</v>
      </c>
      <c r="W195" s="17">
        <f t="shared" si="184"/>
        <v>879.8535219</v>
      </c>
      <c r="X195" s="15">
        <f t="shared" si="185"/>
        <v>539.16</v>
      </c>
      <c r="Y195" s="17">
        <f t="shared" si="186"/>
        <v>340.6935219</v>
      </c>
      <c r="Z195" s="18">
        <f>'8'!BA20</f>
        <v>0</v>
      </c>
      <c r="AA195" s="18">
        <f>'8'!BD20</f>
        <v>2</v>
      </c>
      <c r="AB195" s="18">
        <f>'8'!BE20</f>
        <v>1</v>
      </c>
      <c r="AC195" s="18">
        <f>'8'!BF20</f>
        <v>0</v>
      </c>
      <c r="AD195" s="17">
        <f t="shared" si="189"/>
        <v>70.7197131074054</v>
      </c>
      <c r="AE195" s="19">
        <f t="shared" si="187"/>
        <v>-278.284326207406</v>
      </c>
      <c r="AF195" s="2">
        <f t="shared" si="188"/>
        <v>62</v>
      </c>
      <c r="AG195" s="2">
        <f>'8'!BH20</f>
        <v>62</v>
      </c>
    </row>
    <row r="196" spans="1:33">
      <c r="A196" s="10">
        <v>46120</v>
      </c>
      <c r="B196" s="11" t="s">
        <v>3347</v>
      </c>
      <c r="C196" s="11" t="s">
        <v>3265</v>
      </c>
      <c r="D196" s="11" t="s">
        <v>3319</v>
      </c>
      <c r="E196" s="13">
        <f>SUMIFS(卸车数据!$J$6:$J$1048576,卸车数据!$R$6:$R$1048576,"&gt;="&amp;A196+TIME(18,0,0),卸车数据!$R$6:$R$1048576,"&lt;"&amp;A196+TIME(19,0,0))</f>
        <v>7162</v>
      </c>
      <c r="F196" s="13">
        <v>2478</v>
      </c>
      <c r="G196" s="14">
        <v>1502</v>
      </c>
      <c r="H196" s="15">
        <f t="shared" si="172"/>
        <v>2</v>
      </c>
      <c r="I196" s="15">
        <f t="shared" si="173"/>
        <v>44.0122222222222</v>
      </c>
      <c r="J196" s="15">
        <f>'8'!K21</f>
        <v>25</v>
      </c>
      <c r="K196" s="16">
        <f t="shared" si="174"/>
        <v>286.48</v>
      </c>
      <c r="L196" s="15">
        <f t="shared" ref="L196:L201" si="192">J196*14.62+21</f>
        <v>386.5</v>
      </c>
      <c r="M196" s="17">
        <f t="shared" si="176"/>
        <v>-386.5</v>
      </c>
      <c r="N196" s="15">
        <f>'8'!W21</f>
        <v>18</v>
      </c>
      <c r="O196" s="16">
        <f t="shared" si="177"/>
        <v>83.4444444444444</v>
      </c>
      <c r="P196" s="15">
        <f t="shared" si="178"/>
        <v>0.06859</v>
      </c>
      <c r="Q196" s="17">
        <f t="shared" si="179"/>
        <v>96.8408492</v>
      </c>
      <c r="R196" s="15">
        <f t="shared" ref="R196:R201" si="193">(N196-13)*14.62+13*18+21</f>
        <v>328.1</v>
      </c>
      <c r="S196" s="17">
        <f t="shared" si="181"/>
        <v>-231.2591508</v>
      </c>
      <c r="T196" s="15">
        <f>'8'!AG21+'8'!AR21</f>
        <v>50</v>
      </c>
      <c r="U196" s="16">
        <f t="shared" si="182"/>
        <v>49.56</v>
      </c>
      <c r="V196" s="15">
        <f t="shared" si="183"/>
        <v>0.276355</v>
      </c>
      <c r="W196" s="17">
        <f t="shared" si="184"/>
        <v>643.7192286</v>
      </c>
      <c r="X196" s="15">
        <f t="shared" si="185"/>
        <v>816.94</v>
      </c>
      <c r="Y196" s="17">
        <f t="shared" si="186"/>
        <v>-173.2207714</v>
      </c>
      <c r="Z196" s="18">
        <f>'8'!BA21</f>
        <v>4</v>
      </c>
      <c r="AA196" s="18">
        <f>'8'!BD21</f>
        <v>3</v>
      </c>
      <c r="AB196" s="18">
        <f>'8'!BE21</f>
        <v>0</v>
      </c>
      <c r="AC196" s="18">
        <f>'8'!BF21</f>
        <v>0</v>
      </c>
      <c r="AD196" s="17">
        <f t="shared" si="189"/>
        <v>125.790995158687</v>
      </c>
      <c r="AE196" s="19">
        <f t="shared" si="187"/>
        <v>-960.78313958091</v>
      </c>
      <c r="AF196" s="2">
        <f t="shared" si="188"/>
        <v>100</v>
      </c>
      <c r="AG196" s="2">
        <f>'8'!BH21</f>
        <v>100</v>
      </c>
    </row>
    <row r="197" spans="1:33">
      <c r="A197" s="10">
        <v>46120</v>
      </c>
      <c r="B197" s="11" t="s">
        <v>3351</v>
      </c>
      <c r="C197" s="11" t="s">
        <v>3265</v>
      </c>
      <c r="D197" s="11" t="s">
        <v>3319</v>
      </c>
      <c r="E197" s="13">
        <f>SUMIFS(卸车数据!$J$6:$J$1048576,卸车数据!$R$6:$R$1048576,"&gt;="&amp;A197+TIME(19,0,0),卸车数据!$R$6:$R$1048576,"&lt;"&amp;A197+TIME(20,0,0))</f>
        <v>36383</v>
      </c>
      <c r="F197" s="13">
        <v>4544</v>
      </c>
      <c r="G197" s="14">
        <v>13682</v>
      </c>
      <c r="H197" s="15">
        <f t="shared" si="172"/>
        <v>2</v>
      </c>
      <c r="I197" s="15">
        <f t="shared" si="173"/>
        <v>44.0122222222222</v>
      </c>
      <c r="J197" s="15">
        <f>'8'!K22</f>
        <v>24</v>
      </c>
      <c r="K197" s="16">
        <f t="shared" si="174"/>
        <v>1515.95833333333</v>
      </c>
      <c r="L197" s="15">
        <f t="shared" si="192"/>
        <v>371.88</v>
      </c>
      <c r="M197" s="17">
        <f t="shared" si="176"/>
        <v>-371.88</v>
      </c>
      <c r="N197" s="15">
        <f>'8'!W22</f>
        <v>27</v>
      </c>
      <c r="O197" s="16">
        <f t="shared" si="177"/>
        <v>506.740740740741</v>
      </c>
      <c r="P197" s="15">
        <f t="shared" si="178"/>
        <v>0.06859</v>
      </c>
      <c r="Q197" s="17">
        <f t="shared" si="179"/>
        <v>882.1414772</v>
      </c>
      <c r="R197" s="15">
        <f t="shared" si="193"/>
        <v>459.68</v>
      </c>
      <c r="S197" s="17">
        <f t="shared" si="181"/>
        <v>422.4614772</v>
      </c>
      <c r="T197" s="15">
        <f>'8'!AG22+'8'!AR22</f>
        <v>42</v>
      </c>
      <c r="U197" s="16">
        <f t="shared" si="182"/>
        <v>108.190476190476</v>
      </c>
      <c r="V197" s="15">
        <f t="shared" si="183"/>
        <v>0.276355</v>
      </c>
      <c r="W197" s="17">
        <f t="shared" si="184"/>
        <v>1180.4116928</v>
      </c>
      <c r="X197" s="15">
        <f t="shared" si="185"/>
        <v>699.98</v>
      </c>
      <c r="Y197" s="17">
        <f t="shared" si="186"/>
        <v>480.4316928</v>
      </c>
      <c r="Z197" s="18">
        <f>'8'!BA22</f>
        <v>4</v>
      </c>
      <c r="AA197" s="18">
        <f>'8'!BD22</f>
        <v>3</v>
      </c>
      <c r="AB197" s="18">
        <f>'8'!BE22</f>
        <v>0</v>
      </c>
      <c r="AC197" s="18">
        <f>'8'!BF22</f>
        <v>0</v>
      </c>
      <c r="AD197" s="17">
        <f t="shared" si="189"/>
        <v>125.790995158687</v>
      </c>
      <c r="AE197" s="19">
        <f t="shared" si="187"/>
        <v>361.20995261909</v>
      </c>
      <c r="AF197" s="2">
        <f t="shared" si="188"/>
        <v>100</v>
      </c>
      <c r="AG197" s="2">
        <f>'8'!BH22</f>
        <v>100</v>
      </c>
    </row>
    <row r="198" spans="1:33">
      <c r="A198" s="10">
        <v>46120</v>
      </c>
      <c r="B198" s="11" t="s">
        <v>3352</v>
      </c>
      <c r="C198" s="11" t="s">
        <v>3265</v>
      </c>
      <c r="D198" s="11" t="s">
        <v>3319</v>
      </c>
      <c r="E198" s="13">
        <f>SUMIFS(卸车数据!$J$6:$J$1048576,卸车数据!$R$6:$R$1048576,"&gt;="&amp;A198+TIME(20,0,0),卸车数据!$R$6:$R$1048576,"&lt;"&amp;A198+TIME(21,0,0))</f>
        <v>20687</v>
      </c>
      <c r="F198" s="13">
        <v>6471</v>
      </c>
      <c r="G198" s="14">
        <v>13545</v>
      </c>
      <c r="H198" s="15">
        <f t="shared" si="172"/>
        <v>2</v>
      </c>
      <c r="I198" s="15">
        <f t="shared" si="173"/>
        <v>44.0122222222222</v>
      </c>
      <c r="J198" s="15">
        <f>'8'!K23</f>
        <v>24</v>
      </c>
      <c r="K198" s="16">
        <f t="shared" si="174"/>
        <v>861.958333333333</v>
      </c>
      <c r="L198" s="15">
        <f t="shared" si="192"/>
        <v>371.88</v>
      </c>
      <c r="M198" s="17">
        <f t="shared" si="176"/>
        <v>-371.88</v>
      </c>
      <c r="N198" s="15">
        <f>'8'!W23</f>
        <v>27</v>
      </c>
      <c r="O198" s="16">
        <f t="shared" si="177"/>
        <v>501.666666666667</v>
      </c>
      <c r="P198" s="15">
        <f t="shared" si="178"/>
        <v>0.06859</v>
      </c>
      <c r="Q198" s="17">
        <f t="shared" si="179"/>
        <v>873.308457</v>
      </c>
      <c r="R198" s="15">
        <f t="shared" si="193"/>
        <v>459.68</v>
      </c>
      <c r="S198" s="17">
        <f t="shared" si="181"/>
        <v>413.628457</v>
      </c>
      <c r="T198" s="15">
        <f>'8'!AG23+'8'!AR23</f>
        <v>42</v>
      </c>
      <c r="U198" s="16">
        <f t="shared" si="182"/>
        <v>154.071428571429</v>
      </c>
      <c r="V198" s="15">
        <f t="shared" si="183"/>
        <v>0.276355</v>
      </c>
      <c r="W198" s="17">
        <f t="shared" si="184"/>
        <v>1680.9956127</v>
      </c>
      <c r="X198" s="15">
        <f t="shared" si="185"/>
        <v>699.98</v>
      </c>
      <c r="Y198" s="17">
        <f t="shared" si="186"/>
        <v>981.0156127</v>
      </c>
      <c r="Z198" s="18">
        <f>'8'!BA23</f>
        <v>4</v>
      </c>
      <c r="AA198" s="18">
        <f>'8'!BD23</f>
        <v>3</v>
      </c>
      <c r="AB198" s="18">
        <f>'8'!BE23</f>
        <v>0</v>
      </c>
      <c r="AC198" s="18">
        <f>'8'!BF23</f>
        <v>0</v>
      </c>
      <c r="AD198" s="17">
        <f t="shared" si="189"/>
        <v>125.790995158687</v>
      </c>
      <c r="AE198" s="19">
        <f t="shared" si="187"/>
        <v>852.96085231909</v>
      </c>
      <c r="AF198" s="2">
        <f t="shared" si="188"/>
        <v>100</v>
      </c>
      <c r="AG198" s="2">
        <f>'8'!BH23</f>
        <v>100</v>
      </c>
    </row>
    <row r="199" spans="1:33">
      <c r="A199" s="10">
        <v>46120</v>
      </c>
      <c r="B199" s="11" t="s">
        <v>3354</v>
      </c>
      <c r="C199" s="11" t="s">
        <v>3265</v>
      </c>
      <c r="D199" s="11" t="s">
        <v>3319</v>
      </c>
      <c r="E199" s="13">
        <f>SUMIFS(卸车数据!$J$6:$J$1048576,卸车数据!$R$6:$R$1048576,"&gt;="&amp;A199+TIME(21,0,0),卸车数据!$R$6:$R$1048576,"&lt;"&amp;A199+TIME(22,0,0))</f>
        <v>734</v>
      </c>
      <c r="F199" s="13">
        <v>3859</v>
      </c>
      <c r="G199" s="14">
        <v>13677</v>
      </c>
      <c r="H199" s="15">
        <f t="shared" si="172"/>
        <v>2</v>
      </c>
      <c r="I199" s="15">
        <f t="shared" si="173"/>
        <v>44.0122222222222</v>
      </c>
      <c r="J199" s="15">
        <f>'8'!K24</f>
        <v>24</v>
      </c>
      <c r="K199" s="16">
        <f t="shared" si="174"/>
        <v>30.5833333333333</v>
      </c>
      <c r="L199" s="15">
        <f t="shared" si="192"/>
        <v>371.88</v>
      </c>
      <c r="M199" s="17">
        <f t="shared" si="176"/>
        <v>-371.88</v>
      </c>
      <c r="N199" s="15">
        <f>'8'!W24</f>
        <v>27</v>
      </c>
      <c r="O199" s="16">
        <f t="shared" si="177"/>
        <v>506.555555555556</v>
      </c>
      <c r="P199" s="15">
        <f t="shared" si="178"/>
        <v>0.06859</v>
      </c>
      <c r="Q199" s="17">
        <f t="shared" si="179"/>
        <v>881.8191042</v>
      </c>
      <c r="R199" s="15">
        <f t="shared" si="193"/>
        <v>459.68</v>
      </c>
      <c r="S199" s="17">
        <f t="shared" si="181"/>
        <v>422.1391042</v>
      </c>
      <c r="T199" s="15">
        <f>'8'!AG24+'8'!AR24</f>
        <v>42</v>
      </c>
      <c r="U199" s="16">
        <f t="shared" si="182"/>
        <v>91.8809523809524</v>
      </c>
      <c r="V199" s="15">
        <f t="shared" si="183"/>
        <v>0.276355</v>
      </c>
      <c r="W199" s="17">
        <f t="shared" si="184"/>
        <v>1002.4667083</v>
      </c>
      <c r="X199" s="15">
        <f t="shared" si="185"/>
        <v>699.98</v>
      </c>
      <c r="Y199" s="17">
        <f t="shared" si="186"/>
        <v>302.4867083</v>
      </c>
      <c r="Z199" s="18">
        <f>'8'!BA24</f>
        <v>4</v>
      </c>
      <c r="AA199" s="18">
        <f>'8'!BD24</f>
        <v>3</v>
      </c>
      <c r="AB199" s="18">
        <f>'8'!BE24</f>
        <v>0</v>
      </c>
      <c r="AC199" s="18">
        <f>'8'!BF24</f>
        <v>0</v>
      </c>
      <c r="AD199" s="17">
        <f t="shared" si="189"/>
        <v>125.790995158687</v>
      </c>
      <c r="AE199" s="19">
        <f t="shared" si="187"/>
        <v>182.94259511909</v>
      </c>
      <c r="AF199" s="2">
        <f t="shared" si="188"/>
        <v>100</v>
      </c>
      <c r="AG199" s="2">
        <f>'8'!BH24</f>
        <v>100</v>
      </c>
    </row>
    <row r="200" spans="1:33">
      <c r="A200" s="10">
        <v>46120</v>
      </c>
      <c r="B200" s="11" t="s">
        <v>3355</v>
      </c>
      <c r="C200" s="11" t="s">
        <v>3265</v>
      </c>
      <c r="D200" s="11" t="s">
        <v>3319</v>
      </c>
      <c r="E200" s="13">
        <f>SUMIFS(卸车数据!$J$6:$J$1048576,卸车数据!$R$6:$R$1048576,"&gt;="&amp;A200+TIME(22,0,0),卸车数据!$R$6:$R$1048576,"&lt;"&amp;A200+TIME(23,0,0))</f>
        <v>3355</v>
      </c>
      <c r="F200" s="13">
        <v>1190</v>
      </c>
      <c r="G200" s="14">
        <v>9503</v>
      </c>
      <c r="H200" s="15">
        <f t="shared" si="172"/>
        <v>2</v>
      </c>
      <c r="I200" s="15">
        <f t="shared" si="173"/>
        <v>44.0122222222222</v>
      </c>
      <c r="J200" s="15">
        <f>'8'!K25</f>
        <v>24</v>
      </c>
      <c r="K200" s="16">
        <f t="shared" si="174"/>
        <v>139.791666666667</v>
      </c>
      <c r="L200" s="15">
        <f t="shared" si="192"/>
        <v>371.88</v>
      </c>
      <c r="M200" s="17">
        <f t="shared" si="176"/>
        <v>-371.88</v>
      </c>
      <c r="N200" s="15">
        <f>'8'!W25</f>
        <v>27</v>
      </c>
      <c r="O200" s="16">
        <f t="shared" si="177"/>
        <v>351.962962962963</v>
      </c>
      <c r="P200" s="15">
        <f t="shared" si="178"/>
        <v>0.06859</v>
      </c>
      <c r="Q200" s="17">
        <f t="shared" si="179"/>
        <v>612.7021238</v>
      </c>
      <c r="R200" s="15">
        <f t="shared" si="193"/>
        <v>459.68</v>
      </c>
      <c r="S200" s="17">
        <f t="shared" si="181"/>
        <v>153.0221238</v>
      </c>
      <c r="T200" s="15">
        <f>'8'!AG25+'8'!AR25</f>
        <v>42</v>
      </c>
      <c r="U200" s="16">
        <f t="shared" si="182"/>
        <v>28.3333333333333</v>
      </c>
      <c r="V200" s="15">
        <f t="shared" si="183"/>
        <v>0.276355</v>
      </c>
      <c r="W200" s="17">
        <f t="shared" si="184"/>
        <v>309.130703</v>
      </c>
      <c r="X200" s="15">
        <f t="shared" si="185"/>
        <v>699.98</v>
      </c>
      <c r="Y200" s="17">
        <f t="shared" si="186"/>
        <v>-390.849297</v>
      </c>
      <c r="Z200" s="18">
        <f>'8'!BA25</f>
        <v>4</v>
      </c>
      <c r="AA200" s="18">
        <f>'8'!BD25</f>
        <v>3</v>
      </c>
      <c r="AB200" s="18">
        <f>'8'!BE25</f>
        <v>0</v>
      </c>
      <c r="AC200" s="18">
        <f>'8'!BF25</f>
        <v>0</v>
      </c>
      <c r="AD200" s="17">
        <f t="shared" si="189"/>
        <v>125.790995158687</v>
      </c>
      <c r="AE200" s="19">
        <f t="shared" si="187"/>
        <v>-779.51039058091</v>
      </c>
      <c r="AF200" s="2">
        <f t="shared" si="188"/>
        <v>100</v>
      </c>
      <c r="AG200" s="2">
        <f>'8'!BH25</f>
        <v>100</v>
      </c>
    </row>
    <row r="201" spans="1:33">
      <c r="A201" s="10">
        <v>46120</v>
      </c>
      <c r="B201" s="11" t="s">
        <v>3357</v>
      </c>
      <c r="C201" s="11" t="s">
        <v>3265</v>
      </c>
      <c r="D201" s="12" t="s">
        <v>3311</v>
      </c>
      <c r="E201" s="13">
        <f>SUMIFS(卸车数据!$J$6:$J$1048576,卸车数据!$R$6:$R$1048576,"&gt;="&amp;A201+TIME(23,0,0),卸车数据!$R$6:$R$1048576,"&lt;"&amp;A201+TIME(0,0,0))</f>
        <v>0</v>
      </c>
      <c r="F201" s="13">
        <v>4306</v>
      </c>
      <c r="G201" s="14">
        <v>10328</v>
      </c>
      <c r="H201" s="15">
        <f t="shared" si="172"/>
        <v>2</v>
      </c>
      <c r="I201" s="15">
        <f t="shared" si="173"/>
        <v>44.0122222222222</v>
      </c>
      <c r="J201" s="15">
        <f>'8'!K26</f>
        <v>24</v>
      </c>
      <c r="K201" s="16">
        <f t="shared" si="174"/>
        <v>0</v>
      </c>
      <c r="L201" s="15">
        <f t="shared" si="192"/>
        <v>371.88</v>
      </c>
      <c r="M201" s="17">
        <f t="shared" si="176"/>
        <v>-371.88</v>
      </c>
      <c r="N201" s="15">
        <f>'8'!W26</f>
        <v>27</v>
      </c>
      <c r="O201" s="16">
        <f t="shared" si="177"/>
        <v>382.518518518519</v>
      </c>
      <c r="P201" s="15">
        <f t="shared" si="178"/>
        <v>0.06859</v>
      </c>
      <c r="Q201" s="17">
        <f t="shared" si="179"/>
        <v>665.8936688</v>
      </c>
      <c r="R201" s="15">
        <f t="shared" si="193"/>
        <v>459.68</v>
      </c>
      <c r="S201" s="17">
        <f t="shared" si="181"/>
        <v>206.2136688</v>
      </c>
      <c r="T201" s="15">
        <f>'8'!AG26+'8'!AR26</f>
        <v>42</v>
      </c>
      <c r="U201" s="16">
        <f t="shared" si="182"/>
        <v>102.52380952381</v>
      </c>
      <c r="V201" s="15">
        <f t="shared" si="183"/>
        <v>0.276355</v>
      </c>
      <c r="W201" s="17">
        <f t="shared" si="184"/>
        <v>1118.5855522</v>
      </c>
      <c r="X201" s="15">
        <f t="shared" si="185"/>
        <v>699.98</v>
      </c>
      <c r="Y201" s="17">
        <f t="shared" si="186"/>
        <v>418.6055522</v>
      </c>
      <c r="Z201" s="18">
        <f>'8'!BA26</f>
        <v>4</v>
      </c>
      <c r="AA201" s="18">
        <f>'8'!BD26</f>
        <v>3</v>
      </c>
      <c r="AB201" s="18">
        <f>'8'!BE26</f>
        <v>0</v>
      </c>
      <c r="AC201" s="18">
        <f>'8'!BF26</f>
        <v>0</v>
      </c>
      <c r="AD201" s="17">
        <f t="shared" si="189"/>
        <v>125.790995158687</v>
      </c>
      <c r="AE201" s="19">
        <f t="shared" si="187"/>
        <v>83.1360036190903</v>
      </c>
      <c r="AF201" s="2">
        <f t="shared" si="188"/>
        <v>100</v>
      </c>
      <c r="AG201" s="2">
        <f>'8'!BH26</f>
        <v>100</v>
      </c>
    </row>
    <row r="202" spans="1:33">
      <c r="AE202" s="19">
        <f>SUM(AE178:AE201)</f>
        <v>-6305.06616603329</v>
      </c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</mergeCells>
  <conditionalFormatting sqref="Y52">
    <cfRule type="iconSet" priority="22">
      <iconSet iconSet="3Arrows">
        <cfvo type="percent" val="0"/>
        <cfvo type="num" val="0"/>
        <cfvo type="num" val="0"/>
      </iconSet>
    </cfRule>
  </conditionalFormatting>
  <conditionalFormatting sqref="Y77">
    <cfRule type="iconSet" priority="19">
      <iconSet iconSet="3Arrows">
        <cfvo type="percent" val="0"/>
        <cfvo type="num" val="0"/>
        <cfvo type="num" val="0"/>
      </iconSet>
    </cfRule>
  </conditionalFormatting>
  <conditionalFormatting sqref="M3:M27">
    <cfRule type="iconSet" priority="41">
      <iconSet iconSet="3Arrows">
        <cfvo type="percent" val="0"/>
        <cfvo type="num" val="0"/>
        <cfvo type="num" val="0"/>
      </iconSet>
    </cfRule>
  </conditionalFormatting>
  <conditionalFormatting sqref="M28:M52">
    <cfRule type="iconSet" priority="24">
      <iconSet iconSet="3Arrows">
        <cfvo type="percent" val="0"/>
        <cfvo type="num" val="0"/>
        <cfvo type="num" val="0"/>
      </iconSet>
    </cfRule>
  </conditionalFormatting>
  <conditionalFormatting sqref="M53:M77">
    <cfRule type="iconSet" priority="21">
      <iconSet iconSet="3Arrows">
        <cfvo type="percent" val="0"/>
        <cfvo type="num" val="0"/>
        <cfvo type="num" val="0"/>
      </iconSet>
    </cfRule>
  </conditionalFormatting>
  <conditionalFormatting sqref="M78:M101">
    <cfRule type="iconSet" priority="18">
      <iconSet iconSet="3Arrows">
        <cfvo type="percent" val="0"/>
        <cfvo type="num" val="0"/>
        <cfvo type="num" val="0"/>
      </iconSet>
    </cfRule>
  </conditionalFormatting>
  <conditionalFormatting sqref="M103:M126">
    <cfRule type="iconSet" priority="12">
      <iconSet iconSet="3Arrows">
        <cfvo type="percent" val="0"/>
        <cfvo type="num" val="0"/>
        <cfvo type="num" val="0"/>
      </iconSet>
    </cfRule>
  </conditionalFormatting>
  <conditionalFormatting sqref="M128:M151">
    <cfRule type="iconSet" priority="9">
      <iconSet iconSet="3Arrows">
        <cfvo type="percent" val="0"/>
        <cfvo type="num" val="0"/>
        <cfvo type="num" val="0"/>
      </iconSet>
    </cfRule>
  </conditionalFormatting>
  <conditionalFormatting sqref="M153:M176">
    <cfRule type="iconSet" priority="6">
      <iconSet iconSet="3Arrows">
        <cfvo type="percent" val="0"/>
        <cfvo type="num" val="0"/>
        <cfvo type="num" val="0"/>
      </iconSet>
    </cfRule>
  </conditionalFormatting>
  <conditionalFormatting sqref="M178:M201">
    <cfRule type="iconSet" priority="3">
      <iconSet iconSet="3Arrows">
        <cfvo type="percent" val="0"/>
        <cfvo type="num" val="0"/>
        <cfvo type="num" val="0"/>
      </iconSet>
    </cfRule>
  </conditionalFormatting>
  <conditionalFormatting sqref="S3:S27">
    <cfRule type="iconSet" priority="40">
      <iconSet iconSet="3Arrows">
        <cfvo type="percent" val="0"/>
        <cfvo type="num" val="0"/>
        <cfvo type="num" val="0"/>
      </iconSet>
    </cfRule>
  </conditionalFormatting>
  <conditionalFormatting sqref="S28:S52">
    <cfRule type="iconSet" priority="23">
      <iconSet iconSet="3Arrows">
        <cfvo type="percent" val="0"/>
        <cfvo type="num" val="0"/>
        <cfvo type="num" val="0"/>
      </iconSet>
    </cfRule>
  </conditionalFormatting>
  <conditionalFormatting sqref="S53:S77">
    <cfRule type="iconSet" priority="20">
      <iconSet iconSet="3Arrows">
        <cfvo type="percent" val="0"/>
        <cfvo type="num" val="0"/>
        <cfvo type="num" val="0"/>
      </iconSet>
    </cfRule>
  </conditionalFormatting>
  <conditionalFormatting sqref="S78:S101">
    <cfRule type="iconSet" priority="17">
      <iconSet iconSet="3Arrows">
        <cfvo type="percent" val="0"/>
        <cfvo type="num" val="0"/>
        <cfvo type="num" val="0"/>
      </iconSet>
    </cfRule>
  </conditionalFormatting>
  <conditionalFormatting sqref="S103:S126">
    <cfRule type="iconSet" priority="11">
      <iconSet iconSet="3Arrows">
        <cfvo type="percent" val="0"/>
        <cfvo type="num" val="0"/>
        <cfvo type="num" val="0"/>
      </iconSet>
    </cfRule>
  </conditionalFormatting>
  <conditionalFormatting sqref="S128:S151">
    <cfRule type="iconSet" priority="8">
      <iconSet iconSet="3Arrows">
        <cfvo type="percent" val="0"/>
        <cfvo type="num" val="0"/>
        <cfvo type="num" val="0"/>
      </iconSet>
    </cfRule>
  </conditionalFormatting>
  <conditionalFormatting sqref="S153:S176">
    <cfRule type="iconSet" priority="5">
      <iconSet iconSet="3Arrows">
        <cfvo type="percent" val="0"/>
        <cfvo type="num" val="0"/>
        <cfvo type="num" val="0"/>
      </iconSet>
    </cfRule>
  </conditionalFormatting>
  <conditionalFormatting sqref="S178:S201">
    <cfRule type="iconSet" priority="2">
      <iconSet iconSet="3Arrows">
        <cfvo type="percent" val="0"/>
        <cfvo type="num" val="0"/>
        <cfvo type="num" val="0"/>
      </iconSet>
    </cfRule>
  </conditionalFormatting>
  <conditionalFormatting sqref="Y3:Y27">
    <cfRule type="iconSet" priority="38">
      <iconSet iconSet="3Arrows">
        <cfvo type="percent" val="0"/>
        <cfvo type="num" val="0"/>
        <cfvo type="num" val="0"/>
      </iconSet>
    </cfRule>
  </conditionalFormatting>
  <conditionalFormatting sqref="Y28:Y51">
    <cfRule type="iconSet" priority="15">
      <iconSet iconSet="3Arrows">
        <cfvo type="percent" val="0"/>
        <cfvo type="num" val="0"/>
        <cfvo type="num" val="0"/>
      </iconSet>
    </cfRule>
  </conditionalFormatting>
  <conditionalFormatting sqref="Y53:Y76">
    <cfRule type="iconSet" priority="14">
      <iconSet iconSet="3Arrows">
        <cfvo type="percent" val="0"/>
        <cfvo type="num" val="0"/>
        <cfvo type="num" val="0"/>
      </iconSet>
    </cfRule>
  </conditionalFormatting>
  <conditionalFormatting sqref="Y78:Y101">
    <cfRule type="iconSet" priority="13">
      <iconSet iconSet="3Arrows">
        <cfvo type="percent" val="0"/>
        <cfvo type="num" val="0"/>
        <cfvo type="num" val="0"/>
      </iconSet>
    </cfRule>
  </conditionalFormatting>
  <conditionalFormatting sqref="Y103:Y126">
    <cfRule type="iconSet" priority="10">
      <iconSet iconSet="3Arrows">
        <cfvo type="percent" val="0"/>
        <cfvo type="num" val="0"/>
        <cfvo type="num" val="0"/>
      </iconSet>
    </cfRule>
  </conditionalFormatting>
  <conditionalFormatting sqref="Y128:Y151">
    <cfRule type="iconSet" priority="7">
      <iconSet iconSet="3Arrows">
        <cfvo type="percent" val="0"/>
        <cfvo type="num" val="0"/>
        <cfvo type="num" val="0"/>
      </iconSet>
    </cfRule>
  </conditionalFormatting>
  <conditionalFormatting sqref="Y153:Y176">
    <cfRule type="iconSet" priority="4">
      <iconSet iconSet="3Arrows">
        <cfvo type="percent" val="0"/>
        <cfvo type="num" val="0"/>
        <cfvo type="num" val="0"/>
      </iconSet>
    </cfRule>
  </conditionalFormatting>
  <conditionalFormatting sqref="Y178:Y201">
    <cfRule type="iconSet" priority="1">
      <iconSet iconSet="3Arrows">
        <cfvo type="percent" val="0"/>
        <cfvo type="num" val="0"/>
        <cfvo type="num" val="0"/>
      </iconSet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E3:S37"/>
  <sheetViews>
    <sheetView topLeftCell="A19" workbookViewId="0">
      <selection activeCell="Z14" sqref="Z14"/>
    </sheetView>
  </sheetViews>
  <sheetFormatPr defaultColWidth="8.88888888888889" defaultRowHeight="14.4"/>
  <cols>
    <col min="11" max="11" width="11.8888888888889" customWidth="1"/>
    <col min="12" max="12" width="23.5555555555556" customWidth="1"/>
    <col min="13" max="17" width="8.88888888888889" style="1"/>
  </cols>
  <sheetData>
    <row r="3" spans="5:19">
      <c r="E3">
        <f>SUMIFS(卸车数据!$J$6:$J$1048576,卸车数据!$R$6:$R$1048576,"&gt;="&amp;A3+TIME(0,0,0),卸车数据!$R$6:$R$1048576,"&lt;"&amp;A3+TIME(1,0,0))</f>
        <v>0</v>
      </c>
    </row>
    <row r="4" spans="5:19">
      <c r="E4">
        <f>SUMIFS(卸车数据!$J$6:$J$1048576,卸车数据!$R$6:$R$1048576,"&gt;="&amp;A4+TIME(1,0,0),卸车数据!$R$6:$R$1048576,"&lt;"&amp;A4+TIME(2,0,0))</f>
        <v>0</v>
      </c>
    </row>
    <row r="5" spans="5:19">
      <c r="E5">
        <f>SUMIFS(卸车数据!$J$6:$J$1048576,卸车数据!$R$6:$R$1048576,"&gt;="&amp;A5+TIME(2,0,0),卸车数据!$R$6:$R$1048576,"&lt;"&amp;A5+TIME(3,0,0))</f>
        <v>0</v>
      </c>
    </row>
    <row r="6" spans="5:19">
      <c r="E6">
        <f>SUMIFS(卸车数据!$J$6:$J$1048576,卸车数据!$R$6:$R$1048576,"&gt;="&amp;A6+TIME(3,0,0),卸车数据!$R$6:$R$1048576,"&lt;"&amp;A6+TIME(4,0,0))</f>
        <v>0</v>
      </c>
    </row>
    <row r="7" spans="5:19">
      <c r="E7">
        <f>SUMIFS(卸车数据!$J$6:$J$1048576,卸车数据!$R$6:$R$1048576,"&gt;="&amp;A7+TIME(4,0,0),卸车数据!$R$6:$R$1048576,"&lt;"&amp;A7+TIME(5,0,0))</f>
        <v>0</v>
      </c>
    </row>
    <row r="8" spans="5:19">
      <c r="E8">
        <f>SUMIFS(卸车数据!$J$6:$J$1048576,卸车数据!$R$6:$R$1048576,"&gt;="&amp;A8+TIME(5,0,0),卸车数据!$R$6:$R$1048576,"&lt;"&amp;A8+TIME(6,0,0))</f>
        <v>0</v>
      </c>
    </row>
    <row r="9" spans="5:19">
      <c r="E9">
        <f>SUMIFS(卸车数据!$J$6:$J$1048576,卸车数据!$R$6:$R$1048576,"&gt;="&amp;A9+TIME(6,0,0),卸车数据!$R$6:$R$1048576,"&lt;"&amp;A9+TIME(7,0,0))</f>
        <v>0</v>
      </c>
      <c r="J9">
        <f>SUMIFS(卸车数据!$J$6:$J$1048576,卸车数据!$R$6:$R$1048576,"&gt;="&amp;A5+TIME(1,0,0),卸车数据!$R$6:$R$1048576,"&lt;"&amp;A5+1+TIME(2,0,0))</f>
        <v>0</v>
      </c>
      <c r="K9" t="s">
        <v>3396</v>
      </c>
      <c r="L9" t="s">
        <v>3397</v>
      </c>
      <c r="M9" s="1" t="s">
        <v>3398</v>
      </c>
      <c r="N9" s="1">
        <v>0</v>
      </c>
      <c r="O9" s="1" t="s">
        <v>3399</v>
      </c>
      <c r="P9" s="1" t="s">
        <v>3398</v>
      </c>
      <c r="Q9" s="1">
        <v>1</v>
      </c>
      <c r="R9" t="s">
        <v>3400</v>
      </c>
      <c r="S9" t="str">
        <f>$K$9&amp;$L$9&amp;M9&amp;N9&amp;$O$9&amp;P9&amp;Q9&amp;$R$9</f>
        <v>=SUMIFS(卸车数据!$J$6:$J$1048576,卸车数据!$R$6:$R$1048576,"&gt;="&amp;A3+TIME(0,0,0),卸车数据!$R$6:$R$1048576,"&lt;"&amp;A3+TIME(1,0,0))</v>
      </c>
    </row>
    <row r="10" spans="5:19">
      <c r="E10">
        <f>SUMIFS(卸车数据!$J$6:$J$1048576,卸车数据!$R$6:$R$1048576,"&gt;="&amp;A10+TIME(7,0,0),卸车数据!$R$6:$R$1048576,"&lt;"&amp;A10+TIME(8,0,0))</f>
        <v>0</v>
      </c>
      <c r="M10" s="1" t="s">
        <v>3401</v>
      </c>
      <c r="N10" s="1">
        <v>1</v>
      </c>
      <c r="P10" s="1" t="s">
        <v>3401</v>
      </c>
      <c r="Q10" s="1">
        <v>2</v>
      </c>
      <c r="S10" t="str">
        <f t="shared" ref="S10:S32" si="0">$K$9&amp;$L$9&amp;M10&amp;N10&amp;$O$9&amp;P10&amp;Q10&amp;$R$9</f>
        <v>=SUMIFS(卸车数据!$J$6:$J$1048576,卸车数据!$R$6:$R$1048576,"&gt;="&amp;A4+TIME(1,0,0),卸车数据!$R$6:$R$1048576,"&lt;"&amp;A4+TIME(2,0,0))</v>
      </c>
    </row>
    <row r="11" spans="5:19">
      <c r="E11">
        <f>SUMIFS(卸车数据!$J$6:$J$1048576,卸车数据!$R$6:$R$1048576,"&gt;="&amp;A11+TIME(8,0,0),卸车数据!$R$6:$R$1048576,"&lt;"&amp;A11+TIME(9,0,0))</f>
        <v>0</v>
      </c>
      <c r="M11" s="1" t="s">
        <v>3402</v>
      </c>
      <c r="N11" s="1">
        <v>2</v>
      </c>
      <c r="P11" s="1" t="s">
        <v>3402</v>
      </c>
      <c r="Q11" s="1">
        <v>3</v>
      </c>
      <c r="S11" t="str">
        <f t="shared" si="0"/>
        <v>=SUMIFS(卸车数据!$J$6:$J$1048576,卸车数据!$R$6:$R$1048576,"&gt;="&amp;A5+TIME(2,0,0),卸车数据!$R$6:$R$1048576,"&lt;"&amp;A5+TIME(3,0,0))</v>
      </c>
    </row>
    <row r="12" spans="5:19">
      <c r="E12">
        <f>SUMIFS(卸车数据!$J$6:$J$1048576,卸车数据!$R$6:$R$1048576,"&gt;="&amp;A12+TIME(9,0,0),卸车数据!$R$6:$R$1048576,"&lt;"&amp;A12+TIME(10,0,0))</f>
        <v>0</v>
      </c>
      <c r="M12" s="1" t="s">
        <v>3403</v>
      </c>
      <c r="N12" s="1">
        <v>3</v>
      </c>
      <c r="P12" s="1" t="s">
        <v>3403</v>
      </c>
      <c r="Q12" s="1">
        <v>4</v>
      </c>
      <c r="S12" t="str">
        <f t="shared" si="0"/>
        <v>=SUMIFS(卸车数据!$J$6:$J$1048576,卸车数据!$R$6:$R$1048576,"&gt;="&amp;A6+TIME(3,0,0),卸车数据!$R$6:$R$1048576,"&lt;"&amp;A6+TIME(4,0,0))</v>
      </c>
    </row>
    <row r="13" spans="5:19">
      <c r="E13">
        <f>SUMIFS(卸车数据!$J$6:$J$1048576,卸车数据!$R$6:$R$1048576,"&gt;="&amp;A13+TIME(10,0,0),卸车数据!$R$6:$R$1048576,"&lt;"&amp;A13+TIME(11,0,0))</f>
        <v>0</v>
      </c>
      <c r="M13" s="1" t="s">
        <v>3404</v>
      </c>
      <c r="N13" s="1">
        <v>4</v>
      </c>
      <c r="P13" s="1" t="s">
        <v>3404</v>
      </c>
      <c r="Q13" s="1">
        <v>5</v>
      </c>
      <c r="S13" t="str">
        <f t="shared" si="0"/>
        <v>=SUMIFS(卸车数据!$J$6:$J$1048576,卸车数据!$R$6:$R$1048576,"&gt;="&amp;A7+TIME(4,0,0),卸车数据!$R$6:$R$1048576,"&lt;"&amp;A7+TIME(5,0,0))</v>
      </c>
    </row>
    <row r="14" spans="5:19">
      <c r="E14">
        <f>SUMIFS(卸车数据!$J$6:$J$1048576,卸车数据!$R$6:$R$1048576,"&gt;="&amp;A14+TIME(11,0,0),卸车数据!$R$6:$R$1048576,"&lt;"&amp;A14+TIME(12,0,0))</f>
        <v>0</v>
      </c>
      <c r="M14" s="1" t="s">
        <v>3405</v>
      </c>
      <c r="N14" s="1">
        <v>5</v>
      </c>
      <c r="P14" s="1" t="s">
        <v>3405</v>
      </c>
      <c r="Q14" s="1">
        <v>6</v>
      </c>
      <c r="S14" t="str">
        <f t="shared" si="0"/>
        <v>=SUMIFS(卸车数据!$J$6:$J$1048576,卸车数据!$R$6:$R$1048576,"&gt;="&amp;A8+TIME(5,0,0),卸车数据!$R$6:$R$1048576,"&lt;"&amp;A8+TIME(6,0,0))</v>
      </c>
    </row>
    <row r="15" spans="5:19">
      <c r="E15">
        <f>SUMIFS(卸车数据!$J$6:$J$1048576,卸车数据!$R$6:$R$1048576,"&gt;="&amp;A15+TIME(12,0,0),卸车数据!$R$6:$R$1048576,"&lt;"&amp;A15+TIME(13,0,0))</f>
        <v>0</v>
      </c>
      <c r="M15" s="1" t="s">
        <v>3406</v>
      </c>
      <c r="N15" s="1">
        <v>6</v>
      </c>
      <c r="P15" s="1" t="s">
        <v>3406</v>
      </c>
      <c r="Q15" s="1">
        <v>7</v>
      </c>
      <c r="S15" t="str">
        <f t="shared" si="0"/>
        <v>=SUMIFS(卸车数据!$J$6:$J$1048576,卸车数据!$R$6:$R$1048576,"&gt;="&amp;A9+TIME(6,0,0),卸车数据!$R$6:$R$1048576,"&lt;"&amp;A9+TIME(7,0,0))</v>
      </c>
    </row>
    <row r="16" spans="5:19">
      <c r="E16">
        <f>SUMIFS(卸车数据!$J$6:$J$1048576,卸车数据!$R$6:$R$1048576,"&gt;="&amp;A16+TIME(13,0,0),卸车数据!$R$6:$R$1048576,"&lt;"&amp;A16+TIME(14,0,0))</f>
        <v>0</v>
      </c>
      <c r="M16" s="1" t="s">
        <v>3407</v>
      </c>
      <c r="N16" s="1">
        <v>7</v>
      </c>
      <c r="P16" s="1" t="s">
        <v>3407</v>
      </c>
      <c r="Q16" s="1">
        <v>8</v>
      </c>
      <c r="S16" t="str">
        <f t="shared" si="0"/>
        <v>=SUMIFS(卸车数据!$J$6:$J$1048576,卸车数据!$R$6:$R$1048576,"&gt;="&amp;A10+TIME(7,0,0),卸车数据!$R$6:$R$1048576,"&lt;"&amp;A10+TIME(8,0,0))</v>
      </c>
    </row>
    <row r="17" spans="5:19">
      <c r="E17">
        <f>SUMIFS(卸车数据!$J$6:$J$1048576,卸车数据!$R$6:$R$1048576,"&gt;="&amp;A17+TIME(14,0,0),卸车数据!$R$6:$R$1048576,"&lt;"&amp;A17+TIME(15,0,0))</f>
        <v>0</v>
      </c>
      <c r="M17" s="1" t="s">
        <v>3408</v>
      </c>
      <c r="N17" s="1">
        <v>8</v>
      </c>
      <c r="P17" s="1" t="s">
        <v>3408</v>
      </c>
      <c r="Q17" s="1">
        <v>9</v>
      </c>
      <c r="S17" t="str">
        <f t="shared" si="0"/>
        <v>=SUMIFS(卸车数据!$J$6:$J$1048576,卸车数据!$R$6:$R$1048576,"&gt;="&amp;A11+TIME(8,0,0),卸车数据!$R$6:$R$1048576,"&lt;"&amp;A11+TIME(9,0,0))</v>
      </c>
    </row>
    <row r="18" spans="5:19">
      <c r="E18">
        <f>SUMIFS(卸车数据!$J$6:$J$1048576,卸车数据!$R$6:$R$1048576,"&gt;="&amp;A18+TIME(15,0,0),卸车数据!$R$6:$R$1048576,"&lt;"&amp;A18+TIME(16,0,0))</f>
        <v>0</v>
      </c>
      <c r="M18" s="1" t="s">
        <v>3409</v>
      </c>
      <c r="N18" s="1">
        <v>9</v>
      </c>
      <c r="P18" s="1" t="s">
        <v>3409</v>
      </c>
      <c r="Q18" s="1">
        <v>10</v>
      </c>
      <c r="S18" t="str">
        <f t="shared" si="0"/>
        <v>=SUMIFS(卸车数据!$J$6:$J$1048576,卸车数据!$R$6:$R$1048576,"&gt;="&amp;A12+TIME(9,0,0),卸车数据!$R$6:$R$1048576,"&lt;"&amp;A12+TIME(10,0,0))</v>
      </c>
    </row>
    <row r="19" spans="5:19">
      <c r="E19">
        <f>SUMIFS(卸车数据!$J$6:$J$1048576,卸车数据!$R$6:$R$1048576,"&gt;="&amp;A19+TIME(16,0,0),卸车数据!$R$6:$R$1048576,"&lt;"&amp;A19+TIME(17,0,0))</f>
        <v>0</v>
      </c>
      <c r="M19" s="1" t="s">
        <v>3410</v>
      </c>
      <c r="N19" s="1">
        <v>10</v>
      </c>
      <c r="P19" s="1" t="s">
        <v>3410</v>
      </c>
      <c r="Q19" s="1">
        <v>11</v>
      </c>
      <c r="S19" t="str">
        <f t="shared" si="0"/>
        <v>=SUMIFS(卸车数据!$J$6:$J$1048576,卸车数据!$R$6:$R$1048576,"&gt;="&amp;A13+TIME(10,0,0),卸车数据!$R$6:$R$1048576,"&lt;"&amp;A13+TIME(11,0,0))</v>
      </c>
    </row>
    <row r="20" spans="5:19">
      <c r="E20">
        <f>SUMIFS(卸车数据!$J$6:$J$1048576,卸车数据!$R$6:$R$1048576,"&gt;="&amp;A20+TIME(17,0,0),卸车数据!$R$6:$R$1048576,"&lt;"&amp;A20+TIME(18,0,0))</f>
        <v>0</v>
      </c>
      <c r="M20" s="1" t="s">
        <v>3411</v>
      </c>
      <c r="N20" s="1">
        <v>11</v>
      </c>
      <c r="P20" s="1" t="s">
        <v>3411</v>
      </c>
      <c r="Q20" s="1">
        <v>12</v>
      </c>
      <c r="S20" t="str">
        <f t="shared" si="0"/>
        <v>=SUMIFS(卸车数据!$J$6:$J$1048576,卸车数据!$R$6:$R$1048576,"&gt;="&amp;A14+TIME(11,0,0),卸车数据!$R$6:$R$1048576,"&lt;"&amp;A14+TIME(12,0,0))</v>
      </c>
    </row>
    <row r="21" spans="5:19">
      <c r="E21">
        <f>SUMIFS(卸车数据!$J$6:$J$1048576,卸车数据!$R$6:$R$1048576,"&gt;="&amp;A21+TIME(18,0,0),卸车数据!$R$6:$R$1048576,"&lt;"&amp;A21+TIME(19,0,0))</f>
        <v>0</v>
      </c>
      <c r="M21" s="1" t="s">
        <v>3412</v>
      </c>
      <c r="N21" s="1">
        <v>12</v>
      </c>
      <c r="P21" s="1" t="s">
        <v>3412</v>
      </c>
      <c r="Q21" s="1">
        <v>13</v>
      </c>
      <c r="S21" t="str">
        <f t="shared" si="0"/>
        <v>=SUMIFS(卸车数据!$J$6:$J$1048576,卸车数据!$R$6:$R$1048576,"&gt;="&amp;A15+TIME(12,0,0),卸车数据!$R$6:$R$1048576,"&lt;"&amp;A15+TIME(13,0,0))</v>
      </c>
    </row>
    <row r="22" spans="5:19">
      <c r="E22">
        <f>SUMIFS(卸车数据!$J$6:$J$1048576,卸车数据!$R$6:$R$1048576,"&gt;="&amp;A22+TIME(19,0,0),卸车数据!$R$6:$R$1048576,"&lt;"&amp;A22+TIME(20,0,0))</f>
        <v>0</v>
      </c>
      <c r="M22" s="1" t="s">
        <v>3413</v>
      </c>
      <c r="N22" s="1">
        <v>13</v>
      </c>
      <c r="P22" s="1" t="s">
        <v>3413</v>
      </c>
      <c r="Q22" s="1">
        <v>14</v>
      </c>
      <c r="S22" t="str">
        <f t="shared" si="0"/>
        <v>=SUMIFS(卸车数据!$J$6:$J$1048576,卸车数据!$R$6:$R$1048576,"&gt;="&amp;A16+TIME(13,0,0),卸车数据!$R$6:$R$1048576,"&lt;"&amp;A16+TIME(14,0,0))</v>
      </c>
    </row>
    <row r="23" spans="5:19">
      <c r="E23">
        <f>SUMIFS(卸车数据!$J$6:$J$1048576,卸车数据!$R$6:$R$1048576,"&gt;="&amp;A23+TIME(20,0,0),卸车数据!$R$6:$R$1048576,"&lt;"&amp;A23+TIME(21,0,0))</f>
        <v>0</v>
      </c>
      <c r="M23" s="1" t="s">
        <v>3414</v>
      </c>
      <c r="N23" s="1">
        <v>14</v>
      </c>
      <c r="P23" s="1" t="s">
        <v>3414</v>
      </c>
      <c r="Q23" s="1">
        <v>15</v>
      </c>
      <c r="S23" t="str">
        <f t="shared" si="0"/>
        <v>=SUMIFS(卸车数据!$J$6:$J$1048576,卸车数据!$R$6:$R$1048576,"&gt;="&amp;A17+TIME(14,0,0),卸车数据!$R$6:$R$1048576,"&lt;"&amp;A17+TIME(15,0,0))</v>
      </c>
    </row>
    <row r="24" spans="5:19">
      <c r="E24">
        <f>SUMIFS(卸车数据!$J$6:$J$1048576,卸车数据!$R$6:$R$1048576,"&gt;="&amp;A24+TIME(21,0,0),卸车数据!$R$6:$R$1048576,"&lt;"&amp;A24+TIME(22,0,0))</f>
        <v>0</v>
      </c>
      <c r="M24" s="1" t="s">
        <v>3415</v>
      </c>
      <c r="N24" s="1">
        <v>15</v>
      </c>
      <c r="P24" s="1" t="s">
        <v>3415</v>
      </c>
      <c r="Q24" s="1">
        <v>16</v>
      </c>
      <c r="S24" t="str">
        <f t="shared" si="0"/>
        <v>=SUMIFS(卸车数据!$J$6:$J$1048576,卸车数据!$R$6:$R$1048576,"&gt;="&amp;A18+TIME(15,0,0),卸车数据!$R$6:$R$1048576,"&lt;"&amp;A18+TIME(16,0,0))</v>
      </c>
    </row>
    <row r="25" spans="5:19">
      <c r="E25">
        <f>SUMIFS(卸车数据!$J$6:$J$1048576,卸车数据!$R$6:$R$1048576,"&gt;="&amp;A25+TIME(22,0,0),卸车数据!$R$6:$R$1048576,"&lt;"&amp;A25+TIME(23,0,0))</f>
        <v>0</v>
      </c>
      <c r="M25" s="1" t="s">
        <v>3416</v>
      </c>
      <c r="N25" s="1">
        <v>16</v>
      </c>
      <c r="P25" s="1" t="s">
        <v>3416</v>
      </c>
      <c r="Q25" s="1">
        <v>17</v>
      </c>
      <c r="S25" t="str">
        <f t="shared" si="0"/>
        <v>=SUMIFS(卸车数据!$J$6:$J$1048576,卸车数据!$R$6:$R$1048576,"&gt;="&amp;A19+TIME(16,0,0),卸车数据!$R$6:$R$1048576,"&lt;"&amp;A19+TIME(17,0,0))</v>
      </c>
    </row>
    <row r="26" spans="5:19">
      <c r="E26">
        <f>SUMIFS(卸车数据!$J$6:$J$1048576,卸车数据!$R$6:$R$1048576,"&gt;="&amp;A26+TIME(23,0,0),卸车数据!$R$6:$R$1048576,"&lt;"&amp;A26+TIME(0,0,0))</f>
        <v>0</v>
      </c>
      <c r="M26" s="1" t="s">
        <v>3417</v>
      </c>
      <c r="N26" s="1">
        <v>17</v>
      </c>
      <c r="P26" s="1" t="s">
        <v>3417</v>
      </c>
      <c r="Q26" s="1">
        <v>18</v>
      </c>
      <c r="S26" t="str">
        <f t="shared" si="0"/>
        <v>=SUMIFS(卸车数据!$J$6:$J$1048576,卸车数据!$R$6:$R$1048576,"&gt;="&amp;A20+TIME(17,0,0),卸车数据!$R$6:$R$1048576,"&lt;"&amp;A20+TIME(18,0,0))</v>
      </c>
    </row>
    <row r="27" spans="5:19">
      <c r="M27" s="1" t="s">
        <v>3418</v>
      </c>
      <c r="N27" s="1">
        <v>18</v>
      </c>
      <c r="P27" s="1" t="s">
        <v>3418</v>
      </c>
      <c r="Q27" s="1">
        <v>19</v>
      </c>
      <c r="S27" t="str">
        <f t="shared" si="0"/>
        <v>=SUMIFS(卸车数据!$J$6:$J$1048576,卸车数据!$R$6:$R$1048576,"&gt;="&amp;A21+TIME(18,0,0),卸车数据!$R$6:$R$1048576,"&lt;"&amp;A21+TIME(19,0,0))</v>
      </c>
    </row>
    <row r="28" spans="5:19">
      <c r="M28" s="1" t="s">
        <v>3419</v>
      </c>
      <c r="N28" s="1">
        <v>19</v>
      </c>
      <c r="P28" s="1" t="s">
        <v>3419</v>
      </c>
      <c r="Q28" s="1">
        <v>20</v>
      </c>
      <c r="S28" t="str">
        <f t="shared" si="0"/>
        <v>=SUMIFS(卸车数据!$J$6:$J$1048576,卸车数据!$R$6:$R$1048576,"&gt;="&amp;A22+TIME(19,0,0),卸车数据!$R$6:$R$1048576,"&lt;"&amp;A22+TIME(20,0,0))</v>
      </c>
    </row>
    <row r="29" spans="5:19">
      <c r="M29" s="1" t="s">
        <v>3420</v>
      </c>
      <c r="N29" s="1">
        <v>20</v>
      </c>
      <c r="P29" s="1" t="s">
        <v>3420</v>
      </c>
      <c r="Q29" s="1">
        <v>21</v>
      </c>
      <c r="S29" t="str">
        <f t="shared" si="0"/>
        <v>=SUMIFS(卸车数据!$J$6:$J$1048576,卸车数据!$R$6:$R$1048576,"&gt;="&amp;A23+TIME(20,0,0),卸车数据!$R$6:$R$1048576,"&lt;"&amp;A23+TIME(21,0,0))</v>
      </c>
    </row>
    <row r="30" spans="5:19">
      <c r="M30" s="1" t="s">
        <v>3421</v>
      </c>
      <c r="N30" s="1">
        <v>21</v>
      </c>
      <c r="P30" s="1" t="s">
        <v>3421</v>
      </c>
      <c r="Q30" s="1">
        <v>22</v>
      </c>
      <c r="S30" t="str">
        <f t="shared" si="0"/>
        <v>=SUMIFS(卸车数据!$J$6:$J$1048576,卸车数据!$R$6:$R$1048576,"&gt;="&amp;A24+TIME(21,0,0),卸车数据!$R$6:$R$1048576,"&lt;"&amp;A24+TIME(22,0,0))</v>
      </c>
    </row>
    <row r="31" spans="5:19">
      <c r="M31" s="1" t="s">
        <v>3422</v>
      </c>
      <c r="N31" s="1">
        <v>22</v>
      </c>
      <c r="P31" s="1" t="s">
        <v>3422</v>
      </c>
      <c r="Q31" s="1">
        <v>23</v>
      </c>
      <c r="S31" t="str">
        <f t="shared" si="0"/>
        <v>=SUMIFS(卸车数据!$J$6:$J$1048576,卸车数据!$R$6:$R$1048576,"&gt;="&amp;A25+TIME(22,0,0),卸车数据!$R$6:$R$1048576,"&lt;"&amp;A25+TIME(23,0,0))</v>
      </c>
    </row>
    <row r="32" spans="5:19">
      <c r="M32" s="1" t="s">
        <v>3423</v>
      </c>
      <c r="N32" s="1">
        <v>23</v>
      </c>
      <c r="P32" s="1" t="s">
        <v>3423</v>
      </c>
      <c r="Q32" s="1">
        <v>0</v>
      </c>
      <c r="S32" t="str">
        <f t="shared" si="0"/>
        <v>=SUMIFS(卸车数据!$J$6:$J$1048576,卸车数据!$R$6:$R$1048576,"&gt;="&amp;A26+TIME(23,0,0),卸车数据!$R$6:$R$1048576,"&lt;"&amp;A26+TIME(0,0,0))</v>
      </c>
    </row>
    <row r="34" spans="6:12">
      <c r="F34" s="115" t="s">
        <v>3424</v>
      </c>
      <c r="G34" s="115" t="s">
        <v>3425</v>
      </c>
      <c r="H34" s="115" t="s">
        <v>3426</v>
      </c>
      <c r="I34" s="115" t="s">
        <v>3427</v>
      </c>
      <c r="J34" s="115" t="s">
        <v>3428</v>
      </c>
      <c r="K34" s="115" t="s">
        <v>3429</v>
      </c>
      <c r="L34" s="115" t="s">
        <v>3430</v>
      </c>
    </row>
    <row r="35" spans="6:12">
      <c r="F35" t="str">
        <f>$K$9&amp;F34</f>
        <v>=6'!K3</v>
      </c>
      <c r="G35" t="str">
        <f t="shared" ref="G35:L35" si="1">$K$9&amp;G34</f>
        <v>=6'!W3</v>
      </c>
      <c r="H35" t="str">
        <f t="shared" si="1"/>
        <v>=6'!AG3+'6'!AR3</v>
      </c>
      <c r="I35" t="str">
        <f t="shared" si="1"/>
        <v>=6'!BA3</v>
      </c>
      <c r="J35" t="str">
        <f t="shared" si="1"/>
        <v>=6'!BD3</v>
      </c>
      <c r="K35" t="str">
        <f t="shared" si="1"/>
        <v>=6'!BE3</v>
      </c>
      <c r="L35" t="str">
        <f t="shared" si="1"/>
        <v>=6'!BF3</v>
      </c>
    </row>
    <row r="36" spans="6:12">
      <c r="F36" t="s">
        <v>3431</v>
      </c>
      <c r="G36" t="s">
        <v>3432</v>
      </c>
      <c r="H36" t="s">
        <v>3433</v>
      </c>
      <c r="I36" t="s">
        <v>3434</v>
      </c>
      <c r="J36" t="s">
        <v>3435</v>
      </c>
      <c r="K36" t="s">
        <v>3436</v>
      </c>
      <c r="L36" t="s">
        <v>3437</v>
      </c>
    </row>
    <row r="37" spans="6:12">
      <c r="L37">
        <f>'5'!K28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山东分公司</Company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卸车数据</vt:lpstr>
      <vt:lpstr>环线数据</vt:lpstr>
      <vt:lpstr>集包数据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展示表格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11404</dc:creator>
  <cp:lastModifiedBy>11404</cp:lastModifiedBy>
  <dcterms:created xsi:type="dcterms:W3CDTF">2026-04-02T02:40:00Z</dcterms:created>
  <dcterms:modified xsi:type="dcterms:W3CDTF">2026-04-12T03:41:37Z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348DDD6193794C0EA6B0EBDFDBBF6801_11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